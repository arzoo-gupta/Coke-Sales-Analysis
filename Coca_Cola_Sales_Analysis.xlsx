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740A7DA-3794-498E-805A-0548662E5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Analysis Guide" sheetId="2" r:id="rId2"/>
    <sheet name="Monthly Sales" sheetId="3" r:id="rId3"/>
    <sheet name="Regional Sales" sheetId="4" r:id="rId4"/>
    <sheet name="Brand Performance" sheetId="5" r:id="rId5"/>
    <sheet name="Retailer Performance" sheetId="6" r:id="rId6"/>
    <sheet name="Brand Monthly" sheetId="7" r:id="rId7"/>
    <sheet name="Brand Regional" sheetId="8" r:id="rId8"/>
    <sheet name="Geography" sheetId="9" r:id="rId9"/>
    <sheet name="Price and Margin" sheetId="10" r:id="rId10"/>
    <sheet name="Insights and Actions" sheetId="11" r:id="rId11"/>
    <sheet name="Data Quality" sheetId="12" r:id="rId12"/>
    <sheet name="Clean Da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0" l="1"/>
  <c r="F11" i="10"/>
  <c r="D11" i="10"/>
  <c r="H10" i="10"/>
  <c r="F10" i="10"/>
  <c r="D10" i="10"/>
  <c r="H9" i="10"/>
  <c r="F9" i="10"/>
  <c r="D9" i="10"/>
  <c r="H8" i="10"/>
  <c r="F8" i="10"/>
  <c r="D8" i="10"/>
  <c r="H7" i="10"/>
  <c r="F7" i="10"/>
  <c r="D7" i="10"/>
  <c r="H6" i="10"/>
  <c r="F6" i="10"/>
  <c r="D6" i="10"/>
  <c r="M59" i="9"/>
  <c r="M58" i="9"/>
  <c r="M57" i="9"/>
  <c r="M56" i="9"/>
  <c r="M55" i="9"/>
  <c r="F55" i="9"/>
  <c r="M54" i="9"/>
  <c r="F54" i="9"/>
  <c r="M53" i="9"/>
  <c r="F53" i="9"/>
  <c r="M52" i="9"/>
  <c r="F52" i="9"/>
  <c r="M51" i="9"/>
  <c r="F51" i="9"/>
  <c r="M50" i="9"/>
  <c r="F50" i="9"/>
  <c r="M49" i="9"/>
  <c r="F49" i="9"/>
  <c r="M48" i="9"/>
  <c r="F48" i="9"/>
  <c r="M47" i="9"/>
  <c r="F47" i="9"/>
  <c r="M46" i="9"/>
  <c r="F46" i="9"/>
  <c r="M45" i="9"/>
  <c r="F45" i="9"/>
  <c r="M44" i="9"/>
  <c r="F44" i="9"/>
  <c r="M43" i="9"/>
  <c r="F43" i="9"/>
  <c r="M42" i="9"/>
  <c r="F42" i="9"/>
  <c r="M41" i="9"/>
  <c r="F41" i="9"/>
  <c r="M40" i="9"/>
  <c r="F40" i="9"/>
  <c r="M39" i="9"/>
  <c r="F39" i="9"/>
  <c r="M38" i="9"/>
  <c r="F38" i="9"/>
  <c r="M37" i="9"/>
  <c r="F37" i="9"/>
  <c r="M36" i="9"/>
  <c r="F36" i="9"/>
  <c r="M35" i="9"/>
  <c r="F35" i="9"/>
  <c r="M34" i="9"/>
  <c r="F34" i="9"/>
  <c r="M33" i="9"/>
  <c r="F33" i="9"/>
  <c r="M32" i="9"/>
  <c r="F32" i="9"/>
  <c r="M31" i="9"/>
  <c r="F31" i="9"/>
  <c r="M30" i="9"/>
  <c r="F30" i="9"/>
  <c r="M29" i="9"/>
  <c r="F29" i="9"/>
  <c r="M28" i="9"/>
  <c r="F28" i="9"/>
  <c r="M27" i="9"/>
  <c r="F27" i="9"/>
  <c r="M26" i="9"/>
  <c r="F26" i="9"/>
  <c r="M25" i="9"/>
  <c r="F25" i="9"/>
  <c r="M24" i="9"/>
  <c r="F24" i="9"/>
  <c r="M23" i="9"/>
  <c r="F23" i="9"/>
  <c r="M22" i="9"/>
  <c r="F22" i="9"/>
  <c r="M21" i="9"/>
  <c r="F21" i="9"/>
  <c r="M20" i="9"/>
  <c r="F20" i="9"/>
  <c r="M19" i="9"/>
  <c r="F19" i="9"/>
  <c r="M18" i="9"/>
  <c r="F18" i="9"/>
  <c r="M17" i="9"/>
  <c r="F17" i="9"/>
  <c r="M16" i="9"/>
  <c r="F16" i="9"/>
  <c r="M15" i="9"/>
  <c r="F15" i="9"/>
  <c r="M14" i="9"/>
  <c r="F14" i="9"/>
  <c r="M13" i="9"/>
  <c r="F13" i="9"/>
  <c r="M12" i="9"/>
  <c r="F12" i="9"/>
  <c r="M11" i="9"/>
  <c r="F11" i="9"/>
  <c r="M10" i="9"/>
  <c r="F10" i="9"/>
  <c r="M9" i="9"/>
  <c r="F9" i="9"/>
  <c r="M8" i="9"/>
  <c r="F8" i="9"/>
  <c r="M7" i="9"/>
  <c r="F7" i="9"/>
  <c r="M6" i="9"/>
  <c r="F6" i="9"/>
  <c r="G9" i="6"/>
  <c r="F9" i="6"/>
  <c r="G8" i="6"/>
  <c r="F8" i="6"/>
  <c r="G7" i="6"/>
  <c r="F7" i="6"/>
  <c r="G6" i="6"/>
  <c r="F6" i="6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G10" i="4"/>
  <c r="F10" i="4"/>
  <c r="G9" i="4"/>
  <c r="F9" i="4"/>
  <c r="G8" i="4"/>
  <c r="F8" i="4"/>
  <c r="G7" i="4"/>
  <c r="F7" i="4"/>
  <c r="G6" i="4"/>
  <c r="F6" i="4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N12" i="1"/>
  <c r="N11" i="1"/>
  <c r="J11" i="1"/>
  <c r="G11" i="1"/>
  <c r="A11" i="1"/>
  <c r="D11" i="1" s="1"/>
  <c r="N13" i="1" s="1"/>
  <c r="N10" i="1"/>
  <c r="N9" i="1"/>
  <c r="N7" i="1"/>
  <c r="J6" i="1"/>
  <c r="G6" i="1"/>
  <c r="D6" i="1"/>
  <c r="N8" i="1" s="1"/>
  <c r="A6" i="1"/>
  <c r="N6" i="1" s="1"/>
</calcChain>
</file>

<file path=xl/sharedStrings.xml><?xml version="1.0" encoding="utf-8"?>
<sst xmlns="http://schemas.openxmlformats.org/spreadsheetml/2006/main" count="27777" uniqueCount="365">
  <si>
    <t>COCA-COLA | 2021 SALES DASHBOARD</t>
  </si>
  <si>
    <t>Key American Coca-Cola Retailers · revenue, profit, month, brand, region and retailer comparisons</t>
  </si>
  <si>
    <t>TOTAL REVENUE</t>
  </si>
  <si>
    <t>UNITS SOLD</t>
  </si>
  <si>
    <t>HIGHEST SALES MONTH</t>
  </si>
  <si>
    <t>TOP REVENUE BRAND</t>
  </si>
  <si>
    <t>METRIC</t>
  </si>
  <si>
    <t>VALUE</t>
  </si>
  <si>
    <t>Revenue</t>
  </si>
  <si>
    <t>Profit</t>
  </si>
  <si>
    <t>Units</t>
  </si>
  <si>
    <t>Transactions</t>
  </si>
  <si>
    <t>TOTAL OPERATING PROFIT</t>
  </si>
  <si>
    <t>WEIGHTED OPERATING MARGIN</t>
  </si>
  <si>
    <t>LOWEST MONTH REVENUE</t>
  </si>
  <si>
    <t>TOP RETAILER</t>
  </si>
  <si>
    <t>Brands</t>
  </si>
  <si>
    <t>Regions</t>
  </si>
  <si>
    <t>Retailers</t>
  </si>
  <si>
    <t>Margin</t>
  </si>
  <si>
    <t>BEST / WORST MONTH</t>
  </si>
  <si>
    <t>SALES ($)</t>
  </si>
  <si>
    <t>ANALYSIS AT A GLANCE  ·  Charts below use the same measured data as the detailed analysis tabs.</t>
  </si>
  <si>
    <t>2021-12</t>
  </si>
  <si>
    <t>2021-03</t>
  </si>
  <si>
    <t>LEADING SEGMENT</t>
  </si>
  <si>
    <t>REVENUE ($)</t>
  </si>
  <si>
    <t>Coca-Cola</t>
  </si>
  <si>
    <t>West</t>
  </si>
  <si>
    <t>Sodapop</t>
  </si>
  <si>
    <t>Method: revenue and operating profit are summed; operating margin is total profit ÷ total sales. Comparisons describe 2021 only; they do not establish why sales changed.</t>
  </si>
  <si>
    <t>ANALYSIS PLAN &amp; VISUALISATION MAP</t>
  </si>
  <si>
    <t>Question</t>
  </si>
  <si>
    <t>Grouping / axes</t>
  </si>
  <si>
    <t>Measure</t>
  </si>
  <si>
    <t>Technique</t>
  </si>
  <si>
    <t>Chart</t>
  </si>
  <si>
    <t>Purpose / next step</t>
  </si>
  <si>
    <t>Highest / lowest month</t>
  </si>
  <si>
    <t>Invoice date → month</t>
  </si>
  <si>
    <t>SUM(Total Sales)</t>
  </si>
  <si>
    <t>Rank months</t>
  </si>
  <si>
    <t>Monthly line chart</t>
  </si>
  <si>
    <t>Plan demand and inventory</t>
  </si>
  <si>
    <t>Regional variation</t>
  </si>
  <si>
    <t>Region</t>
  </si>
  <si>
    <t>Revenue, profit, margin</t>
  </si>
  <si>
    <t>Rank regions</t>
  </si>
  <si>
    <t>Regional bar chart</t>
  </si>
  <si>
    <t>Prioritise high-opportunity markets</t>
  </si>
  <si>
    <t>Brand differences</t>
  </si>
  <si>
    <t>Beverage Brand</t>
  </si>
  <si>
    <t>Revenue, units, profit</t>
  </si>
  <si>
    <t>Rank brands</t>
  </si>
  <si>
    <t>Brand bar charts</t>
  </si>
  <si>
    <t>Optimise product mix</t>
  </si>
  <si>
    <t>Brand by month</t>
  </si>
  <si>
    <t>Month × Brand</t>
  </si>
  <si>
    <t>Cross-tab comparison</t>
  </si>
  <si>
    <t>Multi-line chart</t>
  </si>
  <si>
    <t>Identify specific growth periods</t>
  </si>
  <si>
    <t>Brand by region</t>
  </si>
  <si>
    <t>Region × Brand</t>
  </si>
  <si>
    <t>Grouped columns / heatmap table</t>
  </si>
  <si>
    <t>Tailor local assortment</t>
  </si>
  <si>
    <t>Retailer differences</t>
  </si>
  <si>
    <t>Retailer</t>
  </si>
  <si>
    <t>Revenue, margin</t>
  </si>
  <si>
    <t>Rank retailers</t>
  </si>
  <si>
    <t>Horizontal bar chart</t>
  </si>
  <si>
    <t>Target retail partnerships</t>
  </si>
  <si>
    <t>Most profitable product</t>
  </si>
  <si>
    <t>Operating Profit</t>
  </si>
  <si>
    <t>Profit by brand</t>
  </si>
  <si>
    <t>Allocate spend on contribution</t>
  </si>
  <si>
    <t>Pricing vs units</t>
  </si>
  <si>
    <t>Brand / transaction</t>
  </si>
  <si>
    <t>Price, units sold</t>
  </si>
  <si>
    <t>Association only</t>
  </si>
  <si>
    <t>Price table / comparisons</t>
  </si>
  <si>
    <t>Investigate price and volume sensitivity</t>
  </si>
  <si>
    <t>Geographic opportunities</t>
  </si>
  <si>
    <t>State / City</t>
  </si>
  <si>
    <t>Revenue, profit</t>
  </si>
  <si>
    <t>Top/bottom lists</t>
  </si>
  <si>
    <t>State-city tables</t>
  </si>
  <si>
    <t>Identify expansion candidates</t>
  </si>
  <si>
    <t>Operating margin</t>
  </si>
  <si>
    <t>Brand, retailer, region</t>
  </si>
  <si>
    <t>Profit / sales</t>
  </si>
  <si>
    <t>Weighted margin</t>
  </si>
  <si>
    <t>Margin bars and tables</t>
  </si>
  <si>
    <t>Review profitability drivers</t>
  </si>
  <si>
    <t>Action recommendations</t>
  </si>
  <si>
    <t>All comparisons</t>
  </si>
  <si>
    <t>Differences &amp; tradeoffs</t>
  </si>
  <si>
    <t>Business interpretation</t>
  </si>
  <si>
    <t>Insights &amp; Actions</t>
  </si>
  <si>
    <t>Propose testable next steps</t>
  </si>
  <si>
    <t>Workflow</t>
  </si>
  <si>
    <t>1. Define problem</t>
  </si>
  <si>
    <t>2. Validate data</t>
  </si>
  <si>
    <t>3. Aggregate metrics</t>
  </si>
  <si>
    <t>4. Visualize &amp; compare</t>
  </si>
  <si>
    <t>5. Recommend follow-up</t>
  </si>
  <si>
    <t>Key metric definitions</t>
  </si>
  <si>
    <t>Total Sales = revenue</t>
  </si>
  <si>
    <t>Units Sold = quantity</t>
  </si>
  <si>
    <t>Profit = operating profit</t>
  </si>
  <si>
    <t>Margin = profit / revenue</t>
  </si>
  <si>
    <t>Share = segment revenue / total revenue</t>
  </si>
  <si>
    <t>Evidence boundary</t>
  </si>
  <si>
    <t>Descriptive comparison</t>
  </si>
  <si>
    <t>Not causal inference</t>
  </si>
  <si>
    <t>Single-year dataset</t>
  </si>
  <si>
    <t>Use profit and margin together</t>
  </si>
  <si>
    <t>Validate recommendations with experiments</t>
  </si>
  <si>
    <t>MONTHLY SALES | 2021</t>
  </si>
  <si>
    <t>Identify seasonality, sales peaks and troughs, and operating-profit trends</t>
  </si>
  <si>
    <t>Month</t>
  </si>
  <si>
    <t>Total Sales ($)</t>
  </si>
  <si>
    <t>Operating Profit ($)</t>
  </si>
  <si>
    <t>Units Sold</t>
  </si>
  <si>
    <t>Margin %</t>
  </si>
  <si>
    <t>Sales Share %</t>
  </si>
  <si>
    <t>2021-01</t>
  </si>
  <si>
    <t>2021-02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</si>
  <si>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</si>
  <si>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</si>
  <si>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</si>
  <si>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</si>
  <si>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</si>
  <si>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</si>
  <si>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</si>
  <si>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</si>
  <si>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REGIONAL PERFORMANCE</t>
  </si>
  <si>
    <t>Compare five regions by revenue, profit and operating efficiency</t>
  </si>
  <si>
    <t>Northeast</t>
  </si>
  <si>
    <t>Southeast</t>
  </si>
  <si>
    <t>South</t>
  </si>
  <si>
    <t>Midwest</t>
  </si>
  <si>
    <t>BRAND PERFORMANCE</t>
  </si>
  <si>
    <t>Revenue, units, profitability and weighted operating margin by beverage</t>
  </si>
  <si>
    <t>Average Unit Price</t>
  </si>
  <si>
    <t>Dasani Water</t>
  </si>
  <si>
    <t>Diet Coke</t>
  </si>
  <si>
    <t>Sprite</t>
  </si>
  <si>
    <t>Powerade</t>
  </si>
  <si>
    <t>Fanta</t>
  </si>
  <si>
    <t>RETAILER PERFORMANCE</t>
  </si>
  <si>
    <t>Which retail partner generates the most sales and profit?</t>
  </si>
  <si>
    <t>FizzySip</t>
  </si>
  <si>
    <t>BevCo</t>
  </si>
  <si>
    <t>DreamCo</t>
  </si>
  <si>
    <t>BRAND × MONTH | REVENUE</t>
  </si>
  <si>
    <t>Monthly trend for each of six brands; all figures are sales revenue in USD</t>
  </si>
  <si>
    <t>Period / Region</t>
  </si>
  <si>
    <t>All Brands</t>
  </si>
  <si>
    <t>TOTAL</t>
  </si>
  <si>
    <t>BRAND × REGION | REVENUE</t>
  </si>
  <si>
    <t>Geographic mix of six brands across five regions; values are USD</t>
  </si>
  <si>
    <t>GEOGRAPHIC SALES</t>
  </si>
  <si>
    <t>State and city ranking by revenue, plus profit and weighted margin</t>
  </si>
  <si>
    <t>State</t>
  </si>
  <si>
    <t>Sales ($)</t>
  </si>
  <si>
    <t>Profit ($)</t>
  </si>
  <si>
    <t>Operating Margin</t>
  </si>
  <si>
    <t>City</t>
  </si>
  <si>
    <t>New York</t>
  </si>
  <si>
    <t>California</t>
  </si>
  <si>
    <t>San Francisco</t>
  </si>
  <si>
    <t>Florida</t>
  </si>
  <si>
    <t>Miami</t>
  </si>
  <si>
    <t>Texas</t>
  </si>
  <si>
    <t>Georgia</t>
  </si>
  <si>
    <t>Atlanta</t>
  </si>
  <si>
    <t>Hawaii</t>
  </si>
  <si>
    <t>Honolulu</t>
  </si>
  <si>
    <t>Los Angeles</t>
  </si>
  <si>
    <t>Washington</t>
  </si>
  <si>
    <t>Seattle</t>
  </si>
  <si>
    <t>South Carolina</t>
  </si>
  <si>
    <t>Orlando</t>
  </si>
  <si>
    <t>Oregon</t>
  </si>
  <si>
    <t>Houston</t>
  </si>
  <si>
    <t>Alaska</t>
  </si>
  <si>
    <t>Charleston</t>
  </si>
  <si>
    <t>Colorado</t>
  </si>
  <si>
    <t>Portland</t>
  </si>
  <si>
    <t>Wyoming</t>
  </si>
  <si>
    <t>Anchorage</t>
  </si>
  <si>
    <t>Utah</t>
  </si>
  <si>
    <t>Denver</t>
  </si>
  <si>
    <t>Nevada</t>
  </si>
  <si>
    <t>Dallas</t>
  </si>
  <si>
    <t>Arizona</t>
  </si>
  <si>
    <t>Cheyenne</t>
  </si>
  <si>
    <t>Virginia</t>
  </si>
  <si>
    <t>Salt Lake City</t>
  </si>
  <si>
    <t>North Carolina</t>
  </si>
  <si>
    <t>Las Vegas</t>
  </si>
  <si>
    <t>Louisiana</t>
  </si>
  <si>
    <t>Phoenix</t>
  </si>
  <si>
    <t>Tennessee</t>
  </si>
  <si>
    <t>Albany</t>
  </si>
  <si>
    <t>Alabama</t>
  </si>
  <si>
    <t>Richmond</t>
  </si>
  <si>
    <t>New Mexico</t>
  </si>
  <si>
    <t>Charlotte</t>
  </si>
  <si>
    <t>Vermont</t>
  </si>
  <si>
    <t>New Orleans</t>
  </si>
  <si>
    <t>Montana</t>
  </si>
  <si>
    <t>Knoxville</t>
  </si>
  <si>
    <t>Kentucky</t>
  </si>
  <si>
    <t>Birmingham</t>
  </si>
  <si>
    <t>New Hampshire</t>
  </si>
  <si>
    <t>Albuquerque</t>
  </si>
  <si>
    <t>Idaho</t>
  </si>
  <si>
    <t>Burlington</t>
  </si>
  <si>
    <t>Massachusetts</t>
  </si>
  <si>
    <t>Billings</t>
  </si>
  <si>
    <t>Maryland</t>
  </si>
  <si>
    <t>Louisville</t>
  </si>
  <si>
    <t>Mississippi</t>
  </si>
  <si>
    <t>Manchester</t>
  </si>
  <si>
    <t>New Jersey</t>
  </si>
  <si>
    <t>Boise</t>
  </si>
  <si>
    <t>Indiana</t>
  </si>
  <si>
    <t>Boston</t>
  </si>
  <si>
    <t>Arkansas</t>
  </si>
  <si>
    <t>Baltimore</t>
  </si>
  <si>
    <t>Rhode Island</t>
  </si>
  <si>
    <t>Jackson</t>
  </si>
  <si>
    <t>Pennsylvania</t>
  </si>
  <si>
    <t>Newark</t>
  </si>
  <si>
    <t>Michigan</t>
  </si>
  <si>
    <t>Indianapolis</t>
  </si>
  <si>
    <t>Ohio</t>
  </si>
  <si>
    <t>Little Rock</t>
  </si>
  <si>
    <t>Oklahoma</t>
  </si>
  <si>
    <t>Providence</t>
  </si>
  <si>
    <t>Delaware</t>
  </si>
  <si>
    <t>Philadelphia</t>
  </si>
  <si>
    <t>Illinois</t>
  </si>
  <si>
    <t>Detroit</t>
  </si>
  <si>
    <t>Missouri</t>
  </si>
  <si>
    <t>Columbus</t>
  </si>
  <si>
    <t>Maine</t>
  </si>
  <si>
    <t>Oklahoma City</t>
  </si>
  <si>
    <t>Wisconsin</t>
  </si>
  <si>
    <t>Wilmington</t>
  </si>
  <si>
    <t>Kansas</t>
  </si>
  <si>
    <t>Chicago</t>
  </si>
  <si>
    <t>Connecticut</t>
  </si>
  <si>
    <t>St. Louis</t>
  </si>
  <si>
    <t>South Dakota</t>
  </si>
  <si>
    <t>Iowa</t>
  </si>
  <si>
    <t>Milwaukee</t>
  </si>
  <si>
    <t>North Dakota</t>
  </si>
  <si>
    <t>Wichita</t>
  </si>
  <si>
    <t>West Virginia</t>
  </si>
  <si>
    <t>Hartford</t>
  </si>
  <si>
    <t>Minnesota</t>
  </si>
  <si>
    <t>Sioux Falls</t>
  </si>
  <si>
    <t>Nebraska</t>
  </si>
  <si>
    <t>Des Moines</t>
  </si>
  <si>
    <t>Fargo</t>
  </si>
  <si>
    <t>Minneapolis</t>
  </si>
  <si>
    <t>Omaha</t>
  </si>
  <si>
    <t>PRICE &amp; OPERATING MARGIN</t>
  </si>
  <si>
    <t>Brand</t>
  </si>
  <si>
    <t>Revenue ($)</t>
  </si>
  <si>
    <t>Price / Unit ($)</t>
  </si>
  <si>
    <t>Profit / Unit ($)</t>
  </si>
  <si>
    <t>KEY INSIGHTS → RECOMMENDED ACTIONS</t>
  </si>
  <si>
    <t>Theme</t>
  </si>
  <si>
    <t>Data-supported finding</t>
  </si>
  <si>
    <t>Business action</t>
  </si>
  <si>
    <t>Follow-up to validate</t>
  </si>
  <si>
    <t>Month peak</t>
  </si>
  <si>
    <t>2021-12: $1,045,775; lowest 2021-03: $483,530.</t>
  </si>
  <si>
    <t>Review capacity and inventory ahead of strong months.</t>
  </si>
  <si>
    <t>Compare 2022+ months and promotional calendars; test seasonality.</t>
  </si>
  <si>
    <t>West leads with $2,835,100; Midwest is lowest at $1,150,110.</t>
  </si>
  <si>
    <t>Tailor regional inventory and distribution decisions.</t>
  </si>
  <si>
    <t>Compare store footprint, population, and sell-through before investing.</t>
  </si>
  <si>
    <t>Brand sales</t>
  </si>
  <si>
    <t>Coca-Cola is the top revenue brand ($2,015,890); Fanta is lowest ($1,031,650).</t>
  </si>
  <si>
    <t>Protect shelf availability of strong lines; pilot weaker-brand promotion.</t>
  </si>
  <si>
    <t>Test awareness, availability, pricing and retailer coverage.</t>
  </si>
  <si>
    <t>Brand profit</t>
  </si>
  <si>
    <t>Coca-Cola has highest operating profit ($793,197).</t>
  </si>
  <si>
    <t>Prioritise gross contribution, not just unit volume.</t>
  </si>
  <si>
    <t>Review advertising cost and incremental profit after promotions.</t>
  </si>
  <si>
    <t>Brand margin</t>
  </si>
  <si>
    <t>Coca-Cola leads on weighted margin (39.3%).</t>
  </si>
  <si>
    <t>Review high-margin lines as possible mix opportunities.</t>
  </si>
  <si>
    <t>Compare distribution costs and demand before scaling.</t>
  </si>
  <si>
    <t>Sodapop generates $4,403,630 (50.7% of total sales).</t>
  </si>
  <si>
    <t>Review channel concentration and service levels.</t>
  </si>
  <si>
    <t>Normalise sales by store count, size and contract terms.</t>
  </si>
  <si>
    <t>Brand-month pattern</t>
  </si>
  <si>
    <t>Brand Monthly tab displays all 72 month-brand observations.</t>
  </si>
  <si>
    <t>Schedule brand-specific demand reviews before seasonal peaks.</t>
  </si>
  <si>
    <t>Repeat across years; isolate promotions and stockouts.</t>
  </si>
  <si>
    <t>Brand-region mix</t>
  </si>
  <si>
    <t>Brand Regional tab compares all six brands in five regions.</t>
  </si>
  <si>
    <t>Consider region-specific assortment tests.</t>
  </si>
  <si>
    <t>Evaluate margin, distribution availability and competitor mix.</t>
  </si>
  <si>
    <t>Price-volume caution</t>
  </si>
  <si>
    <t>Average realised price differs by brand; units also vary.</t>
  </si>
  <si>
    <t>Avoid assuming higher prices cause lower sales.</t>
  </si>
  <si>
    <t>Estimate price response with controlled tests or panel data.</t>
  </si>
  <si>
    <t>Profit efficiency</t>
  </si>
  <si>
    <t>Total weighted operating margin is 36.5%.</t>
  </si>
  <si>
    <t>Use both operating profit and margin in scorecards.</t>
  </si>
  <si>
    <t>Review cost-to-serve and retailer-level cost allocations.</t>
  </si>
  <si>
    <t>DATA VALIDATION &amp; LIMITATIONS</t>
  </si>
  <si>
    <t>Check</t>
  </si>
  <si>
    <t>Result</t>
  </si>
  <si>
    <t>Meaning</t>
  </si>
  <si>
    <t>Original transaction rows</t>
  </si>
  <si>
    <t>Rows from source B6:M3893</t>
  </si>
  <si>
    <t>Valid sales records</t>
  </si>
  <si>
    <t>Records with a retailer and numeric Total Sales</t>
  </si>
  <si>
    <t>Excluded / invalid records</t>
  </si>
  <si>
    <t>Excluded before aggregation</t>
  </si>
  <si>
    <t>Distinct beverage brands</t>
  </si>
  <si>
    <t>Products in the data</t>
  </si>
  <si>
    <t>Distinct regions</t>
  </si>
  <si>
    <t>Region values as supplied</t>
  </si>
  <si>
    <t>Distinct retailers</t>
  </si>
  <si>
    <t>Retailer names as supplied</t>
  </si>
  <si>
    <t>Distinct states</t>
  </si>
  <si>
    <t>United States states represented</t>
  </si>
  <si>
    <t>Distinct cities (state + city)</t>
  </si>
  <si>
    <t>Distinct geographic city keys</t>
  </si>
  <si>
    <t>Missing cells in required 12 fields</t>
  </si>
  <si>
    <t>Source field completeness</t>
  </si>
  <si>
    <t>Sales vs units × price discrepancies</t>
  </si>
  <si>
    <t>Tolerance $0.01</t>
  </si>
  <si>
    <t>Margin vs profit / sales discrepancies</t>
  </si>
  <si>
    <t>Tolerance 0.1 percentage points</t>
  </si>
  <si>
    <t>Date coverage</t>
  </si>
  <si>
    <t>02 Jan 2021 to 25 Dec 2021</t>
  </si>
  <si>
    <t>The analysis is for 2021 only</t>
  </si>
  <si>
    <t>Interpretation note</t>
  </si>
  <si>
    <t>Detail</t>
  </si>
  <si>
    <t>Profit / Sales, not simple average of record margins</t>
  </si>
  <si>
    <t>Price vs quantity</t>
  </si>
  <si>
    <t>Cross-sectional pattern; cannot demonstrate causal price elasticity</t>
  </si>
  <si>
    <t>Time horizon</t>
  </si>
  <si>
    <t>A single year does not prove a recurring seasonal pattern</t>
  </si>
  <si>
    <t>Revenue differences</t>
  </si>
  <si>
    <t>Do not establish the reason without cost, marketing or availability data</t>
  </si>
  <si>
    <t>TRANSACTION DATA | 2021</t>
  </si>
  <si>
    <t>Retailer ID</t>
  </si>
  <si>
    <t>Invoice Date</t>
  </si>
  <si>
    <t>Price per Unit</t>
  </si>
  <si>
    <t>Total Sales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</si>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</sst>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\ yyyy"/>
    <numFmt numFmtId="165" formatCode="\$0.00"/>
    <numFmt numFmtId="166" formatCode="\$#,##0.00"/>
    <numFmt numFmtId="167" formatCode="0.0%;[Red]\(0.0%\);\–"/>
    <numFmt numFmtId="168" formatCode="#,##0;[Red]\(#,##0\);\–"/>
    <numFmt numFmtId="169" formatCode="\$#,##0"/>
  </numFmts>
  <fonts count="7">
    <font>
      <sz val="11"/>
      <name val="Carlito"/>
    </font>
    <font>
      <b/>
      <sz val="20"/>
      <color rgb="FFFFFFFF"/>
      <name val="Carlito"/>
    </font>
    <font>
      <sz val="10"/>
      <color rgb="FF17324D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b/>
      <sz val="15"/>
      <color rgb="FF17324D"/>
      <name val="Carlito"/>
    </font>
    <font>
      <sz val="11"/>
      <color rgb="FF17324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5F6"/>
      </patternFill>
    </fill>
    <fill>
      <patternFill patternType="solid">
        <fgColor rgb="FF087E8B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3" borderId="0" xfId="0" applyFont="1" applyFill="1"/>
    <xf numFmtId="168" fontId="4" fillId="3" borderId="0" xfId="0" applyNumberFormat="1" applyFont="1" applyFill="1"/>
    <xf numFmtId="0" fontId="0" fillId="0" borderId="0" xfId="0" applyAlignment="1">
      <alignment wrapText="1"/>
    </xf>
    <xf numFmtId="169" fontId="0" fillId="0" borderId="0" xfId="0" applyNumberFormat="1"/>
    <xf numFmtId="169" fontId="3" fillId="4" borderId="0" xfId="0" applyNumberFormat="1" applyFont="1" applyFill="1" applyAlignment="1">
      <alignment wrapText="1"/>
    </xf>
    <xf numFmtId="3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169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167" fontId="5" fillId="5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Monthly sales trend</c:v>
          </c:tx>
          <c:marker>
            <c:symbol val="none"/>
          </c:marker>
          <c:cat>
            <c:strRef>
              <c:f>'Monthly Sales'!$A$6:$A$17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'Monthly Sales'!$B$6:$B$17</c:f>
              <c:numCache>
                <c:formatCode>#,##0;[Red]\(#,##0\);\–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2-4DE3-B93C-E3B8F6E3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Sales by brand</c:v>
          </c:tx>
          <c:invertIfNegative val="1"/>
          <c:cat>
            <c:strRef>
              <c:f>'Brand Performance'!$A$6:$A$11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 Performance'!$B$6:$B$11</c:f>
              <c:numCache>
                <c:formatCode>#,##0;[Red]\(#,##0\);\–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C-4CF1-B8B2-65E9C4E2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by region</c:v>
          </c:tx>
          <c:invertIfNegative val="1"/>
          <c:cat>
            <c:strRef>
              <c:f>'Regional Sales'!$A$6:$A$10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'Regional Sales'!$B$6:$B$10</c:f>
              <c:numCache>
                <c:formatCode>#,##0;[Red]\(#,##0\);\–</c:formatCode>
                <c:ptCount val="5"/>
                <c:pt idx="0">
                  <c:v>2835100</c:v>
                </c:pt>
                <c:pt idx="1">
                  <c:v>1788347.5</c:v>
                </c:pt>
                <c:pt idx="2">
                  <c:v>1618935</c:v>
                </c:pt>
                <c:pt idx="3">
                  <c:v>1291535</c:v>
                </c:pt>
                <c:pt idx="4">
                  <c:v>1150110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7-4C49-8C45-AF1575BEF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by retailer</c:v>
          </c:tx>
          <c:invertIfNegative val="1"/>
          <c:cat>
            <c:strRef>
              <c:f>'Retailer Performance'!$A$6:$A$9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'Retailer Performance'!$B$6:$B$9</c:f>
              <c:numCache>
                <c:formatCode>#,##0;[Red]\(#,##0\);\–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C-4DF1-879B-0DF4A0A7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Profit by brand</c:v>
          </c:tx>
          <c:invertIfNegative val="1"/>
          <c:cat>
            <c:strRef>
              <c:f>'Brand Performance'!$A$6:$A$11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 Performance'!$C$6:$C$11</c:f>
              <c:numCache>
                <c:formatCode>#,##0;[Red]\(#,##0\);\–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430519.625</c:v>
                </c:pt>
                <c:pt idx="4">
                  <c:v>427071.875</c:v>
                </c:pt>
                <c:pt idx="5">
                  <c:v>372825.625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7-46A9-A8CE-AA5A84E4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Margin by brand</c:v>
          </c:tx>
          <c:invertIfNegative val="1"/>
          <c:cat>
            <c:strRef>
              <c:f>'Brand Performance'!$A$6:$A$11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 Performance'!$F$6:$F$11</c:f>
              <c:numCache>
                <c:formatCode>0.0%;[Red]\(0.0%\);\–</c:formatCode>
                <c:ptCount val="6"/>
                <c:pt idx="0">
                  <c:v>0.39347248609795177</c:v>
                </c:pt>
                <c:pt idx="1">
                  <c:v>0.37993148254108511</c:v>
                </c:pt>
                <c:pt idx="2">
                  <c:v>0.33367703393691883</c:v>
                </c:pt>
                <c:pt idx="3">
                  <c:v>0.34843313403542847</c:v>
                </c:pt>
                <c:pt idx="4">
                  <c:v>0.35779026295671845</c:v>
                </c:pt>
                <c:pt idx="5">
                  <c:v>0.36138770416323368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095-AF78-AC847B72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Monthly revenue ($)</c:v>
          </c:tx>
          <c:marker>
            <c:symbol val="none"/>
          </c:marker>
          <c:cat>
            <c:strRef>
              <c:f>'Monthly Sales'!$A$6:$A$17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'Monthly Sales'!$B$6:$B$17</c:f>
              <c:numCache>
                <c:formatCode>#,##0;[Red]\(#,##0\);\–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1-43FD-AC18-78AD44D9D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Monthly operating profit ($)</c:v>
          </c:tx>
          <c:invertIfNegative val="1"/>
          <c:cat>
            <c:strRef>
              <c:f>'Monthly Sales'!$A$6:$A$17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'Monthly Sales'!$C$6:$C$17</c:f>
              <c:numCache>
                <c:formatCode>#,##0;[Red]\(#,##0\);\–</c:formatCode>
                <c:ptCount val="12"/>
                <c:pt idx="0">
                  <c:v>183334.375</c:v>
                </c:pt>
                <c:pt idx="1">
                  <c:v>174250</c:v>
                </c:pt>
                <c:pt idx="2">
                  <c:v>174392</c:v>
                </c:pt>
                <c:pt idx="3">
                  <c:v>177385</c:v>
                </c:pt>
                <c:pt idx="4">
                  <c:v>248324.625</c:v>
                </c:pt>
                <c:pt idx="5">
                  <c:v>332843.75</c:v>
                </c:pt>
                <c:pt idx="6">
                  <c:v>384724.375</c:v>
                </c:pt>
                <c:pt idx="7">
                  <c:v>349565.625</c:v>
                </c:pt>
                <c:pt idx="8">
                  <c:v>248413.75</c:v>
                </c:pt>
                <c:pt idx="9">
                  <c:v>226435</c:v>
                </c:pt>
                <c:pt idx="10">
                  <c:v>290547.75</c:v>
                </c:pt>
                <c:pt idx="11">
                  <c:v>383415.625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B-4B4E-BD47-E456281C2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by region</c:v>
          </c:tx>
          <c:invertIfNegative val="1"/>
          <c:cat>
            <c:strRef>
              <c:f>'Regional Sales'!$A$6:$A$10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'Regional Sales'!$B$6:$B$10</c:f>
              <c:numCache>
                <c:formatCode>#,##0;[Red]\(#,##0\);\–</c:formatCode>
                <c:ptCount val="5"/>
                <c:pt idx="0">
                  <c:v>2835100</c:v>
                </c:pt>
                <c:pt idx="1">
                  <c:v>1788347.5</c:v>
                </c:pt>
                <c:pt idx="2">
                  <c:v>1618935</c:v>
                </c:pt>
                <c:pt idx="3">
                  <c:v>1291535</c:v>
                </c:pt>
                <c:pt idx="4">
                  <c:v>1150110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881-A49D-FB8579DA1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by brand</c:v>
          </c:tx>
          <c:invertIfNegative val="1"/>
          <c:cat>
            <c:strRef>
              <c:f>'Brand Performance'!$A$6:$A$11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 Performance'!$B$6:$B$11</c:f>
              <c:numCache>
                <c:formatCode>#,##0;[Red]\(#,##0\);\–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6-4553-815A-3BB4A5AD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Profit by brand</c:v>
          </c:tx>
          <c:invertIfNegative val="1"/>
          <c:cat>
            <c:strRef>
              <c:f>'Brand Performance'!$A$6:$A$11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 Performance'!$C$6:$C$11</c:f>
              <c:numCache>
                <c:formatCode>#,##0;[Red]\(#,##0\);\–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430519.625</c:v>
                </c:pt>
                <c:pt idx="4">
                  <c:v>427071.875</c:v>
                </c:pt>
                <c:pt idx="5">
                  <c:v>372825.625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6-4A92-B759-2D1C33EE2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Retailer revenue</c:v>
          </c:tx>
          <c:invertIfNegative val="1"/>
          <c:cat>
            <c:strRef>
              <c:f>'Retailer Performance'!$A$6:$A$9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'Retailer Performance'!$B$6:$B$9</c:f>
              <c:numCache>
                <c:formatCode>#,##0;[Red]\(#,##0\);\–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0-4F61-8A72-A12D0418F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Coca-Cola</c:v>
          </c:tx>
          <c:marker>
            <c:symbol val="none"/>
          </c:marker>
          <c:cat>
            <c:strRef>
              <c:f>'Brand Monthly'!$A$6:$A$17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'Brand Monthly'!$B$6:$B$17</c:f>
              <c:numCache>
                <c:formatCode>#,##0;[Red]\(#,##0\);\–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F-4824-BB22-17378FED6960}"/>
            </c:ext>
          </c:extLst>
        </c:ser>
        <c:ser>
          <c:idx val="1"/>
          <c:order val="1"/>
          <c:tx>
            <c:v>Dasani Water</c:v>
          </c:tx>
          <c:marker>
            <c:symbol val="none"/>
          </c:marker>
          <c:cat>
            <c:strRef>
              <c:f>'Brand Monthly'!$A$6:$A$17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'Brand Monthly'!$C$6:$C$17</c:f>
              <c:numCache>
                <c:formatCode>#,##0;[Red]\(#,##0\);\–</c:formatCode>
                <c:ptCount val="12"/>
                <c:pt idx="0">
                  <c:v>93662.5</c:v>
                </c:pt>
                <c:pt idx="1">
                  <c:v>84950</c:v>
                </c:pt>
                <c:pt idx="2">
                  <c:v>82525</c:v>
                </c:pt>
                <c:pt idx="3">
                  <c:v>99987.5</c:v>
                </c:pt>
                <c:pt idx="4">
                  <c:v>150300</c:v>
                </c:pt>
                <c:pt idx="5">
                  <c:v>213387.5</c:v>
                </c:pt>
                <c:pt idx="6">
                  <c:v>212825</c:v>
                </c:pt>
                <c:pt idx="7">
                  <c:v>161062.5</c:v>
                </c:pt>
                <c:pt idx="8">
                  <c:v>119562.5</c:v>
                </c:pt>
                <c:pt idx="9">
                  <c:v>125087.5</c:v>
                </c:pt>
                <c:pt idx="10">
                  <c:v>181900</c:v>
                </c:pt>
                <c:pt idx="11">
                  <c:v>200587.5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F-4824-BB22-17378FED6960}"/>
            </c:ext>
          </c:extLst>
        </c:ser>
        <c:ser>
          <c:idx val="2"/>
          <c:order val="2"/>
          <c:tx>
            <c:v>Diet Coke</c:v>
          </c:tx>
          <c:marker>
            <c:symbol val="none"/>
          </c:marker>
          <c:cat>
            <c:strRef>
              <c:f>'Brand Monthly'!$A$6:$A$17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'Brand Monthly'!$D$6:$D$17</c:f>
              <c:numCache>
                <c:formatCode>#,##0;[Red]\(#,##0\);\–</c:formatCode>
                <c:ptCount val="12"/>
                <c:pt idx="0">
                  <c:v>94112.5</c:v>
                </c:pt>
                <c:pt idx="1">
                  <c:v>80150</c:v>
                </c:pt>
                <c:pt idx="2">
                  <c:v>85575</c:v>
                </c:pt>
                <c:pt idx="3">
                  <c:v>79112.5</c:v>
                </c:pt>
                <c:pt idx="4">
                  <c:v>103350</c:v>
                </c:pt>
                <c:pt idx="5">
                  <c:v>140500</c:v>
                </c:pt>
                <c:pt idx="6">
                  <c:v>174187.5</c:v>
                </c:pt>
                <c:pt idx="7">
                  <c:v>179900</c:v>
                </c:pt>
                <c:pt idx="8">
                  <c:v>131187.5</c:v>
                </c:pt>
                <c:pt idx="9">
                  <c:v>113700</c:v>
                </c:pt>
                <c:pt idx="10">
                  <c:v>118612.5</c:v>
                </c:pt>
                <c:pt idx="11">
                  <c:v>181037.5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3F-4824-BB22-17378FED6960}"/>
            </c:ext>
          </c:extLst>
        </c:ser>
        <c:ser>
          <c:idx val="3"/>
          <c:order val="3"/>
          <c:tx>
            <c:v>Sprite</c:v>
          </c:tx>
          <c:marker>
            <c:symbol val="none"/>
          </c:marker>
          <c:cat>
            <c:strRef>
              <c:f>'Brand Monthly'!$A$6:$A$17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'Brand Monthly'!$E$6:$E$17</c:f>
              <c:numCache>
                <c:formatCode>#,##0;[Red]\(#,##0\);\–</c:formatCode>
                <c:ptCount val="12"/>
                <c:pt idx="0">
                  <c:v>76912.5</c:v>
                </c:pt>
                <c:pt idx="1">
                  <c:v>71612.5</c:v>
                </c:pt>
                <c:pt idx="2">
                  <c:v>73625</c:v>
                </c:pt>
                <c:pt idx="3">
                  <c:v>69350</c:v>
                </c:pt>
                <c:pt idx="4">
                  <c:v>92300</c:v>
                </c:pt>
                <c:pt idx="5">
                  <c:v>128650</c:v>
                </c:pt>
                <c:pt idx="6">
                  <c:v>150250</c:v>
                </c:pt>
                <c:pt idx="7">
                  <c:v>144750</c:v>
                </c:pt>
                <c:pt idx="8">
                  <c:v>91350</c:v>
                </c:pt>
                <c:pt idx="9">
                  <c:v>82150</c:v>
                </c:pt>
                <c:pt idx="10">
                  <c:v>105337.5</c:v>
                </c:pt>
                <c:pt idx="11">
                  <c:v>149300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3F-4824-BB22-17378FED6960}"/>
            </c:ext>
          </c:extLst>
        </c:ser>
        <c:ser>
          <c:idx val="4"/>
          <c:order val="4"/>
          <c:tx>
            <c:v>Powerade</c:v>
          </c:tx>
          <c:marker>
            <c:symbol val="none"/>
          </c:marker>
          <c:cat>
            <c:strRef>
              <c:f>'Brand Monthly'!$A$6:$A$17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'Brand Monthly'!$F$6:$F$17</c:f>
              <c:numCache>
                <c:formatCode>#,##0;[Red]\(#,##0\);\–</c:formatCode>
                <c:ptCount val="12"/>
                <c:pt idx="0">
                  <c:v>77350</c:v>
                </c:pt>
                <c:pt idx="1">
                  <c:v>73137.5</c:v>
                </c:pt>
                <c:pt idx="2">
                  <c:v>63075</c:v>
                </c:pt>
                <c:pt idx="3">
                  <c:v>64225</c:v>
                </c:pt>
                <c:pt idx="4">
                  <c:v>85087.5</c:v>
                </c:pt>
                <c:pt idx="5">
                  <c:v>116975</c:v>
                </c:pt>
                <c:pt idx="6">
                  <c:v>146750</c:v>
                </c:pt>
                <c:pt idx="7">
                  <c:v>119500</c:v>
                </c:pt>
                <c:pt idx="8">
                  <c:v>91400</c:v>
                </c:pt>
                <c:pt idx="9">
                  <c:v>83025</c:v>
                </c:pt>
                <c:pt idx="10">
                  <c:v>127850</c:v>
                </c:pt>
                <c:pt idx="11">
                  <c:v>145262.5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3F-4824-BB22-17378FED6960}"/>
            </c:ext>
          </c:extLst>
        </c:ser>
        <c:ser>
          <c:idx val="5"/>
          <c:order val="5"/>
          <c:tx>
            <c:v>Fanta</c:v>
          </c:tx>
          <c:marker>
            <c:symbol val="none"/>
          </c:marker>
          <c:cat>
            <c:strRef>
              <c:f>'Brand Monthly'!$A$6:$A$17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'Brand Monthly'!$G$6:$G$17</c:f>
              <c:numCache>
                <c:formatCode>#,##0;[Red]\(#,##0\);\–</c:formatCode>
                <c:ptCount val="12"/>
                <c:pt idx="0">
                  <c:v>58700</c:v>
                </c:pt>
                <c:pt idx="1">
                  <c:v>53875</c:v>
                </c:pt>
                <c:pt idx="2">
                  <c:v>55062.5</c:v>
                </c:pt>
                <c:pt idx="3">
                  <c:v>53962.5</c:v>
                </c:pt>
                <c:pt idx="4">
                  <c:v>76162.5</c:v>
                </c:pt>
                <c:pt idx="5">
                  <c:v>110500</c:v>
                </c:pt>
                <c:pt idx="6">
                  <c:v>119837.5</c:v>
                </c:pt>
                <c:pt idx="7">
                  <c:v>107462.5</c:v>
                </c:pt>
                <c:pt idx="8">
                  <c:v>76762.5</c:v>
                </c:pt>
                <c:pt idx="9">
                  <c:v>72837.5</c:v>
                </c:pt>
                <c:pt idx="10">
                  <c:v>111125</c:v>
                </c:pt>
                <c:pt idx="11">
                  <c:v>135362.5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3F-4824-BB22-17378FED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Coca-Cola</c:v>
          </c:tx>
          <c:invertIfNegative val="1"/>
          <c:cat>
            <c:strRef>
              <c:f>'Brand Regional'!$A$6:$A$10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'Brand Regional'!$B$6:$B$10</c:f>
              <c:numCache>
                <c:formatCode>#,##0;[Red]\(#,##0\);\–</c:formatCode>
                <c:ptCount val="5"/>
                <c:pt idx="0">
                  <c:v>549700</c:v>
                </c:pt>
                <c:pt idx="1">
                  <c:v>498157.5</c:v>
                </c:pt>
                <c:pt idx="2">
                  <c:v>375482.5</c:v>
                </c:pt>
                <c:pt idx="3">
                  <c:v>248022.5</c:v>
                </c:pt>
                <c:pt idx="4">
                  <c:v>344527.5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F-41C6-9E64-D025E7958E4F}"/>
            </c:ext>
          </c:extLst>
        </c:ser>
        <c:ser>
          <c:idx val="1"/>
          <c:order val="1"/>
          <c:tx>
            <c:v>Dasani Water</c:v>
          </c:tx>
          <c:invertIfNegative val="1"/>
          <c:cat>
            <c:strRef>
              <c:f>'Brand Regional'!$A$6:$A$10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'Brand Regional'!$C$6:$C$10</c:f>
              <c:numCache>
                <c:formatCode>#,##0;[Red]\(#,##0\);\–</c:formatCode>
                <c:ptCount val="5"/>
                <c:pt idx="0">
                  <c:v>537562.5</c:v>
                </c:pt>
                <c:pt idx="1">
                  <c:v>357712.5</c:v>
                </c:pt>
                <c:pt idx="2">
                  <c:v>319662.5</c:v>
                </c:pt>
                <c:pt idx="3">
                  <c:v>267837.5</c:v>
                </c:pt>
                <c:pt idx="4">
                  <c:v>243062.5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F-41C6-9E64-D025E7958E4F}"/>
            </c:ext>
          </c:extLst>
        </c:ser>
        <c:ser>
          <c:idx val="2"/>
          <c:order val="2"/>
          <c:tx>
            <c:v>Diet Coke</c:v>
          </c:tx>
          <c:invertIfNegative val="1"/>
          <c:cat>
            <c:strRef>
              <c:f>'Brand Regional'!$A$6:$A$10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'Brand Regional'!$D$6:$D$10</c:f>
              <c:numCache>
                <c:formatCode>#,##0;[Red]\(#,##0\);\–</c:formatCode>
                <c:ptCount val="5"/>
                <c:pt idx="0">
                  <c:v>541150</c:v>
                </c:pt>
                <c:pt idx="1">
                  <c:v>277050</c:v>
                </c:pt>
                <c:pt idx="2">
                  <c:v>253100</c:v>
                </c:pt>
                <c:pt idx="3">
                  <c:v>231450</c:v>
                </c:pt>
                <c:pt idx="4">
                  <c:v>178675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F-41C6-9E64-D025E7958E4F}"/>
            </c:ext>
          </c:extLst>
        </c:ser>
        <c:ser>
          <c:idx val="3"/>
          <c:order val="3"/>
          <c:tx>
            <c:v>Sprite</c:v>
          </c:tx>
          <c:invertIfNegative val="1"/>
          <c:cat>
            <c:strRef>
              <c:f>'Brand Regional'!$A$6:$A$10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'Brand Regional'!$E$6:$E$10</c:f>
              <c:numCache>
                <c:formatCode>#,##0;[Red]\(#,##0\);\–</c:formatCode>
                <c:ptCount val="5"/>
                <c:pt idx="0">
                  <c:v>461875</c:v>
                </c:pt>
                <c:pt idx="1">
                  <c:v>223690</c:v>
                </c:pt>
                <c:pt idx="2">
                  <c:v>209165</c:v>
                </c:pt>
                <c:pt idx="3">
                  <c:v>207425</c:v>
                </c:pt>
                <c:pt idx="4">
                  <c:v>133432.5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7F-41C6-9E64-D025E7958E4F}"/>
            </c:ext>
          </c:extLst>
        </c:ser>
        <c:ser>
          <c:idx val="4"/>
          <c:order val="4"/>
          <c:tx>
            <c:v>Powerade</c:v>
          </c:tx>
          <c:invertIfNegative val="1"/>
          <c:cat>
            <c:strRef>
              <c:f>'Brand Regional'!$A$6:$A$10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'Brand Regional'!$F$6:$F$10</c:f>
              <c:numCache>
                <c:formatCode>#,##0;[Red]\(#,##0\);\–</c:formatCode>
                <c:ptCount val="5"/>
                <c:pt idx="0">
                  <c:v>369762.5</c:v>
                </c:pt>
                <c:pt idx="1">
                  <c:v>242875</c:v>
                </c:pt>
                <c:pt idx="2">
                  <c:v>262775</c:v>
                </c:pt>
                <c:pt idx="3">
                  <c:v>171050</c:v>
                </c:pt>
                <c:pt idx="4">
                  <c:v>147175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7F-41C6-9E64-D025E7958E4F}"/>
            </c:ext>
          </c:extLst>
        </c:ser>
        <c:ser>
          <c:idx val="5"/>
          <c:order val="5"/>
          <c:tx>
            <c:v>Fanta</c:v>
          </c:tx>
          <c:invertIfNegative val="1"/>
          <c:cat>
            <c:strRef>
              <c:f>'Brand Regional'!$A$6:$A$10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'Brand Regional'!$G$6:$G$10</c:f>
              <c:numCache>
                <c:formatCode>#,##0;[Red]\(#,##0\);\–</c:formatCode>
                <c:ptCount val="5"/>
                <c:pt idx="0">
                  <c:v>375050</c:v>
                </c:pt>
                <c:pt idx="1">
                  <c:v>188862.5</c:v>
                </c:pt>
                <c:pt idx="2">
                  <c:v>198750</c:v>
                </c:pt>
                <c:pt idx="3">
                  <c:v>165750</c:v>
                </c:pt>
                <c:pt idx="4">
                  <c:v>103237.5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7F-41C6-9E64-D025E7958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Weighted operating margin by brand</c:v>
          </c:tx>
          <c:invertIfNegative val="1"/>
          <c:cat>
            <c:strRef>
              <c:f>'Price and Margin'!$A$6:$A$11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'Price and Margin'!$F$6:$F$11</c:f>
              <c:numCache>
                <c:formatCode>0.0%;[Red]\(0.0%\);\–</c:formatCode>
                <c:ptCount val="6"/>
                <c:pt idx="0">
                  <c:v>0.39347248609795177</c:v>
                </c:pt>
                <c:pt idx="1">
                  <c:v>0.37993148254108511</c:v>
                </c:pt>
                <c:pt idx="2">
                  <c:v>0.33367703393691883</c:v>
                </c:pt>
                <c:pt idx="3">
                  <c:v>0.34843313403542847</c:v>
                </c:pt>
                <c:pt idx="4">
                  <c:v>0.35779026295671845</c:v>
                </c:pt>
                <c:pt idx="5">
                  <c:v>0.36138770416323368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1-4CA1-B6ED-14CF007A6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Average realised unit price</c:v>
          </c:tx>
          <c:invertIfNegative val="1"/>
          <c:cat>
            <c:strRef>
              <c:f>'Price and Margin'!$A$6:$A$11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'Price and Margin'!$D$6:$D$11</c:f>
              <c:numCache>
                <c:formatCode>\$0.00</c:formatCode>
                <c:ptCount val="6"/>
                <c:pt idx="0">
                  <c:v>0.48772515574910785</c:v>
                </c:pt>
                <c:pt idx="1">
                  <c:v>0.57523123073077242</c:v>
                </c:pt>
                <c:pt idx="2">
                  <c:v>0.49356155255705481</c:v>
                </c:pt>
                <c:pt idx="3">
                  <c:v>0.45741323461360484</c:v>
                </c:pt>
                <c:pt idx="4">
                  <c:v>0.5628374395850525</c:v>
                </c:pt>
                <c:pt idx="5">
                  <c:v>0.47080433542498573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0-442A-BBE4-20AA0CC29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8</xdr:col>
      <xdr:colOff>0</xdr:colOff>
      <xdr:row>71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54</xdr:row>
      <xdr:rowOff>0</xdr:rowOff>
    </xdr:from>
    <xdr:to>
      <xdr:col>17</xdr:col>
      <xdr:colOff>0</xdr:colOff>
      <xdr:row>71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workbookViewId="0">
      <selection sqref="A1:Q2"/>
    </sheetView>
  </sheetViews>
  <sheetFormatPr defaultRowHeight="14"/>
  <cols>
    <col min="1" max="12" width="15" customWidth="1"/>
    <col min="13" max="13" width="26" customWidth="1"/>
    <col min="14" max="14" width="22" customWidth="1"/>
    <col min="15" max="17" width="15" customWidth="1"/>
  </cols>
  <sheetData>
    <row r="1" spans="1:17" ht="16.649999999999999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6.649999999999999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5" spans="1:17" ht="19.399999999999999" customHeight="1">
      <c r="A5" s="20" t="s">
        <v>2</v>
      </c>
      <c r="B5" s="20"/>
      <c r="D5" s="20" t="s">
        <v>3</v>
      </c>
      <c r="E5" s="20"/>
      <c r="G5" s="20" t="s">
        <v>4</v>
      </c>
      <c r="H5" s="20"/>
      <c r="J5" s="20" t="s">
        <v>5</v>
      </c>
      <c r="K5" s="20"/>
      <c r="M5" s="1" t="s">
        <v>6</v>
      </c>
      <c r="N5" s="1" t="s">
        <v>7</v>
      </c>
    </row>
    <row r="6" spans="1:17">
      <c r="A6" s="15">
        <f>SUM('Brand Performance'!B6:B11)</f>
        <v>8684027.5</v>
      </c>
      <c r="B6" s="16"/>
      <c r="D6" s="17">
        <f>SUM('Brand Performance'!D6:D11)</f>
        <v>17148250</v>
      </c>
      <c r="E6" s="16"/>
      <c r="G6" s="16" t="str">
        <f>INDEX('Monthly Sales'!A6:A17,MATCH(MAX('Monthly Sales'!B6:B17),'Monthly Sales'!B6:B17,0))</f>
        <v>2021-12</v>
      </c>
      <c r="H6" s="16"/>
      <c r="J6" s="16" t="str">
        <f>'Brand Performance'!A6</f>
        <v>Coca-Cola</v>
      </c>
      <c r="K6" s="16"/>
      <c r="M6" t="s">
        <v>8</v>
      </c>
      <c r="N6" s="10">
        <f>A6</f>
        <v>8684027.5</v>
      </c>
    </row>
    <row r="7" spans="1:17">
      <c r="A7" s="16"/>
      <c r="B7" s="16"/>
      <c r="D7" s="16"/>
      <c r="E7" s="16"/>
      <c r="G7" s="16"/>
      <c r="H7" s="16"/>
      <c r="J7" s="16"/>
      <c r="K7" s="16"/>
      <c r="M7" t="s">
        <v>9</v>
      </c>
      <c r="N7" s="10">
        <f>A11</f>
        <v>3173631.875</v>
      </c>
    </row>
    <row r="8" spans="1:17">
      <c r="A8" s="16"/>
      <c r="B8" s="16"/>
      <c r="D8" s="16"/>
      <c r="E8" s="16"/>
      <c r="G8" s="16"/>
      <c r="H8" s="16"/>
      <c r="J8" s="16"/>
      <c r="K8" s="16"/>
      <c r="M8" t="s">
        <v>10</v>
      </c>
      <c r="N8">
        <f>D6</f>
        <v>17148250</v>
      </c>
    </row>
    <row r="9" spans="1:17">
      <c r="M9" t="s">
        <v>11</v>
      </c>
      <c r="N9" s="12">
        <f>'Data Quality'!B7</f>
        <v>3888</v>
      </c>
    </row>
    <row r="10" spans="1:17" ht="19.399999999999999" customHeight="1">
      <c r="A10" s="20" t="s">
        <v>12</v>
      </c>
      <c r="B10" s="20"/>
      <c r="D10" s="20" t="s">
        <v>13</v>
      </c>
      <c r="E10" s="20"/>
      <c r="G10" s="20" t="s">
        <v>14</v>
      </c>
      <c r="H10" s="20"/>
      <c r="J10" s="20" t="s">
        <v>15</v>
      </c>
      <c r="K10" s="20"/>
      <c r="M10" t="s">
        <v>16</v>
      </c>
      <c r="N10" s="12">
        <f>'Data Quality'!B9</f>
        <v>6</v>
      </c>
    </row>
    <row r="11" spans="1:17">
      <c r="A11" s="15">
        <f>SUM('Brand Performance'!C6:C11)</f>
        <v>3173631.875</v>
      </c>
      <c r="B11" s="16"/>
      <c r="D11" s="18">
        <f>IFERROR(A11/A6,0)</f>
        <v>0.36545622120611665</v>
      </c>
      <c r="E11" s="16"/>
      <c r="G11" s="15">
        <f>MIN('Monthly Sales'!B6:B17)</f>
        <v>483530</v>
      </c>
      <c r="H11" s="16"/>
      <c r="J11" s="16" t="str">
        <f>'Retailer Performance'!A6</f>
        <v>Sodapop</v>
      </c>
      <c r="K11" s="16"/>
      <c r="M11" t="s">
        <v>17</v>
      </c>
      <c r="N11" s="12">
        <f>'Data Quality'!B10</f>
        <v>5</v>
      </c>
    </row>
    <row r="12" spans="1:17">
      <c r="A12" s="16"/>
      <c r="B12" s="16"/>
      <c r="D12" s="16"/>
      <c r="E12" s="16"/>
      <c r="G12" s="16"/>
      <c r="H12" s="16"/>
      <c r="J12" s="16"/>
      <c r="K12" s="16"/>
      <c r="M12" t="s">
        <v>18</v>
      </c>
      <c r="N12" s="12">
        <f>'Data Quality'!B11</f>
        <v>4</v>
      </c>
    </row>
    <row r="13" spans="1:17">
      <c r="A13" s="16"/>
      <c r="B13" s="16"/>
      <c r="D13" s="16"/>
      <c r="E13" s="16"/>
      <c r="G13" s="16"/>
      <c r="H13" s="16"/>
      <c r="J13" s="16"/>
      <c r="K13" s="16"/>
      <c r="M13" t="s">
        <v>19</v>
      </c>
      <c r="N13" s="5">
        <f>D11</f>
        <v>0.36545622120611665</v>
      </c>
    </row>
    <row r="15" spans="1:17" ht="19.399999999999999" customHeight="1">
      <c r="M15" s="1" t="s">
        <v>20</v>
      </c>
      <c r="N15" s="1" t="s">
        <v>21</v>
      </c>
    </row>
    <row r="16" spans="1:17">
      <c r="A16" s="19" t="s">
        <v>22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M16" t="s">
        <v>23</v>
      </c>
      <c r="N16" s="10">
        <v>1045775</v>
      </c>
    </row>
    <row r="17" spans="1:14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M17" t="s">
        <v>24</v>
      </c>
      <c r="N17" s="10">
        <v>483530</v>
      </c>
    </row>
    <row r="18" spans="1:14">
      <c r="N18" s="10"/>
    </row>
    <row r="19" spans="1:14" ht="19.399999999999999" customHeight="1">
      <c r="M19" s="1" t="s">
        <v>25</v>
      </c>
      <c r="N19" s="11" t="s">
        <v>26</v>
      </c>
    </row>
    <row r="20" spans="1:14">
      <c r="M20" t="s">
        <v>27</v>
      </c>
      <c r="N20" s="10">
        <v>2015890</v>
      </c>
    </row>
    <row r="21" spans="1:14">
      <c r="M21" t="s">
        <v>28</v>
      </c>
      <c r="N21" s="10">
        <v>2835100</v>
      </c>
    </row>
    <row r="22" spans="1:14">
      <c r="M22" t="s">
        <v>29</v>
      </c>
      <c r="N22" s="10">
        <v>4403630</v>
      </c>
    </row>
    <row r="74" spans="1:17" ht="16" customHeight="1">
      <c r="A74" s="21" t="s">
        <v>30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ht="16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</sheetData>
  <mergeCells count="20">
    <mergeCell ref="A10:B10"/>
    <mergeCell ref="D10:E10"/>
    <mergeCell ref="G10:H10"/>
    <mergeCell ref="J10:K10"/>
    <mergeCell ref="A74:Q75"/>
    <mergeCell ref="A11:B13"/>
    <mergeCell ref="D11:E13"/>
    <mergeCell ref="G11:H13"/>
    <mergeCell ref="J11:K13"/>
    <mergeCell ref="A16:K17"/>
    <mergeCell ref="A1:Q2"/>
    <mergeCell ref="A3:Q3"/>
    <mergeCell ref="A6:B8"/>
    <mergeCell ref="D6:E8"/>
    <mergeCell ref="G6:H8"/>
    <mergeCell ref="J6:K8"/>
    <mergeCell ref="A5:B5"/>
    <mergeCell ref="D5:E5"/>
    <mergeCell ref="G5:H5"/>
    <mergeCell ref="J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A14" sqref="A14"/>
    </sheetView>
  </sheetViews>
  <sheetFormatPr defaultRowHeight="14"/>
  <cols>
    <col min="1" max="1" width="29" customWidth="1"/>
    <col min="2" max="2" width="26" customWidth="1"/>
    <col min="3" max="4" width="24" customWidth="1"/>
    <col min="5" max="5" width="30" customWidth="1"/>
    <col min="6" max="6" width="39" customWidth="1"/>
  </cols>
  <sheetData>
    <row r="1" spans="1:10" ht="16.649999999999999" customHeight="1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.649999999999999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6" customHeight="1">
      <c r="A3" s="14"/>
      <c r="B3" s="14"/>
      <c r="C3" s="14"/>
      <c r="D3" s="14"/>
      <c r="E3" s="14"/>
      <c r="F3" s="14"/>
      <c r="G3" s="14"/>
      <c r="H3" s="14"/>
      <c r="I3" s="14"/>
      <c r="J3" s="14"/>
    </row>
    <row r="5" spans="1:10" ht="19.399999999999999" customHeight="1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</row>
    <row r="6" spans="1:10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</row>
    <row r="7" spans="1:10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</row>
    <row r="8" spans="1:10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</row>
    <row r="9" spans="1:10">
      <c r="A9" t="s">
        <v>56</v>
      </c>
      <c r="B9" t="s">
        <v>57</v>
      </c>
      <c r="C9" t="s">
        <v>8</v>
      </c>
      <c r="D9" t="s">
        <v>58</v>
      </c>
      <c r="E9" t="s">
        <v>59</v>
      </c>
      <c r="F9" t="s">
        <v>60</v>
      </c>
    </row>
    <row r="10" spans="1:10">
      <c r="A10" t="s">
        <v>61</v>
      </c>
      <c r="B10" t="s">
        <v>62</v>
      </c>
      <c r="C10" t="s">
        <v>8</v>
      </c>
      <c r="D10" t="s">
        <v>58</v>
      </c>
      <c r="E10" t="s">
        <v>63</v>
      </c>
      <c r="F10" t="s">
        <v>64</v>
      </c>
    </row>
    <row r="11" spans="1:10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</row>
    <row r="12" spans="1:10">
      <c r="A12" t="s">
        <v>71</v>
      </c>
      <c r="B12" t="s">
        <v>51</v>
      </c>
      <c r="C12" t="s">
        <v>72</v>
      </c>
      <c r="D12" t="s">
        <v>53</v>
      </c>
      <c r="E12" t="s">
        <v>73</v>
      </c>
      <c r="F12" t="s">
        <v>74</v>
      </c>
    </row>
    <row r="13" spans="1:10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</row>
    <row r="14" spans="1:10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</row>
    <row r="15" spans="1:10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</row>
    <row r="16" spans="1:10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</row>
    <row r="20" spans="1:6" ht="19.399999999999999" customHeight="1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</row>
    <row r="21" spans="1:6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</row>
    <row r="22" spans="1:6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</row>
  </sheetData>
  <mergeCells count="2">
    <mergeCell ref="A1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5" topLeftCell="A6" activePane="bottomLeft" state="frozen"/>
      <selection pane="bottomLeft" sqref="A1:J2"/>
    </sheetView>
  </sheetViews>
  <sheetFormatPr defaultRowHeight="14"/>
  <cols>
    <col min="1" max="1" width="18" customWidth="1"/>
    <col min="2" max="2" width="20" customWidth="1"/>
    <col min="3" max="3" width="24" customWidth="1"/>
    <col min="4" max="5" width="18" customWidth="1"/>
    <col min="6" max="6" width="16" customWidth="1"/>
    <col min="7" max="7" width="18" customWidth="1"/>
  </cols>
  <sheetData>
    <row r="1" spans="1:10" ht="25" customHeight="1">
      <c r="A1" s="13" t="s">
        <v>117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24" customHeight="1">
      <c r="A3" s="14" t="s">
        <v>118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ht="29" customHeight="1">
      <c r="A5" s="1" t="s">
        <v>119</v>
      </c>
      <c r="B5" s="1" t="s">
        <v>120</v>
      </c>
      <c r="C5" s="1" t="s">
        <v>121</v>
      </c>
      <c r="D5" s="1" t="s">
        <v>122</v>
      </c>
      <c r="E5" s="1" t="s">
        <v>11</v>
      </c>
      <c r="F5" s="1" t="s">
        <v>123</v>
      </c>
      <c r="G5" s="1" t="s">
        <v>124</v>
      </c>
    </row>
    <row r="6" spans="1:10">
      <c r="A6" t="s">
        <v>125</v>
      </c>
      <c r="B6" s="6">
        <v>510750</v>
      </c>
      <c r="C6" s="6">
        <v>183334.375</v>
      </c>
      <c r="D6" s="6">
        <v>1347750</v>
      </c>
      <c r="E6">
        <v>324</v>
      </c>
      <c r="F6" s="5">
        <f t="shared" ref="F6:F17" si="0">IFERROR(C6/B6,0)</f>
        <v>0.35895129711209006</v>
      </c>
      <c r="G6" s="5">
        <f t="shared" ref="G6:G17" si="1">IFERROR(B6/SUM($B$6:$B$17),0)</f>
        <v>5.8814875931703349E-2</v>
      </c>
    </row>
    <row r="7" spans="1:10">
      <c r="A7" t="s">
        <v>126</v>
      </c>
      <c r="B7" s="6">
        <v>484975</v>
      </c>
      <c r="C7" s="6">
        <v>174250</v>
      </c>
      <c r="D7" s="6">
        <v>1274250</v>
      </c>
      <c r="E7">
        <v>324</v>
      </c>
      <c r="F7" s="5">
        <f t="shared" si="0"/>
        <v>0.35929687097273055</v>
      </c>
      <c r="G7" s="5">
        <f t="shared" si="1"/>
        <v>5.5846783073867513E-2</v>
      </c>
    </row>
    <row r="8" spans="1:10">
      <c r="A8" t="s">
        <v>24</v>
      </c>
      <c r="B8" s="6">
        <v>483530</v>
      </c>
      <c r="C8" s="6">
        <v>174392</v>
      </c>
      <c r="D8" s="6">
        <v>1204250</v>
      </c>
      <c r="E8">
        <v>324</v>
      </c>
      <c r="F8" s="5">
        <f t="shared" si="0"/>
        <v>0.36066428143031454</v>
      </c>
      <c r="G8" s="5">
        <f t="shared" si="1"/>
        <v>5.5680385627521332E-2</v>
      </c>
    </row>
    <row r="9" spans="1:10">
      <c r="A9" t="s">
        <v>127</v>
      </c>
      <c r="B9" s="6">
        <v>494887.5</v>
      </c>
      <c r="C9" s="6">
        <v>177385</v>
      </c>
      <c r="D9" s="6">
        <v>1175750</v>
      </c>
      <c r="E9">
        <v>324</v>
      </c>
      <c r="F9" s="5">
        <f t="shared" si="0"/>
        <v>0.35843499785304739</v>
      </c>
      <c r="G9" s="5">
        <f t="shared" si="1"/>
        <v>5.6988246525013886E-2</v>
      </c>
    </row>
    <row r="10" spans="1:10">
      <c r="A10" t="s">
        <v>128</v>
      </c>
      <c r="B10" s="6">
        <v>673572.5</v>
      </c>
      <c r="C10" s="6">
        <v>248324.625</v>
      </c>
      <c r="D10" s="6">
        <v>1355000</v>
      </c>
      <c r="E10">
        <v>324</v>
      </c>
      <c r="F10" s="5">
        <f t="shared" si="0"/>
        <v>0.36866799787699173</v>
      </c>
      <c r="G10" s="5">
        <f t="shared" si="1"/>
        <v>7.7564528670596683E-2</v>
      </c>
    </row>
    <row r="11" spans="1:10">
      <c r="A11" t="s">
        <v>129</v>
      </c>
      <c r="B11" s="6">
        <v>903837.5</v>
      </c>
      <c r="C11" s="6">
        <v>332843.75</v>
      </c>
      <c r="D11" s="6">
        <v>1624750</v>
      </c>
      <c r="E11">
        <v>324</v>
      </c>
      <c r="F11" s="5">
        <f t="shared" si="0"/>
        <v>0.36825618543156263</v>
      </c>
      <c r="G11" s="5">
        <f t="shared" si="1"/>
        <v>0.1040804511501144</v>
      </c>
    </row>
    <row r="12" spans="1:10">
      <c r="A12" t="s">
        <v>130</v>
      </c>
      <c r="B12" s="6">
        <v>1041437.5</v>
      </c>
      <c r="C12" s="6">
        <v>384724.375</v>
      </c>
      <c r="D12" s="6">
        <v>1762500</v>
      </c>
      <c r="E12">
        <v>324</v>
      </c>
      <c r="F12" s="5">
        <f t="shared" si="0"/>
        <v>0.36941667166776693</v>
      </c>
      <c r="G12" s="5">
        <f t="shared" si="1"/>
        <v>0.11992563358418661</v>
      </c>
    </row>
    <row r="13" spans="1:10">
      <c r="A13" t="s">
        <v>131</v>
      </c>
      <c r="B13" s="6">
        <v>945275</v>
      </c>
      <c r="C13" s="6">
        <v>349565.625</v>
      </c>
      <c r="D13" s="6">
        <v>1654000</v>
      </c>
      <c r="E13">
        <v>324</v>
      </c>
      <c r="F13" s="5">
        <f t="shared" si="0"/>
        <v>0.36980309962709262</v>
      </c>
      <c r="G13" s="5">
        <f t="shared" si="1"/>
        <v>0.10885214262621808</v>
      </c>
    </row>
    <row r="14" spans="1:10">
      <c r="A14" t="s">
        <v>132</v>
      </c>
      <c r="B14" s="6">
        <v>681000</v>
      </c>
      <c r="C14" s="6">
        <v>248413.75</v>
      </c>
      <c r="D14" s="6">
        <v>1377250</v>
      </c>
      <c r="E14">
        <v>324</v>
      </c>
      <c r="F14" s="5">
        <f t="shared" si="0"/>
        <v>0.36477790014684286</v>
      </c>
      <c r="G14" s="5">
        <f t="shared" si="1"/>
        <v>7.8419834575604461E-2</v>
      </c>
    </row>
    <row r="15" spans="1:10">
      <c r="A15" t="s">
        <v>133</v>
      </c>
      <c r="B15" s="6">
        <v>623375</v>
      </c>
      <c r="C15" s="6">
        <v>226435</v>
      </c>
      <c r="D15" s="6">
        <v>1253250</v>
      </c>
      <c r="E15">
        <v>324</v>
      </c>
      <c r="F15" s="5">
        <f t="shared" si="0"/>
        <v>0.36324042510527371</v>
      </c>
      <c r="G15" s="5">
        <f t="shared" si="1"/>
        <v>7.178408866162618E-2</v>
      </c>
    </row>
    <row r="16" spans="1:10">
      <c r="A16" t="s">
        <v>134</v>
      </c>
      <c r="B16" s="6">
        <v>795612.5</v>
      </c>
      <c r="C16" s="6">
        <v>290547.75</v>
      </c>
      <c r="D16" s="6">
        <v>1442500</v>
      </c>
      <c r="E16">
        <v>324</v>
      </c>
      <c r="F16" s="5">
        <f t="shared" si="0"/>
        <v>0.3651875127653223</v>
      </c>
      <c r="G16" s="5">
        <f t="shared" si="1"/>
        <v>9.1617915765467114E-2</v>
      </c>
    </row>
    <row r="17" spans="1:7">
      <c r="A17" t="s">
        <v>23</v>
      </c>
      <c r="B17" s="6">
        <v>1045775</v>
      </c>
      <c r="C17" s="6">
        <v>383415.625</v>
      </c>
      <c r="D17" s="6">
        <v>1677000</v>
      </c>
      <c r="E17">
        <v>324</v>
      </c>
      <c r="F17" s="5">
        <f t="shared" si="0"/>
        <v>0.36663299945016853</v>
      </c>
      <c r="G17" s="5">
        <f t="shared" si="1"/>
        <v>0.12042511380808041</v>
      </c>
    </row>
  </sheetData>
  <mergeCells count="2">
    <mergeCell ref="A1:J2"/>
    <mergeCell ref="A3:J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pane ySplit="5" topLeftCell="A6" activePane="bottomLeft" state="frozen"/>
      <selection pane="bottomLeft" sqref="A1:J2"/>
    </sheetView>
  </sheetViews>
  <sheetFormatPr defaultRowHeight="14"/>
  <cols>
    <col min="1" max="1" width="22" customWidth="1"/>
    <col min="2" max="2" width="21" customWidth="1"/>
    <col min="3" max="3" width="24" customWidth="1"/>
    <col min="4" max="4" width="18" customWidth="1"/>
    <col min="5" max="5" width="17" customWidth="1"/>
    <col min="6" max="6" width="16" customWidth="1"/>
    <col min="7" max="7" width="18" customWidth="1"/>
  </cols>
  <sheetData>
    <row r="1" spans="1:10" ht="25" customHeight="1">
      <c r="A1" s="13" t="s">
        <v>135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24" customHeight="1">
      <c r="A3" s="14" t="s">
        <v>136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ht="29" customHeight="1">
      <c r="A5" s="1" t="s">
        <v>45</v>
      </c>
      <c r="B5" s="1" t="s">
        <v>120</v>
      </c>
      <c r="C5" s="1" t="s">
        <v>121</v>
      </c>
      <c r="D5" s="1" t="s">
        <v>122</v>
      </c>
      <c r="E5" s="1" t="s">
        <v>11</v>
      </c>
      <c r="F5" s="1" t="s">
        <v>123</v>
      </c>
      <c r="G5" s="1" t="s">
        <v>124</v>
      </c>
    </row>
    <row r="6" spans="1:10">
      <c r="A6" t="s">
        <v>28</v>
      </c>
      <c r="B6" s="6">
        <v>2835100</v>
      </c>
      <c r="C6" s="6">
        <v>923014.375</v>
      </c>
      <c r="D6">
        <v>4601500</v>
      </c>
      <c r="E6">
        <v>936</v>
      </c>
      <c r="F6" s="5">
        <f>IFERROR(C6/B6,0)</f>
        <v>0.32556677894959613</v>
      </c>
      <c r="G6" s="5">
        <f>IFERROR(B6/SUM($B$6:$B$10),0)</f>
        <v>0.32647294127062587</v>
      </c>
    </row>
    <row r="7" spans="1:10">
      <c r="A7" t="s">
        <v>137</v>
      </c>
      <c r="B7" s="6">
        <v>1788347.5</v>
      </c>
      <c r="C7" s="6">
        <v>629546</v>
      </c>
      <c r="D7">
        <v>3394550</v>
      </c>
      <c r="E7">
        <v>936</v>
      </c>
      <c r="F7" s="5">
        <f>IFERROR(C7/B7,0)</f>
        <v>0.35202666148497425</v>
      </c>
      <c r="G7" s="5">
        <f>IFERROR(B7/SUM($B$6:$B$10),0)</f>
        <v>0.20593526448413482</v>
      </c>
    </row>
    <row r="8" spans="1:10">
      <c r="A8" t="s">
        <v>138</v>
      </c>
      <c r="B8" s="6">
        <v>1618935</v>
      </c>
      <c r="C8" s="6">
        <v>641553.875</v>
      </c>
      <c r="D8">
        <v>3304450</v>
      </c>
      <c r="E8">
        <v>504</v>
      </c>
      <c r="F8" s="5">
        <f>IFERROR(C8/B8,0)</f>
        <v>0.39628142884056494</v>
      </c>
      <c r="G8" s="5">
        <f>IFERROR(B8/SUM($B$6:$B$10),0)</f>
        <v>0.18642674726674921</v>
      </c>
    </row>
    <row r="9" spans="1:10">
      <c r="A9" t="s">
        <v>139</v>
      </c>
      <c r="B9" s="6">
        <v>1291535</v>
      </c>
      <c r="C9" s="6">
        <v>542046.125</v>
      </c>
      <c r="D9">
        <v>3064800</v>
      </c>
      <c r="E9">
        <v>576</v>
      </c>
      <c r="F9" s="5">
        <f>IFERROR(C9/B9,0)</f>
        <v>0.41969139434858521</v>
      </c>
      <c r="G9" s="5">
        <f>IFERROR(B9/SUM($B$6:$B$10),0)</f>
        <v>0.14872534662056286</v>
      </c>
    </row>
    <row r="10" spans="1:10">
      <c r="A10" t="s">
        <v>140</v>
      </c>
      <c r="B10" s="6">
        <v>1150110</v>
      </c>
      <c r="C10" s="6">
        <v>437471.5</v>
      </c>
      <c r="D10">
        <v>2782950</v>
      </c>
      <c r="E10">
        <v>936</v>
      </c>
      <c r="F10" s="5">
        <f>IFERROR(C10/B10,0)</f>
        <v>0.38037361643668866</v>
      </c>
      <c r="G10" s="5">
        <f>IFERROR(B10/SUM($B$6:$B$10),0)</f>
        <v>0.13243970035792724</v>
      </c>
    </row>
  </sheetData>
  <mergeCells count="2">
    <mergeCell ref="A1:J2"/>
    <mergeCell ref="A3:J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pane ySplit="5" topLeftCell="A6" activePane="bottomLeft" state="frozen"/>
      <selection pane="bottomLeft" sqref="A1:J2"/>
    </sheetView>
  </sheetViews>
  <sheetFormatPr defaultRowHeight="14"/>
  <cols>
    <col min="1" max="2" width="21" customWidth="1"/>
    <col min="3" max="3" width="24" customWidth="1"/>
    <col min="4" max="4" width="18" customWidth="1"/>
    <col min="5" max="5" width="17" customWidth="1"/>
    <col min="6" max="6" width="16" customWidth="1"/>
    <col min="7" max="7" width="18" customWidth="1"/>
    <col min="8" max="8" width="22" customWidth="1"/>
  </cols>
  <sheetData>
    <row r="1" spans="1:10" ht="25" customHeight="1">
      <c r="A1" s="13" t="s">
        <v>141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24" customHeight="1">
      <c r="A3" s="14" t="s">
        <v>142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ht="29" customHeight="1">
      <c r="A5" s="1" t="s">
        <v>51</v>
      </c>
      <c r="B5" s="1" t="s">
        <v>120</v>
      </c>
      <c r="C5" s="1" t="s">
        <v>121</v>
      </c>
      <c r="D5" s="1" t="s">
        <v>122</v>
      </c>
      <c r="E5" s="1" t="s">
        <v>11</v>
      </c>
      <c r="F5" s="1" t="s">
        <v>123</v>
      </c>
      <c r="G5" s="1" t="s">
        <v>124</v>
      </c>
      <c r="H5" s="1" t="s">
        <v>143</v>
      </c>
    </row>
    <row r="6" spans="1:10">
      <c r="A6" t="s">
        <v>27</v>
      </c>
      <c r="B6" s="6">
        <v>2015890</v>
      </c>
      <c r="C6" s="6">
        <v>793197.25</v>
      </c>
      <c r="D6">
        <v>4133250</v>
      </c>
      <c r="E6">
        <v>648</v>
      </c>
      <c r="F6" s="5">
        <f t="shared" ref="F6:F11" si="0">IFERROR(C6/B6,0)</f>
        <v>0.39347248609795177</v>
      </c>
      <c r="G6" s="5">
        <f t="shared" ref="G6:G11" si="1">IFERROR(B6/SUM($B$6:$B$11),0)</f>
        <v>0.23213768035626325</v>
      </c>
      <c r="H6" s="3">
        <f t="shared" ref="H6:H11" si="2">IFERROR(B6/D6,0)</f>
        <v>0.48772515574910785</v>
      </c>
    </row>
    <row r="7" spans="1:10">
      <c r="A7" t="s">
        <v>144</v>
      </c>
      <c r="B7" s="6">
        <v>1725837.5</v>
      </c>
      <c r="C7" s="6">
        <v>655700</v>
      </c>
      <c r="D7">
        <v>3000250</v>
      </c>
      <c r="E7">
        <v>648</v>
      </c>
      <c r="F7" s="5">
        <f t="shared" si="0"/>
        <v>0.37993148254108511</v>
      </c>
      <c r="G7" s="5">
        <f t="shared" si="1"/>
        <v>0.19873699156295854</v>
      </c>
      <c r="H7" s="3">
        <f t="shared" si="2"/>
        <v>0.57523123073077242</v>
      </c>
    </row>
    <row r="8" spans="1:10">
      <c r="A8" t="s">
        <v>145</v>
      </c>
      <c r="B8" s="6">
        <v>1481425</v>
      </c>
      <c r="C8" s="6">
        <v>494317.5</v>
      </c>
      <c r="D8">
        <v>3001500</v>
      </c>
      <c r="E8">
        <v>648</v>
      </c>
      <c r="F8" s="5">
        <f t="shared" si="0"/>
        <v>0.33367703393691883</v>
      </c>
      <c r="G8" s="5">
        <f t="shared" si="1"/>
        <v>0.17059192868746673</v>
      </c>
      <c r="H8" s="3">
        <f t="shared" si="2"/>
        <v>0.49356155255705481</v>
      </c>
    </row>
    <row r="9" spans="1:10">
      <c r="A9" t="s">
        <v>146</v>
      </c>
      <c r="B9" s="6">
        <v>1235587.5</v>
      </c>
      <c r="C9" s="6">
        <v>430519.625</v>
      </c>
      <c r="D9">
        <v>2701250</v>
      </c>
      <c r="E9">
        <v>648</v>
      </c>
      <c r="F9" s="5">
        <f t="shared" si="0"/>
        <v>0.34843313403542847</v>
      </c>
      <c r="G9" s="5">
        <f t="shared" si="1"/>
        <v>0.14228277144447091</v>
      </c>
      <c r="H9" s="3">
        <f t="shared" si="2"/>
        <v>0.45741323461360484</v>
      </c>
    </row>
    <row r="10" spans="1:10">
      <c r="A10" t="s">
        <v>147</v>
      </c>
      <c r="B10" s="6">
        <v>1193637.5</v>
      </c>
      <c r="C10" s="6">
        <v>427071.875</v>
      </c>
      <c r="D10">
        <v>2120750</v>
      </c>
      <c r="E10">
        <v>648</v>
      </c>
      <c r="F10" s="5">
        <f t="shared" si="0"/>
        <v>0.35779026295671845</v>
      </c>
      <c r="G10" s="5">
        <f t="shared" si="1"/>
        <v>0.13745206357303683</v>
      </c>
      <c r="H10" s="3">
        <f t="shared" si="2"/>
        <v>0.5628374395850525</v>
      </c>
    </row>
    <row r="11" spans="1:10">
      <c r="A11" t="s">
        <v>148</v>
      </c>
      <c r="B11" s="6">
        <v>1031650</v>
      </c>
      <c r="C11" s="6">
        <v>372825.625</v>
      </c>
      <c r="D11">
        <v>2191250</v>
      </c>
      <c r="E11">
        <v>648</v>
      </c>
      <c r="F11" s="5">
        <f t="shared" si="0"/>
        <v>0.36138770416323368</v>
      </c>
      <c r="G11" s="5">
        <f t="shared" si="1"/>
        <v>0.11879856437580374</v>
      </c>
      <c r="H11" s="3">
        <f t="shared" si="2"/>
        <v>0.47080433542498573</v>
      </c>
    </row>
  </sheetData>
  <mergeCells count="2">
    <mergeCell ref="A1:J2"/>
    <mergeCell ref="A3:J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pane ySplit="5" topLeftCell="A6" activePane="bottomLeft" state="frozen"/>
      <selection pane="bottomLeft" sqref="A1:J2"/>
    </sheetView>
  </sheetViews>
  <sheetFormatPr defaultRowHeight="14"/>
  <cols>
    <col min="1" max="1" width="19" customWidth="1"/>
    <col min="2" max="2" width="20" customWidth="1"/>
    <col min="3" max="3" width="24" customWidth="1"/>
    <col min="4" max="5" width="18" customWidth="1"/>
    <col min="6" max="6" width="16" customWidth="1"/>
    <col min="7" max="7" width="18" customWidth="1"/>
  </cols>
  <sheetData>
    <row r="1" spans="1:10" ht="25" customHeight="1">
      <c r="A1" s="13" t="s">
        <v>149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24" customHeight="1">
      <c r="A3" s="14" t="s">
        <v>150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ht="29" customHeight="1">
      <c r="A5" s="1" t="s">
        <v>66</v>
      </c>
      <c r="B5" s="1" t="s">
        <v>120</v>
      </c>
      <c r="C5" s="1" t="s">
        <v>121</v>
      </c>
      <c r="D5" s="1" t="s">
        <v>122</v>
      </c>
      <c r="E5" s="1" t="s">
        <v>11</v>
      </c>
      <c r="F5" s="1" t="s">
        <v>123</v>
      </c>
      <c r="G5" s="1" t="s">
        <v>124</v>
      </c>
    </row>
    <row r="6" spans="1:10">
      <c r="A6" t="s">
        <v>29</v>
      </c>
      <c r="B6" s="6">
        <v>4403630</v>
      </c>
      <c r="C6" s="6">
        <v>1647936.375</v>
      </c>
      <c r="D6">
        <v>9153950</v>
      </c>
      <c r="E6">
        <v>2304</v>
      </c>
      <c r="F6" s="5">
        <f>IFERROR(C6/B6,0)</f>
        <v>0.37422226095289568</v>
      </c>
      <c r="G6" s="5">
        <f>IFERROR(B6/SUM($B$6:$B$9),0)</f>
        <v>0.50709535408541717</v>
      </c>
    </row>
    <row r="7" spans="1:10">
      <c r="A7" t="s">
        <v>151</v>
      </c>
      <c r="B7" s="6">
        <v>2584450</v>
      </c>
      <c r="C7" s="6">
        <v>835759.375</v>
      </c>
      <c r="D7">
        <v>4109000</v>
      </c>
      <c r="E7">
        <v>864</v>
      </c>
      <c r="F7" s="5">
        <f>IFERROR(C7/B7,0)</f>
        <v>0.32337997446265165</v>
      </c>
      <c r="G7" s="5">
        <f>IFERROR(B7/SUM($B$6:$B$9),0)</f>
        <v>0.2976096056812349</v>
      </c>
    </row>
    <row r="8" spans="1:10">
      <c r="A8" t="s">
        <v>152</v>
      </c>
      <c r="B8" s="6">
        <v>1291535</v>
      </c>
      <c r="C8" s="6">
        <v>542046.125</v>
      </c>
      <c r="D8">
        <v>3064800</v>
      </c>
      <c r="E8">
        <v>576</v>
      </c>
      <c r="F8" s="5">
        <f>IFERROR(C8/B8,0)</f>
        <v>0.41969139434858521</v>
      </c>
      <c r="G8" s="5">
        <f>IFERROR(B8/SUM($B$6:$B$9),0)</f>
        <v>0.14872534662056286</v>
      </c>
    </row>
    <row r="9" spans="1:10">
      <c r="A9" t="s">
        <v>153</v>
      </c>
      <c r="B9" s="6">
        <v>404412.5</v>
      </c>
      <c r="C9" s="6">
        <v>147890</v>
      </c>
      <c r="D9">
        <v>820500</v>
      </c>
      <c r="E9">
        <v>144</v>
      </c>
      <c r="F9" s="5">
        <f>IFERROR(C9/B9,0)</f>
        <v>0.36569097147096097</v>
      </c>
      <c r="G9" s="5">
        <f>IFERROR(B9/SUM($B$6:$B$9),0)</f>
        <v>4.6569693612785082E-2</v>
      </c>
    </row>
  </sheetData>
  <mergeCells count="2">
    <mergeCell ref="A1:J2"/>
    <mergeCell ref="A3:J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"/>
  <sheetViews>
    <sheetView workbookViewId="0">
      <pane ySplit="5" topLeftCell="A6" activePane="bottomLeft" state="frozen"/>
      <selection pane="bottomLeft" sqref="A1:N2"/>
    </sheetView>
  </sheetViews>
  <sheetFormatPr defaultRowHeight="14"/>
  <cols>
    <col min="1" max="1" width="22" customWidth="1"/>
    <col min="2" max="8" width="18" customWidth="1"/>
  </cols>
  <sheetData>
    <row r="1" spans="1:14" ht="25" customHeight="1">
      <c r="A1" s="13" t="s">
        <v>154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4" customHeight="1">
      <c r="A3" s="14" t="s">
        <v>155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1:14" ht="29" customHeight="1">
      <c r="A5" s="1" t="s">
        <v>156</v>
      </c>
      <c r="B5" s="1" t="s">
        <v>27</v>
      </c>
      <c r="C5" s="1" t="s">
        <v>144</v>
      </c>
      <c r="D5" s="1" t="s">
        <v>145</v>
      </c>
      <c r="E5" s="1" t="s">
        <v>146</v>
      </c>
      <c r="F5" s="1" t="s">
        <v>147</v>
      </c>
      <c r="G5" s="1" t="s">
        <v>148</v>
      </c>
      <c r="H5" s="1" t="s">
        <v>157</v>
      </c>
    </row>
    <row r="6" spans="1:14">
      <c r="A6" t="s">
        <v>125</v>
      </c>
      <c r="B6" s="6">
        <v>110012.5</v>
      </c>
      <c r="C6" s="6">
        <v>93662.5</v>
      </c>
      <c r="D6" s="6">
        <v>94112.5</v>
      </c>
      <c r="E6" s="6">
        <v>76912.5</v>
      </c>
      <c r="F6" s="6">
        <v>77350</v>
      </c>
      <c r="G6" s="6">
        <v>58700</v>
      </c>
      <c r="H6" s="6">
        <v>510750</v>
      </c>
    </row>
    <row r="7" spans="1:14">
      <c r="A7" t="s">
        <v>126</v>
      </c>
      <c r="B7" s="6">
        <v>121250</v>
      </c>
      <c r="C7" s="6">
        <v>84950</v>
      </c>
      <c r="D7" s="6">
        <v>80150</v>
      </c>
      <c r="E7" s="6">
        <v>71612.5</v>
      </c>
      <c r="F7" s="6">
        <v>73137.5</v>
      </c>
      <c r="G7" s="6">
        <v>53875</v>
      </c>
      <c r="H7" s="6">
        <v>484975</v>
      </c>
    </row>
    <row r="8" spans="1:14">
      <c r="A8" t="s">
        <v>24</v>
      </c>
      <c r="B8" s="6">
        <v>123667.5</v>
      </c>
      <c r="C8" s="6">
        <v>82525</v>
      </c>
      <c r="D8" s="6">
        <v>85575</v>
      </c>
      <c r="E8" s="6">
        <v>73625</v>
      </c>
      <c r="F8" s="6">
        <v>63075</v>
      </c>
      <c r="G8" s="6">
        <v>55062.5</v>
      </c>
      <c r="H8" s="6">
        <v>483530</v>
      </c>
    </row>
    <row r="9" spans="1:14">
      <c r="A9" t="s">
        <v>127</v>
      </c>
      <c r="B9" s="6">
        <v>128250</v>
      </c>
      <c r="C9" s="6">
        <v>99987.5</v>
      </c>
      <c r="D9" s="6">
        <v>79112.5</v>
      </c>
      <c r="E9" s="6">
        <v>69350</v>
      </c>
      <c r="F9" s="6">
        <v>64225</v>
      </c>
      <c r="G9" s="6">
        <v>53962.5</v>
      </c>
      <c r="H9" s="6">
        <v>494887.5</v>
      </c>
    </row>
    <row r="10" spans="1:14">
      <c r="A10" t="s">
        <v>128</v>
      </c>
      <c r="B10" s="6">
        <v>166372.5</v>
      </c>
      <c r="C10" s="6">
        <v>150300</v>
      </c>
      <c r="D10" s="6">
        <v>103350</v>
      </c>
      <c r="E10" s="6">
        <v>92300</v>
      </c>
      <c r="F10" s="6">
        <v>85087.5</v>
      </c>
      <c r="G10" s="6">
        <v>76162.5</v>
      </c>
      <c r="H10" s="6">
        <v>673572.5</v>
      </c>
    </row>
    <row r="11" spans="1:14">
      <c r="A11" t="s">
        <v>129</v>
      </c>
      <c r="B11" s="6">
        <v>193825</v>
      </c>
      <c r="C11" s="6">
        <v>213387.5</v>
      </c>
      <c r="D11" s="6">
        <v>140500</v>
      </c>
      <c r="E11" s="6">
        <v>128650</v>
      </c>
      <c r="F11" s="6">
        <v>116975</v>
      </c>
      <c r="G11" s="6">
        <v>110500</v>
      </c>
      <c r="H11" s="6">
        <v>903837.5</v>
      </c>
    </row>
    <row r="12" spans="1:14">
      <c r="A12" t="s">
        <v>130</v>
      </c>
      <c r="B12" s="6">
        <v>237587.5</v>
      </c>
      <c r="C12" s="6">
        <v>212825</v>
      </c>
      <c r="D12" s="6">
        <v>174187.5</v>
      </c>
      <c r="E12" s="6">
        <v>150250</v>
      </c>
      <c r="F12" s="6">
        <v>146750</v>
      </c>
      <c r="G12" s="6">
        <v>119837.5</v>
      </c>
      <c r="H12" s="6">
        <v>1041437.5</v>
      </c>
    </row>
    <row r="13" spans="1:14">
      <c r="A13" t="s">
        <v>131</v>
      </c>
      <c r="B13" s="6">
        <v>232600</v>
      </c>
      <c r="C13" s="6">
        <v>161062.5</v>
      </c>
      <c r="D13" s="6">
        <v>179900</v>
      </c>
      <c r="E13" s="6">
        <v>144750</v>
      </c>
      <c r="F13" s="6">
        <v>119500</v>
      </c>
      <c r="G13" s="6">
        <v>107462.5</v>
      </c>
      <c r="H13" s="6">
        <v>945275</v>
      </c>
    </row>
    <row r="14" spans="1:14">
      <c r="A14" t="s">
        <v>132</v>
      </c>
      <c r="B14" s="6">
        <v>170737.5</v>
      </c>
      <c r="C14" s="6">
        <v>119562.5</v>
      </c>
      <c r="D14" s="6">
        <v>131187.5</v>
      </c>
      <c r="E14" s="6">
        <v>91350</v>
      </c>
      <c r="F14" s="6">
        <v>91400</v>
      </c>
      <c r="G14" s="6">
        <v>76762.5</v>
      </c>
      <c r="H14" s="6">
        <v>681000</v>
      </c>
    </row>
    <row r="15" spans="1:14">
      <c r="A15" t="s">
        <v>133</v>
      </c>
      <c r="B15" s="6">
        <v>146575</v>
      </c>
      <c r="C15" s="6">
        <v>125087.5</v>
      </c>
      <c r="D15" s="6">
        <v>113700</v>
      </c>
      <c r="E15" s="6">
        <v>82150</v>
      </c>
      <c r="F15" s="6">
        <v>83025</v>
      </c>
      <c r="G15" s="6">
        <v>72837.5</v>
      </c>
      <c r="H15" s="6">
        <v>623375</v>
      </c>
    </row>
    <row r="16" spans="1:14">
      <c r="A16" t="s">
        <v>134</v>
      </c>
      <c r="B16" s="6">
        <v>150787.5</v>
      </c>
      <c r="C16" s="6">
        <v>181900</v>
      </c>
      <c r="D16" s="6">
        <v>118612.5</v>
      </c>
      <c r="E16" s="6">
        <v>105337.5</v>
      </c>
      <c r="F16" s="6">
        <v>127850</v>
      </c>
      <c r="G16" s="6">
        <v>111125</v>
      </c>
      <c r="H16" s="6">
        <v>795612.5</v>
      </c>
    </row>
    <row r="17" spans="1:8">
      <c r="A17" t="s">
        <v>23</v>
      </c>
      <c r="B17" s="6">
        <v>234225</v>
      </c>
      <c r="C17" s="6">
        <v>200587.5</v>
      </c>
      <c r="D17" s="6">
        <v>181037.5</v>
      </c>
      <c r="E17" s="6">
        <v>149300</v>
      </c>
      <c r="F17" s="6">
        <v>145262.5</v>
      </c>
      <c r="G17" s="6">
        <v>135362.5</v>
      </c>
      <c r="H17" s="6">
        <v>1045775</v>
      </c>
    </row>
    <row r="18" spans="1:8">
      <c r="A18" s="7" t="s">
        <v>158</v>
      </c>
      <c r="B18" s="8">
        <v>2015890</v>
      </c>
      <c r="C18" s="8">
        <v>1725837.5</v>
      </c>
      <c r="D18" s="8">
        <v>1481425</v>
      </c>
      <c r="E18" s="8">
        <v>1235587.5</v>
      </c>
      <c r="F18" s="8">
        <v>1193637.5</v>
      </c>
      <c r="G18" s="8">
        <v>1031650</v>
      </c>
      <c r="H18" s="8">
        <v>8684027.5</v>
      </c>
    </row>
  </sheetData>
  <mergeCells count="2">
    <mergeCell ref="A1:N2"/>
    <mergeCell ref="A3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workbookViewId="0">
      <pane ySplit="5" topLeftCell="A6" activePane="bottomLeft" state="frozen"/>
      <selection pane="bottomLeft" sqref="A1:N2"/>
    </sheetView>
  </sheetViews>
  <sheetFormatPr defaultRowHeight="14"/>
  <cols>
    <col min="1" max="1" width="22" customWidth="1"/>
    <col min="2" max="8" width="18" customWidth="1"/>
  </cols>
  <sheetData>
    <row r="1" spans="1:14" ht="25" customHeight="1">
      <c r="A1" s="13" t="s">
        <v>159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4" customHeight="1">
      <c r="A3" s="14" t="s">
        <v>160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1:14" ht="29" customHeight="1">
      <c r="A5" s="1" t="s">
        <v>156</v>
      </c>
      <c r="B5" s="1" t="s">
        <v>27</v>
      </c>
      <c r="C5" s="1" t="s">
        <v>144</v>
      </c>
      <c r="D5" s="1" t="s">
        <v>145</v>
      </c>
      <c r="E5" s="1" t="s">
        <v>146</v>
      </c>
      <c r="F5" s="1" t="s">
        <v>147</v>
      </c>
      <c r="G5" s="1" t="s">
        <v>148</v>
      </c>
      <c r="H5" s="1" t="s">
        <v>157</v>
      </c>
    </row>
    <row r="6" spans="1:14">
      <c r="A6" t="s">
        <v>28</v>
      </c>
      <c r="B6" s="6">
        <v>549700</v>
      </c>
      <c r="C6" s="6">
        <v>537562.5</v>
      </c>
      <c r="D6" s="6">
        <v>541150</v>
      </c>
      <c r="E6" s="6">
        <v>461875</v>
      </c>
      <c r="F6" s="6">
        <v>369762.5</v>
      </c>
      <c r="G6" s="6">
        <v>375050</v>
      </c>
      <c r="H6" s="6">
        <v>2835100</v>
      </c>
    </row>
    <row r="7" spans="1:14">
      <c r="A7" t="s">
        <v>137</v>
      </c>
      <c r="B7" s="6">
        <v>498157.5</v>
      </c>
      <c r="C7" s="6">
        <v>357712.5</v>
      </c>
      <c r="D7" s="6">
        <v>277050</v>
      </c>
      <c r="E7" s="6">
        <v>223690</v>
      </c>
      <c r="F7" s="6">
        <v>242875</v>
      </c>
      <c r="G7" s="6">
        <v>188862.5</v>
      </c>
      <c r="H7" s="6">
        <v>1788347.5</v>
      </c>
    </row>
    <row r="8" spans="1:14">
      <c r="A8" t="s">
        <v>138</v>
      </c>
      <c r="B8" s="6">
        <v>375482.5</v>
      </c>
      <c r="C8" s="6">
        <v>319662.5</v>
      </c>
      <c r="D8" s="6">
        <v>253100</v>
      </c>
      <c r="E8" s="6">
        <v>209165</v>
      </c>
      <c r="F8" s="6">
        <v>262775</v>
      </c>
      <c r="G8" s="6">
        <v>198750</v>
      </c>
      <c r="H8" s="6">
        <v>1618935</v>
      </c>
    </row>
    <row r="9" spans="1:14">
      <c r="A9" t="s">
        <v>139</v>
      </c>
      <c r="B9" s="6">
        <v>248022.5</v>
      </c>
      <c r="C9" s="6">
        <v>267837.5</v>
      </c>
      <c r="D9" s="6">
        <v>231450</v>
      </c>
      <c r="E9" s="6">
        <v>207425</v>
      </c>
      <c r="F9" s="6">
        <v>171050</v>
      </c>
      <c r="G9" s="6">
        <v>165750</v>
      </c>
      <c r="H9" s="6">
        <v>1291535</v>
      </c>
    </row>
    <row r="10" spans="1:14">
      <c r="A10" t="s">
        <v>140</v>
      </c>
      <c r="B10" s="6">
        <v>344527.5</v>
      </c>
      <c r="C10" s="6">
        <v>243062.5</v>
      </c>
      <c r="D10" s="6">
        <v>178675</v>
      </c>
      <c r="E10" s="6">
        <v>133432.5</v>
      </c>
      <c r="F10" s="6">
        <v>147175</v>
      </c>
      <c r="G10" s="6">
        <v>103237.5</v>
      </c>
      <c r="H10" s="6">
        <v>1150110</v>
      </c>
    </row>
    <row r="11" spans="1:14">
      <c r="A11" s="7" t="s">
        <v>158</v>
      </c>
      <c r="B11" s="8">
        <v>2015890</v>
      </c>
      <c r="C11" s="8">
        <v>1725837.5</v>
      </c>
      <c r="D11" s="8">
        <v>1481425</v>
      </c>
      <c r="E11" s="8">
        <v>1235587.5</v>
      </c>
      <c r="F11" s="8">
        <v>1193637.5</v>
      </c>
      <c r="G11" s="8">
        <v>1031650</v>
      </c>
      <c r="H11" s="8">
        <v>8684027.5</v>
      </c>
    </row>
  </sheetData>
  <mergeCells count="2">
    <mergeCell ref="A1:N2"/>
    <mergeCell ref="A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9"/>
  <sheetViews>
    <sheetView workbookViewId="0">
      <selection sqref="A1:P2"/>
    </sheetView>
  </sheetViews>
  <sheetFormatPr defaultRowHeight="14"/>
  <cols>
    <col min="1" max="1" width="18" customWidth="1"/>
    <col min="2" max="2" width="23" customWidth="1"/>
    <col min="3" max="4" width="19" customWidth="1"/>
    <col min="5" max="5" width="16" customWidth="1"/>
    <col min="6" max="6" width="21" customWidth="1"/>
    <col min="7" max="7" width="4" customWidth="1"/>
    <col min="8" max="9" width="23" customWidth="1"/>
    <col min="10" max="11" width="19" customWidth="1"/>
    <col min="12" max="12" width="17" customWidth="1"/>
    <col min="13" max="13" width="22" customWidth="1"/>
  </cols>
  <sheetData>
    <row r="1" spans="1:16" ht="16.649999999999999" customHeight="1">
      <c r="A1" s="13" t="s">
        <v>161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6.649999999999999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6" customHeight="1">
      <c r="A3" s="14" t="s">
        <v>162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5" spans="1:16" ht="19.399999999999999" customHeight="1">
      <c r="A5" s="1" t="s">
        <v>45</v>
      </c>
      <c r="B5" s="1" t="s">
        <v>163</v>
      </c>
      <c r="C5" s="1" t="s">
        <v>164</v>
      </c>
      <c r="D5" s="1" t="s">
        <v>165</v>
      </c>
      <c r="E5" s="1" t="s">
        <v>10</v>
      </c>
      <c r="F5" s="1" t="s">
        <v>166</v>
      </c>
      <c r="H5" s="1" t="s">
        <v>163</v>
      </c>
      <c r="I5" s="1" t="s">
        <v>167</v>
      </c>
      <c r="J5" s="1" t="s">
        <v>164</v>
      </c>
      <c r="K5" s="1" t="s">
        <v>165</v>
      </c>
      <c r="L5" s="1" t="s">
        <v>10</v>
      </c>
      <c r="M5" s="1" t="s">
        <v>166</v>
      </c>
    </row>
    <row r="6" spans="1:16">
      <c r="A6" t="s">
        <v>137</v>
      </c>
      <c r="B6" t="s">
        <v>168</v>
      </c>
      <c r="C6" s="6">
        <v>582675</v>
      </c>
      <c r="D6" s="6">
        <v>203082.5</v>
      </c>
      <c r="E6">
        <v>1125200</v>
      </c>
      <c r="F6" s="5">
        <f t="shared" ref="F6:F37" si="0">IFERROR(D6/C6,0)</f>
        <v>0.34853477496031238</v>
      </c>
      <c r="H6" t="s">
        <v>168</v>
      </c>
      <c r="I6" t="s">
        <v>168</v>
      </c>
      <c r="J6" s="6">
        <v>391767.5</v>
      </c>
      <c r="K6" s="6">
        <v>135983.5</v>
      </c>
      <c r="L6">
        <v>706600</v>
      </c>
      <c r="M6" s="5">
        <f t="shared" ref="M6:M37" si="1">IFERROR(K6/J6,0)</f>
        <v>0.34710255444874832</v>
      </c>
    </row>
    <row r="7" spans="1:16">
      <c r="A7" t="s">
        <v>28</v>
      </c>
      <c r="B7" t="s">
        <v>169</v>
      </c>
      <c r="C7" s="6">
        <v>582400</v>
      </c>
      <c r="D7" s="6">
        <v>183895.625</v>
      </c>
      <c r="E7">
        <v>1037250</v>
      </c>
      <c r="F7" s="5">
        <f t="shared" si="0"/>
        <v>0.31575485061813185</v>
      </c>
      <c r="H7" t="s">
        <v>169</v>
      </c>
      <c r="I7" t="s">
        <v>170</v>
      </c>
      <c r="J7" s="6">
        <v>331750</v>
      </c>
      <c r="K7" s="6">
        <v>96640.625</v>
      </c>
      <c r="L7">
        <v>544750</v>
      </c>
      <c r="M7" s="5">
        <f t="shared" si="1"/>
        <v>0.29130557648831951</v>
      </c>
    </row>
    <row r="8" spans="1:16">
      <c r="A8" t="s">
        <v>138</v>
      </c>
      <c r="B8" t="s">
        <v>171</v>
      </c>
      <c r="C8" s="6">
        <v>561850</v>
      </c>
      <c r="D8" s="6">
        <v>214731.25</v>
      </c>
      <c r="E8">
        <v>1051700</v>
      </c>
      <c r="F8" s="5">
        <f t="shared" si="0"/>
        <v>0.38218608169440244</v>
      </c>
      <c r="H8" t="s">
        <v>171</v>
      </c>
      <c r="I8" t="s">
        <v>172</v>
      </c>
      <c r="J8" s="6">
        <v>319025</v>
      </c>
      <c r="K8" s="6">
        <v>121600.625</v>
      </c>
      <c r="L8">
        <v>597850</v>
      </c>
      <c r="M8" s="5">
        <f t="shared" si="1"/>
        <v>0.38116331008541648</v>
      </c>
    </row>
    <row r="9" spans="1:16">
      <c r="A9" t="s">
        <v>139</v>
      </c>
      <c r="B9" t="s">
        <v>173</v>
      </c>
      <c r="C9" s="6">
        <v>440987.5</v>
      </c>
      <c r="D9" s="6">
        <v>176324.375</v>
      </c>
      <c r="E9">
        <v>1014250</v>
      </c>
      <c r="F9" s="5">
        <f t="shared" si="0"/>
        <v>0.3998398480682559</v>
      </c>
      <c r="H9" t="s">
        <v>174</v>
      </c>
      <c r="I9" t="s">
        <v>175</v>
      </c>
      <c r="J9" s="6">
        <v>292210</v>
      </c>
      <c r="K9" s="6">
        <v>111621.5</v>
      </c>
      <c r="L9">
        <v>579350</v>
      </c>
      <c r="M9" s="5">
        <f t="shared" si="1"/>
        <v>0.3819906916258855</v>
      </c>
    </row>
    <row r="10" spans="1:16">
      <c r="A10" t="s">
        <v>138</v>
      </c>
      <c r="B10" t="s">
        <v>174</v>
      </c>
      <c r="C10" s="6">
        <v>292210</v>
      </c>
      <c r="D10" s="6">
        <v>111621.5</v>
      </c>
      <c r="E10">
        <v>579350</v>
      </c>
      <c r="F10" s="5">
        <f t="shared" si="0"/>
        <v>0.3819906916258855</v>
      </c>
      <c r="H10" t="s">
        <v>176</v>
      </c>
      <c r="I10" t="s">
        <v>177</v>
      </c>
      <c r="J10" s="6">
        <v>255425</v>
      </c>
      <c r="K10" s="6">
        <v>77950.625</v>
      </c>
      <c r="L10">
        <v>353500</v>
      </c>
      <c r="M10" s="5">
        <f t="shared" si="1"/>
        <v>0.30518009200352353</v>
      </c>
    </row>
    <row r="11" spans="1:16">
      <c r="A11" t="s">
        <v>28</v>
      </c>
      <c r="B11" t="s">
        <v>176</v>
      </c>
      <c r="C11" s="6">
        <v>255425</v>
      </c>
      <c r="D11" s="6">
        <v>77950.625</v>
      </c>
      <c r="E11">
        <v>353500</v>
      </c>
      <c r="F11" s="5">
        <f t="shared" si="0"/>
        <v>0.30518009200352353</v>
      </c>
      <c r="H11" t="s">
        <v>169</v>
      </c>
      <c r="I11" t="s">
        <v>178</v>
      </c>
      <c r="J11" s="6">
        <v>250650</v>
      </c>
      <c r="K11" s="6">
        <v>87255</v>
      </c>
      <c r="L11">
        <v>492500</v>
      </c>
      <c r="M11" s="5">
        <f t="shared" si="1"/>
        <v>0.3481149012567325</v>
      </c>
    </row>
    <row r="12" spans="1:16">
      <c r="A12" t="s">
        <v>28</v>
      </c>
      <c r="B12" t="s">
        <v>179</v>
      </c>
      <c r="C12" s="6">
        <v>250237.5</v>
      </c>
      <c r="D12" s="6">
        <v>64440.625</v>
      </c>
      <c r="E12">
        <v>348750</v>
      </c>
      <c r="F12" s="5">
        <f t="shared" si="0"/>
        <v>0.25751785803486688</v>
      </c>
      <c r="H12" t="s">
        <v>179</v>
      </c>
      <c r="I12" t="s">
        <v>180</v>
      </c>
      <c r="J12" s="6">
        <v>250237.5</v>
      </c>
      <c r="K12" s="6">
        <v>64440.625</v>
      </c>
      <c r="L12">
        <v>348750</v>
      </c>
      <c r="M12" s="5">
        <f t="shared" si="1"/>
        <v>0.25751785803486688</v>
      </c>
    </row>
    <row r="13" spans="1:16">
      <c r="A13" t="s">
        <v>138</v>
      </c>
      <c r="B13" t="s">
        <v>181</v>
      </c>
      <c r="C13" s="6">
        <v>238055</v>
      </c>
      <c r="D13" s="6">
        <v>96130.125</v>
      </c>
      <c r="E13">
        <v>507350</v>
      </c>
      <c r="F13" s="5">
        <f t="shared" si="0"/>
        <v>0.40381476969607866</v>
      </c>
      <c r="H13" t="s">
        <v>171</v>
      </c>
      <c r="I13" t="s">
        <v>182</v>
      </c>
      <c r="J13" s="6">
        <v>242825</v>
      </c>
      <c r="K13" s="6">
        <v>93130.625</v>
      </c>
      <c r="L13">
        <v>453850</v>
      </c>
      <c r="M13" s="5">
        <f t="shared" si="1"/>
        <v>0.38352980541542264</v>
      </c>
    </row>
    <row r="14" spans="1:16">
      <c r="A14" t="s">
        <v>28</v>
      </c>
      <c r="B14" t="s">
        <v>183</v>
      </c>
      <c r="C14" s="6">
        <v>226300</v>
      </c>
      <c r="D14" s="6">
        <v>89835</v>
      </c>
      <c r="E14">
        <v>346750</v>
      </c>
      <c r="F14" s="5">
        <f t="shared" si="0"/>
        <v>0.39697304463102079</v>
      </c>
      <c r="H14" t="s">
        <v>173</v>
      </c>
      <c r="I14" t="s">
        <v>184</v>
      </c>
      <c r="J14" s="6">
        <v>238850</v>
      </c>
      <c r="K14" s="6">
        <v>92478.125</v>
      </c>
      <c r="L14">
        <v>566000</v>
      </c>
      <c r="M14" s="5">
        <f t="shared" si="1"/>
        <v>0.38718076198450913</v>
      </c>
    </row>
    <row r="15" spans="1:16">
      <c r="A15" t="s">
        <v>28</v>
      </c>
      <c r="B15" t="s">
        <v>185</v>
      </c>
      <c r="C15" s="6">
        <v>213437.5</v>
      </c>
      <c r="D15" s="6">
        <v>54539.375</v>
      </c>
      <c r="E15">
        <v>312250</v>
      </c>
      <c r="F15" s="5">
        <f t="shared" si="0"/>
        <v>0.25552855051244511</v>
      </c>
      <c r="H15" t="s">
        <v>181</v>
      </c>
      <c r="I15" t="s">
        <v>186</v>
      </c>
      <c r="J15" s="6">
        <v>238055</v>
      </c>
      <c r="K15" s="6">
        <v>96130.125</v>
      </c>
      <c r="L15">
        <v>507350</v>
      </c>
      <c r="M15" s="5">
        <f t="shared" si="1"/>
        <v>0.40381476969607866</v>
      </c>
    </row>
    <row r="16" spans="1:16">
      <c r="A16" t="s">
        <v>28</v>
      </c>
      <c r="B16" t="s">
        <v>187</v>
      </c>
      <c r="C16" s="6">
        <v>202725</v>
      </c>
      <c r="D16" s="6">
        <v>74185.625</v>
      </c>
      <c r="E16">
        <v>324250</v>
      </c>
      <c r="F16" s="5">
        <f t="shared" si="0"/>
        <v>0.3659421630287335</v>
      </c>
      <c r="H16" t="s">
        <v>183</v>
      </c>
      <c r="I16" t="s">
        <v>188</v>
      </c>
      <c r="J16" s="6">
        <v>226300</v>
      </c>
      <c r="K16" s="6">
        <v>89835</v>
      </c>
      <c r="L16">
        <v>346750</v>
      </c>
      <c r="M16" s="5">
        <f t="shared" si="1"/>
        <v>0.39697304463102079</v>
      </c>
    </row>
    <row r="17" spans="1:13">
      <c r="A17" t="s">
        <v>28</v>
      </c>
      <c r="B17" t="s">
        <v>189</v>
      </c>
      <c r="C17" s="6">
        <v>199937.5</v>
      </c>
      <c r="D17" s="6">
        <v>69359.375</v>
      </c>
      <c r="E17">
        <v>310750</v>
      </c>
      <c r="F17" s="5">
        <f t="shared" si="0"/>
        <v>0.34690528290090655</v>
      </c>
      <c r="H17" t="s">
        <v>185</v>
      </c>
      <c r="I17" t="s">
        <v>190</v>
      </c>
      <c r="J17" s="6">
        <v>213437.5</v>
      </c>
      <c r="K17" s="6">
        <v>54539.375</v>
      </c>
      <c r="L17">
        <v>312250</v>
      </c>
      <c r="M17" s="5">
        <f t="shared" si="1"/>
        <v>0.25552855051244511</v>
      </c>
    </row>
    <row r="18" spans="1:13">
      <c r="A18" t="s">
        <v>28</v>
      </c>
      <c r="B18" t="s">
        <v>191</v>
      </c>
      <c r="C18" s="6">
        <v>199937.5</v>
      </c>
      <c r="D18" s="6">
        <v>69359.375</v>
      </c>
      <c r="E18">
        <v>310750</v>
      </c>
      <c r="F18" s="5">
        <f t="shared" si="0"/>
        <v>0.34690528290090655</v>
      </c>
      <c r="H18" t="s">
        <v>187</v>
      </c>
      <c r="I18" t="s">
        <v>192</v>
      </c>
      <c r="J18" s="6">
        <v>202725</v>
      </c>
      <c r="K18" s="6">
        <v>74185.625</v>
      </c>
      <c r="L18">
        <v>324250</v>
      </c>
      <c r="M18" s="5">
        <f t="shared" si="1"/>
        <v>0.3659421630287335</v>
      </c>
    </row>
    <row r="19" spans="1:13">
      <c r="A19" t="s">
        <v>28</v>
      </c>
      <c r="B19" t="s">
        <v>193</v>
      </c>
      <c r="C19" s="6">
        <v>199837.5</v>
      </c>
      <c r="D19" s="6">
        <v>67107.5</v>
      </c>
      <c r="E19">
        <v>324000</v>
      </c>
      <c r="F19" s="5">
        <f t="shared" si="0"/>
        <v>0.33581034590604869</v>
      </c>
      <c r="H19" t="s">
        <v>173</v>
      </c>
      <c r="I19" t="s">
        <v>194</v>
      </c>
      <c r="J19" s="6">
        <v>202137.5</v>
      </c>
      <c r="K19" s="6">
        <v>83846.25</v>
      </c>
      <c r="L19">
        <v>448250</v>
      </c>
      <c r="M19" s="5">
        <f t="shared" si="1"/>
        <v>0.41479809535588397</v>
      </c>
    </row>
    <row r="20" spans="1:13">
      <c r="A20" t="s">
        <v>28</v>
      </c>
      <c r="B20" t="s">
        <v>195</v>
      </c>
      <c r="C20" s="6">
        <v>192137.5</v>
      </c>
      <c r="D20" s="6">
        <v>64156.25</v>
      </c>
      <c r="E20">
        <v>331500</v>
      </c>
      <c r="F20" s="5">
        <f t="shared" si="0"/>
        <v>0.3339080085876</v>
      </c>
      <c r="H20" t="s">
        <v>189</v>
      </c>
      <c r="I20" t="s">
        <v>196</v>
      </c>
      <c r="J20" s="6">
        <v>199937.5</v>
      </c>
      <c r="K20" s="6">
        <v>69359.375</v>
      </c>
      <c r="L20">
        <v>310750</v>
      </c>
      <c r="M20" s="5">
        <f t="shared" si="1"/>
        <v>0.34690528290090655</v>
      </c>
    </row>
    <row r="21" spans="1:13">
      <c r="A21" t="s">
        <v>138</v>
      </c>
      <c r="B21" t="s">
        <v>197</v>
      </c>
      <c r="C21" s="6">
        <v>187222.5</v>
      </c>
      <c r="D21" s="6">
        <v>81642</v>
      </c>
      <c r="E21">
        <v>403350</v>
      </c>
      <c r="F21" s="5">
        <f t="shared" si="0"/>
        <v>0.43606938268637585</v>
      </c>
      <c r="H21" t="s">
        <v>191</v>
      </c>
      <c r="I21" t="s">
        <v>198</v>
      </c>
      <c r="J21" s="6">
        <v>199937.5</v>
      </c>
      <c r="K21" s="6">
        <v>69359.375</v>
      </c>
      <c r="L21">
        <v>310750</v>
      </c>
      <c r="M21" s="5">
        <f t="shared" si="1"/>
        <v>0.34690528290090655</v>
      </c>
    </row>
    <row r="22" spans="1:13">
      <c r="A22" t="s">
        <v>138</v>
      </c>
      <c r="B22" t="s">
        <v>199</v>
      </c>
      <c r="C22" s="6">
        <v>187045</v>
      </c>
      <c r="D22" s="6">
        <v>75650.5</v>
      </c>
      <c r="E22">
        <v>399350</v>
      </c>
      <c r="F22" s="5">
        <f t="shared" si="0"/>
        <v>0.40445080060947902</v>
      </c>
      <c r="H22" t="s">
        <v>193</v>
      </c>
      <c r="I22" t="s">
        <v>200</v>
      </c>
      <c r="J22" s="6">
        <v>199837.5</v>
      </c>
      <c r="K22" s="6">
        <v>67107.5</v>
      </c>
      <c r="L22">
        <v>324000</v>
      </c>
      <c r="M22" s="5">
        <f t="shared" si="1"/>
        <v>0.33581034590604869</v>
      </c>
    </row>
    <row r="23" spans="1:13">
      <c r="A23" t="s">
        <v>139</v>
      </c>
      <c r="B23" t="s">
        <v>201</v>
      </c>
      <c r="C23" s="6">
        <v>185375</v>
      </c>
      <c r="D23" s="6">
        <v>76915</v>
      </c>
      <c r="E23">
        <v>412250</v>
      </c>
      <c r="F23" s="5">
        <f t="shared" si="0"/>
        <v>0.41491571139581929</v>
      </c>
      <c r="H23" t="s">
        <v>195</v>
      </c>
      <c r="I23" t="s">
        <v>202</v>
      </c>
      <c r="J23" s="6">
        <v>192137.5</v>
      </c>
      <c r="K23" s="6">
        <v>64156.25</v>
      </c>
      <c r="L23">
        <v>331500</v>
      </c>
      <c r="M23" s="5">
        <f t="shared" si="1"/>
        <v>0.3339080085876</v>
      </c>
    </row>
    <row r="24" spans="1:13">
      <c r="A24" t="s">
        <v>139</v>
      </c>
      <c r="B24" t="s">
        <v>203</v>
      </c>
      <c r="C24" s="6">
        <v>175912.5</v>
      </c>
      <c r="D24" s="6">
        <v>81647.5</v>
      </c>
      <c r="E24">
        <v>427750</v>
      </c>
      <c r="F24" s="5">
        <f t="shared" si="0"/>
        <v>0.46413699992894192</v>
      </c>
      <c r="H24" t="s">
        <v>168</v>
      </c>
      <c r="I24" t="s">
        <v>204</v>
      </c>
      <c r="J24" s="6">
        <v>190907.5</v>
      </c>
      <c r="K24" s="6">
        <v>67099</v>
      </c>
      <c r="L24">
        <v>418600</v>
      </c>
      <c r="M24" s="5">
        <f t="shared" si="1"/>
        <v>0.35147388132996349</v>
      </c>
    </row>
    <row r="25" spans="1:13">
      <c r="A25" t="s">
        <v>139</v>
      </c>
      <c r="B25" t="s">
        <v>205</v>
      </c>
      <c r="C25" s="6">
        <v>170562.5</v>
      </c>
      <c r="D25" s="6">
        <v>87803.75</v>
      </c>
      <c r="E25">
        <v>408500</v>
      </c>
      <c r="F25" s="5">
        <f t="shared" si="0"/>
        <v>0.5147893001099304</v>
      </c>
      <c r="H25" t="s">
        <v>197</v>
      </c>
      <c r="I25" t="s">
        <v>206</v>
      </c>
      <c r="J25" s="6">
        <v>187222.5</v>
      </c>
      <c r="K25" s="6">
        <v>81642</v>
      </c>
      <c r="L25">
        <v>403350</v>
      </c>
      <c r="M25" s="5">
        <f t="shared" si="1"/>
        <v>0.43606938268637585</v>
      </c>
    </row>
    <row r="26" spans="1:13">
      <c r="A26" t="s">
        <v>28</v>
      </c>
      <c r="B26" t="s">
        <v>207</v>
      </c>
      <c r="C26" s="6">
        <v>166075</v>
      </c>
      <c r="D26" s="6">
        <v>59166.875</v>
      </c>
      <c r="E26">
        <v>313500</v>
      </c>
      <c r="F26" s="5">
        <f t="shared" si="0"/>
        <v>0.35626599427969291</v>
      </c>
      <c r="H26" t="s">
        <v>199</v>
      </c>
      <c r="I26" t="s">
        <v>208</v>
      </c>
      <c r="J26" s="6">
        <v>187045</v>
      </c>
      <c r="K26" s="6">
        <v>75650.5</v>
      </c>
      <c r="L26">
        <v>399350</v>
      </c>
      <c r="M26" s="5">
        <f t="shared" si="1"/>
        <v>0.40445080060947902</v>
      </c>
    </row>
    <row r="27" spans="1:13">
      <c r="A27" t="s">
        <v>137</v>
      </c>
      <c r="B27" t="s">
        <v>209</v>
      </c>
      <c r="C27" s="6">
        <v>156035</v>
      </c>
      <c r="D27" s="6">
        <v>55118.5</v>
      </c>
      <c r="E27">
        <v>256850</v>
      </c>
      <c r="F27" s="5">
        <f t="shared" si="0"/>
        <v>0.35324446438299101</v>
      </c>
      <c r="H27" t="s">
        <v>201</v>
      </c>
      <c r="I27" t="s">
        <v>210</v>
      </c>
      <c r="J27" s="6">
        <v>185375</v>
      </c>
      <c r="K27" s="6">
        <v>76915</v>
      </c>
      <c r="L27">
        <v>412250</v>
      </c>
      <c r="M27" s="5">
        <f t="shared" si="1"/>
        <v>0.41491571139581929</v>
      </c>
    </row>
    <row r="28" spans="1:13">
      <c r="A28" t="s">
        <v>140</v>
      </c>
      <c r="B28" t="s">
        <v>211</v>
      </c>
      <c r="C28" s="6">
        <v>153762.5</v>
      </c>
      <c r="D28" s="6">
        <v>60635</v>
      </c>
      <c r="E28">
        <v>328000</v>
      </c>
      <c r="F28" s="5">
        <f t="shared" si="0"/>
        <v>0.39434192342086011</v>
      </c>
      <c r="H28" t="s">
        <v>203</v>
      </c>
      <c r="I28" t="s">
        <v>212</v>
      </c>
      <c r="J28" s="6">
        <v>175912.5</v>
      </c>
      <c r="K28" s="6">
        <v>81647.5</v>
      </c>
      <c r="L28">
        <v>427750</v>
      </c>
      <c r="M28" s="5">
        <f t="shared" si="1"/>
        <v>0.46413699992894192</v>
      </c>
    </row>
    <row r="29" spans="1:13">
      <c r="A29" t="s">
        <v>138</v>
      </c>
      <c r="B29" t="s">
        <v>213</v>
      </c>
      <c r="C29" s="6">
        <v>152552.5</v>
      </c>
      <c r="D29" s="6">
        <v>61778.5</v>
      </c>
      <c r="E29">
        <v>363350</v>
      </c>
      <c r="F29" s="5">
        <f t="shared" si="0"/>
        <v>0.40496550367906131</v>
      </c>
      <c r="H29" t="s">
        <v>205</v>
      </c>
      <c r="I29" t="s">
        <v>214</v>
      </c>
      <c r="J29" s="6">
        <v>170562.5</v>
      </c>
      <c r="K29" s="6">
        <v>87803.75</v>
      </c>
      <c r="L29">
        <v>408500</v>
      </c>
      <c r="M29" s="5">
        <f t="shared" si="1"/>
        <v>0.5147893001099304</v>
      </c>
    </row>
    <row r="30" spans="1:13">
      <c r="A30" t="s">
        <v>137</v>
      </c>
      <c r="B30" t="s">
        <v>215</v>
      </c>
      <c r="C30" s="6">
        <v>148470</v>
      </c>
      <c r="D30" s="6">
        <v>45147.125</v>
      </c>
      <c r="E30">
        <v>238850</v>
      </c>
      <c r="F30" s="5">
        <f t="shared" si="0"/>
        <v>0.30408247457398802</v>
      </c>
      <c r="H30" t="s">
        <v>207</v>
      </c>
      <c r="I30" t="s">
        <v>216</v>
      </c>
      <c r="J30" s="6">
        <v>166075</v>
      </c>
      <c r="K30" s="6">
        <v>59166.875</v>
      </c>
      <c r="L30">
        <v>313500</v>
      </c>
      <c r="M30" s="5">
        <f t="shared" si="1"/>
        <v>0.35626599427969291</v>
      </c>
    </row>
    <row r="31" spans="1:13">
      <c r="A31" t="s">
        <v>28</v>
      </c>
      <c r="B31" t="s">
        <v>217</v>
      </c>
      <c r="C31" s="6">
        <v>146650</v>
      </c>
      <c r="D31" s="6">
        <v>49018.125</v>
      </c>
      <c r="E31">
        <v>288250</v>
      </c>
      <c r="F31" s="5">
        <f t="shared" si="0"/>
        <v>0.33425247187180362</v>
      </c>
      <c r="H31" t="s">
        <v>209</v>
      </c>
      <c r="I31" t="s">
        <v>218</v>
      </c>
      <c r="J31" s="6">
        <v>156035</v>
      </c>
      <c r="K31" s="6">
        <v>55118.5</v>
      </c>
      <c r="L31">
        <v>256850</v>
      </c>
      <c r="M31" s="5">
        <f t="shared" si="1"/>
        <v>0.35324446438299101</v>
      </c>
    </row>
    <row r="32" spans="1:13">
      <c r="A32" t="s">
        <v>137</v>
      </c>
      <c r="B32" t="s">
        <v>219</v>
      </c>
      <c r="C32" s="6">
        <v>134955</v>
      </c>
      <c r="D32" s="6">
        <v>54544.625</v>
      </c>
      <c r="E32">
        <v>241600</v>
      </c>
      <c r="F32" s="5">
        <f t="shared" si="0"/>
        <v>0.40416898225334369</v>
      </c>
      <c r="H32" t="s">
        <v>211</v>
      </c>
      <c r="I32" t="s">
        <v>220</v>
      </c>
      <c r="J32" s="6">
        <v>153762.5</v>
      </c>
      <c r="K32" s="6">
        <v>60635</v>
      </c>
      <c r="L32">
        <v>328000</v>
      </c>
      <c r="M32" s="5">
        <f t="shared" si="1"/>
        <v>0.39434192342086011</v>
      </c>
    </row>
    <row r="33" spans="1:13">
      <c r="A33" t="s">
        <v>137</v>
      </c>
      <c r="B33" t="s">
        <v>221</v>
      </c>
      <c r="C33" s="6">
        <v>122875</v>
      </c>
      <c r="D33" s="6">
        <v>44818.625</v>
      </c>
      <c r="E33">
        <v>241600</v>
      </c>
      <c r="F33" s="5">
        <f t="shared" si="0"/>
        <v>0.36474974567650054</v>
      </c>
      <c r="H33" t="s">
        <v>213</v>
      </c>
      <c r="I33" t="s">
        <v>222</v>
      </c>
      <c r="J33" s="6">
        <v>152552.5</v>
      </c>
      <c r="K33" s="6">
        <v>61778.5</v>
      </c>
      <c r="L33">
        <v>363350</v>
      </c>
      <c r="M33" s="5">
        <f t="shared" si="1"/>
        <v>0.40496550367906131</v>
      </c>
    </row>
    <row r="34" spans="1:13">
      <c r="A34" t="s">
        <v>139</v>
      </c>
      <c r="B34" t="s">
        <v>223</v>
      </c>
      <c r="C34" s="6">
        <v>121982.5</v>
      </c>
      <c r="D34" s="6">
        <v>46924.875</v>
      </c>
      <c r="E34">
        <v>309350</v>
      </c>
      <c r="F34" s="5">
        <f t="shared" si="0"/>
        <v>0.38468530321972416</v>
      </c>
      <c r="H34" t="s">
        <v>215</v>
      </c>
      <c r="I34" t="s">
        <v>224</v>
      </c>
      <c r="J34" s="6">
        <v>148470</v>
      </c>
      <c r="K34" s="6">
        <v>45147.125</v>
      </c>
      <c r="L34">
        <v>238850</v>
      </c>
      <c r="M34" s="5">
        <f t="shared" si="1"/>
        <v>0.30408247457398802</v>
      </c>
    </row>
    <row r="35" spans="1:13">
      <c r="A35" t="s">
        <v>137</v>
      </c>
      <c r="B35" t="s">
        <v>225</v>
      </c>
      <c r="C35" s="6">
        <v>113925</v>
      </c>
      <c r="D35" s="6">
        <v>40461.5</v>
      </c>
      <c r="E35">
        <v>223600</v>
      </c>
      <c r="F35" s="5">
        <f t="shared" si="0"/>
        <v>0.35515909589642308</v>
      </c>
      <c r="H35" t="s">
        <v>217</v>
      </c>
      <c r="I35" t="s">
        <v>226</v>
      </c>
      <c r="J35" s="6">
        <v>146650</v>
      </c>
      <c r="K35" s="6">
        <v>49018.125</v>
      </c>
      <c r="L35">
        <v>288250</v>
      </c>
      <c r="M35" s="5">
        <f t="shared" si="1"/>
        <v>0.33425247187180362</v>
      </c>
    </row>
    <row r="36" spans="1:13">
      <c r="A36" t="s">
        <v>140</v>
      </c>
      <c r="B36" t="s">
        <v>227</v>
      </c>
      <c r="C36" s="6">
        <v>106825</v>
      </c>
      <c r="D36" s="6">
        <v>42730</v>
      </c>
      <c r="E36">
        <v>241600</v>
      </c>
      <c r="F36" s="5">
        <f t="shared" si="0"/>
        <v>0.4</v>
      </c>
      <c r="H36" t="s">
        <v>219</v>
      </c>
      <c r="I36" t="s">
        <v>228</v>
      </c>
      <c r="J36" s="6">
        <v>134955</v>
      </c>
      <c r="K36" s="6">
        <v>54544.625</v>
      </c>
      <c r="L36">
        <v>241600</v>
      </c>
      <c r="M36" s="5">
        <f t="shared" si="1"/>
        <v>0.40416898225334369</v>
      </c>
    </row>
    <row r="37" spans="1:13">
      <c r="A37" t="s">
        <v>139</v>
      </c>
      <c r="B37" t="s">
        <v>229</v>
      </c>
      <c r="C37" s="6">
        <v>101732.5</v>
      </c>
      <c r="D37" s="6">
        <v>39186.75</v>
      </c>
      <c r="E37">
        <v>255350</v>
      </c>
      <c r="F37" s="5">
        <f t="shared" si="0"/>
        <v>0.38519401371243212</v>
      </c>
      <c r="H37" t="s">
        <v>221</v>
      </c>
      <c r="I37" t="s">
        <v>230</v>
      </c>
      <c r="J37" s="6">
        <v>122875</v>
      </c>
      <c r="K37" s="6">
        <v>44818.625</v>
      </c>
      <c r="L37">
        <v>241600</v>
      </c>
      <c r="M37" s="5">
        <f t="shared" si="1"/>
        <v>0.36474974567650054</v>
      </c>
    </row>
    <row r="38" spans="1:13">
      <c r="A38" t="s">
        <v>137</v>
      </c>
      <c r="B38" t="s">
        <v>231</v>
      </c>
      <c r="C38" s="6">
        <v>101462.5</v>
      </c>
      <c r="D38" s="6">
        <v>28709.5</v>
      </c>
      <c r="E38">
        <v>198850</v>
      </c>
      <c r="F38" s="5">
        <f t="shared" ref="F38:F55" si="2">IFERROR(D38/C38,0)</f>
        <v>0.28295675742269311</v>
      </c>
      <c r="H38" t="s">
        <v>223</v>
      </c>
      <c r="I38" t="s">
        <v>232</v>
      </c>
      <c r="J38" s="6">
        <v>121982.5</v>
      </c>
      <c r="K38" s="6">
        <v>46924.875</v>
      </c>
      <c r="L38">
        <v>309350</v>
      </c>
      <c r="M38" s="5">
        <f t="shared" ref="M38:M59" si="3">IFERROR(K38/J38,0)</f>
        <v>0.38468530321972416</v>
      </c>
    </row>
    <row r="39" spans="1:13">
      <c r="A39" t="s">
        <v>137</v>
      </c>
      <c r="B39" t="s">
        <v>233</v>
      </c>
      <c r="C39" s="6">
        <v>95690</v>
      </c>
      <c r="D39" s="6">
        <v>38607.375</v>
      </c>
      <c r="E39">
        <v>165600</v>
      </c>
      <c r="F39" s="5">
        <f t="shared" si="2"/>
        <v>0.40346300553871878</v>
      </c>
      <c r="H39" t="s">
        <v>225</v>
      </c>
      <c r="I39" t="s">
        <v>234</v>
      </c>
      <c r="J39" s="6">
        <v>113925</v>
      </c>
      <c r="K39" s="6">
        <v>40461.5</v>
      </c>
      <c r="L39">
        <v>223600</v>
      </c>
      <c r="M39" s="5">
        <f t="shared" si="3"/>
        <v>0.35515909589642308</v>
      </c>
    </row>
    <row r="40" spans="1:13">
      <c r="A40" t="s">
        <v>140</v>
      </c>
      <c r="B40" t="s">
        <v>235</v>
      </c>
      <c r="C40" s="6">
        <v>95262.5</v>
      </c>
      <c r="D40" s="6">
        <v>38131.875</v>
      </c>
      <c r="E40">
        <v>280350</v>
      </c>
      <c r="F40" s="5">
        <f t="shared" si="2"/>
        <v>0.40028211520797796</v>
      </c>
      <c r="H40" t="s">
        <v>227</v>
      </c>
      <c r="I40" t="s">
        <v>236</v>
      </c>
      <c r="J40" s="6">
        <v>106825</v>
      </c>
      <c r="K40" s="6">
        <v>42730</v>
      </c>
      <c r="L40">
        <v>241600</v>
      </c>
      <c r="M40" s="5">
        <f t="shared" si="3"/>
        <v>0.4</v>
      </c>
    </row>
    <row r="41" spans="1:13">
      <c r="A41" t="s">
        <v>140</v>
      </c>
      <c r="B41" t="s">
        <v>237</v>
      </c>
      <c r="C41" s="6">
        <v>95142.5</v>
      </c>
      <c r="D41" s="6">
        <v>36742</v>
      </c>
      <c r="E41">
        <v>203600</v>
      </c>
      <c r="F41" s="5">
        <f t="shared" si="2"/>
        <v>0.38617862679664716</v>
      </c>
      <c r="H41" t="s">
        <v>229</v>
      </c>
      <c r="I41" t="s">
        <v>238</v>
      </c>
      <c r="J41" s="6">
        <v>101732.5</v>
      </c>
      <c r="K41" s="6">
        <v>39186.75</v>
      </c>
      <c r="L41">
        <v>255350</v>
      </c>
      <c r="M41" s="5">
        <f t="shared" si="3"/>
        <v>0.38519401371243212</v>
      </c>
    </row>
    <row r="42" spans="1:13">
      <c r="A42" t="s">
        <v>139</v>
      </c>
      <c r="B42" t="s">
        <v>239</v>
      </c>
      <c r="C42" s="6">
        <v>94982.5</v>
      </c>
      <c r="D42" s="6">
        <v>33243.875</v>
      </c>
      <c r="E42">
        <v>237350</v>
      </c>
      <c r="F42" s="5">
        <f t="shared" si="2"/>
        <v>0.35</v>
      </c>
      <c r="H42" t="s">
        <v>231</v>
      </c>
      <c r="I42" t="s">
        <v>240</v>
      </c>
      <c r="J42" s="6">
        <v>101462.5</v>
      </c>
      <c r="K42" s="6">
        <v>28709.5</v>
      </c>
      <c r="L42">
        <v>198850</v>
      </c>
      <c r="M42" s="5">
        <f t="shared" si="3"/>
        <v>0.28295675742269311</v>
      </c>
    </row>
    <row r="43" spans="1:13">
      <c r="A43" t="s">
        <v>137</v>
      </c>
      <c r="B43" t="s">
        <v>241</v>
      </c>
      <c r="C43" s="6">
        <v>94695</v>
      </c>
      <c r="D43" s="6">
        <v>34532</v>
      </c>
      <c r="E43">
        <v>205600</v>
      </c>
      <c r="F43" s="5">
        <f t="shared" si="2"/>
        <v>0.36466550504250489</v>
      </c>
      <c r="H43" t="s">
        <v>233</v>
      </c>
      <c r="I43" t="s">
        <v>242</v>
      </c>
      <c r="J43" s="6">
        <v>95690</v>
      </c>
      <c r="K43" s="6">
        <v>38607.375</v>
      </c>
      <c r="L43">
        <v>165600</v>
      </c>
      <c r="M43" s="5">
        <f t="shared" si="3"/>
        <v>0.40346300553871878</v>
      </c>
    </row>
    <row r="44" spans="1:13">
      <c r="A44" t="s">
        <v>140</v>
      </c>
      <c r="B44" t="s">
        <v>243</v>
      </c>
      <c r="C44" s="6">
        <v>93282.5</v>
      </c>
      <c r="D44" s="6">
        <v>37438</v>
      </c>
      <c r="E44">
        <v>185600</v>
      </c>
      <c r="F44" s="5">
        <f t="shared" si="2"/>
        <v>0.40134001554418031</v>
      </c>
      <c r="H44" t="s">
        <v>235</v>
      </c>
      <c r="I44" t="s">
        <v>244</v>
      </c>
      <c r="J44" s="6">
        <v>95262.5</v>
      </c>
      <c r="K44" s="6">
        <v>38131.875</v>
      </c>
      <c r="L44">
        <v>280350</v>
      </c>
      <c r="M44" s="5">
        <f t="shared" si="3"/>
        <v>0.40028211520797796</v>
      </c>
    </row>
    <row r="45" spans="1:13">
      <c r="A45" t="s">
        <v>140</v>
      </c>
      <c r="B45" t="s">
        <v>245</v>
      </c>
      <c r="C45" s="6">
        <v>91370</v>
      </c>
      <c r="D45" s="6">
        <v>36594.75</v>
      </c>
      <c r="E45">
        <v>316350</v>
      </c>
      <c r="F45" s="5">
        <f t="shared" si="2"/>
        <v>0.40051165590456383</v>
      </c>
      <c r="H45" t="s">
        <v>237</v>
      </c>
      <c r="I45" t="s">
        <v>246</v>
      </c>
      <c r="J45" s="6">
        <v>95142.5</v>
      </c>
      <c r="K45" s="6">
        <v>36742</v>
      </c>
      <c r="L45">
        <v>203600</v>
      </c>
      <c r="M45" s="5">
        <f t="shared" si="3"/>
        <v>0.38617862679664716</v>
      </c>
    </row>
    <row r="46" spans="1:13">
      <c r="A46" t="s">
        <v>137</v>
      </c>
      <c r="B46" t="s">
        <v>247</v>
      </c>
      <c r="C46" s="6">
        <v>87825</v>
      </c>
      <c r="D46" s="6">
        <v>30821.125</v>
      </c>
      <c r="E46">
        <v>172600</v>
      </c>
      <c r="F46" s="5">
        <f t="shared" si="2"/>
        <v>0.35093794477654427</v>
      </c>
      <c r="H46" t="s">
        <v>239</v>
      </c>
      <c r="I46" t="s">
        <v>248</v>
      </c>
      <c r="J46" s="6">
        <v>94982.5</v>
      </c>
      <c r="K46" s="6">
        <v>33243.875</v>
      </c>
      <c r="L46">
        <v>237350</v>
      </c>
      <c r="M46" s="5">
        <f t="shared" si="3"/>
        <v>0.35</v>
      </c>
    </row>
    <row r="47" spans="1:13">
      <c r="A47" t="s">
        <v>140</v>
      </c>
      <c r="B47" t="s">
        <v>249</v>
      </c>
      <c r="C47" s="6">
        <v>85752.5</v>
      </c>
      <c r="D47" s="6">
        <v>32331.875</v>
      </c>
      <c r="E47">
        <v>205850</v>
      </c>
      <c r="F47" s="5">
        <f t="shared" si="2"/>
        <v>0.37703711262062328</v>
      </c>
      <c r="H47" t="s">
        <v>241</v>
      </c>
      <c r="I47" t="s">
        <v>250</v>
      </c>
      <c r="J47" s="6">
        <v>94695</v>
      </c>
      <c r="K47" s="6">
        <v>34532</v>
      </c>
      <c r="L47">
        <v>205600</v>
      </c>
      <c r="M47" s="5">
        <f t="shared" si="3"/>
        <v>0.36466550504250489</v>
      </c>
    </row>
    <row r="48" spans="1:13">
      <c r="A48" t="s">
        <v>140</v>
      </c>
      <c r="B48" t="s">
        <v>251</v>
      </c>
      <c r="C48" s="6">
        <v>84090</v>
      </c>
      <c r="D48" s="6">
        <v>28868.25</v>
      </c>
      <c r="E48">
        <v>180600</v>
      </c>
      <c r="F48" s="5">
        <f t="shared" si="2"/>
        <v>0.34330181947912952</v>
      </c>
      <c r="H48" t="s">
        <v>243</v>
      </c>
      <c r="I48" t="s">
        <v>252</v>
      </c>
      <c r="J48" s="6">
        <v>93282.5</v>
      </c>
      <c r="K48" s="6">
        <v>37438</v>
      </c>
      <c r="L48">
        <v>185600</v>
      </c>
      <c r="M48" s="5">
        <f t="shared" si="3"/>
        <v>0.40134001554418031</v>
      </c>
    </row>
    <row r="49" spans="1:13">
      <c r="A49" t="s">
        <v>137</v>
      </c>
      <c r="B49" t="s">
        <v>253</v>
      </c>
      <c r="C49" s="6">
        <v>78595</v>
      </c>
      <c r="D49" s="6">
        <v>28667</v>
      </c>
      <c r="E49">
        <v>169600</v>
      </c>
      <c r="F49" s="5">
        <f t="shared" si="2"/>
        <v>0.36474330428144286</v>
      </c>
      <c r="H49" t="s">
        <v>245</v>
      </c>
      <c r="I49" t="s">
        <v>254</v>
      </c>
      <c r="J49" s="6">
        <v>91370</v>
      </c>
      <c r="K49" s="6">
        <v>36594.75</v>
      </c>
      <c r="L49">
        <v>316350</v>
      </c>
      <c r="M49" s="5">
        <f t="shared" si="3"/>
        <v>0.40051165590456383</v>
      </c>
    </row>
    <row r="50" spans="1:13">
      <c r="A50" t="s">
        <v>140</v>
      </c>
      <c r="B50" t="s">
        <v>255</v>
      </c>
      <c r="C50" s="6">
        <v>77285</v>
      </c>
      <c r="D50" s="6">
        <v>26580.75</v>
      </c>
      <c r="E50">
        <v>180600</v>
      </c>
      <c r="F50" s="5">
        <f t="shared" si="2"/>
        <v>0.34393155204761594</v>
      </c>
      <c r="H50" t="s">
        <v>247</v>
      </c>
      <c r="I50" t="s">
        <v>188</v>
      </c>
      <c r="J50" s="6">
        <v>87825</v>
      </c>
      <c r="K50" s="6">
        <v>30821.125</v>
      </c>
      <c r="L50">
        <v>172600</v>
      </c>
      <c r="M50" s="5">
        <f t="shared" si="3"/>
        <v>0.35093794477654427</v>
      </c>
    </row>
    <row r="51" spans="1:13">
      <c r="A51" t="s">
        <v>140</v>
      </c>
      <c r="B51" t="s">
        <v>256</v>
      </c>
      <c r="C51" s="6">
        <v>72667.5</v>
      </c>
      <c r="D51" s="6">
        <v>25784.625</v>
      </c>
      <c r="E51">
        <v>183100</v>
      </c>
      <c r="F51" s="5">
        <f t="shared" si="2"/>
        <v>0.35483021983692847</v>
      </c>
      <c r="H51" t="s">
        <v>249</v>
      </c>
      <c r="I51" t="s">
        <v>257</v>
      </c>
      <c r="J51" s="6">
        <v>85752.5</v>
      </c>
      <c r="K51" s="6">
        <v>32331.875</v>
      </c>
      <c r="L51">
        <v>205850</v>
      </c>
      <c r="M51" s="5">
        <f t="shared" si="3"/>
        <v>0.37703711262062328</v>
      </c>
    </row>
    <row r="52" spans="1:13">
      <c r="A52" t="s">
        <v>140</v>
      </c>
      <c r="B52" t="s">
        <v>258</v>
      </c>
      <c r="C52" s="6">
        <v>72380</v>
      </c>
      <c r="D52" s="6">
        <v>25662.125</v>
      </c>
      <c r="E52">
        <v>184100</v>
      </c>
      <c r="F52" s="5">
        <f t="shared" si="2"/>
        <v>0.35454718154186238</v>
      </c>
      <c r="H52" t="s">
        <v>251</v>
      </c>
      <c r="I52" t="s">
        <v>259</v>
      </c>
      <c r="J52" s="6">
        <v>84090</v>
      </c>
      <c r="K52" s="6">
        <v>28868.25</v>
      </c>
      <c r="L52">
        <v>180600</v>
      </c>
      <c r="M52" s="5">
        <f t="shared" si="3"/>
        <v>0.34330181947912952</v>
      </c>
    </row>
    <row r="53" spans="1:13">
      <c r="A53" t="s">
        <v>137</v>
      </c>
      <c r="B53" t="s">
        <v>260</v>
      </c>
      <c r="C53" s="6">
        <v>71145</v>
      </c>
      <c r="D53" s="6">
        <v>25036.125</v>
      </c>
      <c r="E53">
        <v>154600</v>
      </c>
      <c r="F53" s="5">
        <f t="shared" si="2"/>
        <v>0.35190280413240566</v>
      </c>
      <c r="H53" t="s">
        <v>253</v>
      </c>
      <c r="I53" t="s">
        <v>261</v>
      </c>
      <c r="J53" s="6">
        <v>78595</v>
      </c>
      <c r="K53" s="6">
        <v>28667</v>
      </c>
      <c r="L53">
        <v>169600</v>
      </c>
      <c r="M53" s="5">
        <f t="shared" si="3"/>
        <v>0.36474330428144286</v>
      </c>
    </row>
    <row r="54" spans="1:13">
      <c r="A54" t="s">
        <v>140</v>
      </c>
      <c r="B54" t="s">
        <v>262</v>
      </c>
      <c r="C54" s="6">
        <v>67910</v>
      </c>
      <c r="D54" s="6">
        <v>23980.75</v>
      </c>
      <c r="E54">
        <v>156850</v>
      </c>
      <c r="F54" s="5">
        <f t="shared" si="2"/>
        <v>0.35312546016786922</v>
      </c>
      <c r="H54" t="s">
        <v>255</v>
      </c>
      <c r="I54" t="s">
        <v>263</v>
      </c>
      <c r="J54" s="6">
        <v>77285</v>
      </c>
      <c r="K54" s="6">
        <v>26580.75</v>
      </c>
      <c r="L54">
        <v>180600</v>
      </c>
      <c r="M54" s="5">
        <f t="shared" si="3"/>
        <v>0.34393155204761594</v>
      </c>
    </row>
    <row r="55" spans="1:13">
      <c r="A55" t="s">
        <v>140</v>
      </c>
      <c r="B55" t="s">
        <v>264</v>
      </c>
      <c r="C55" s="6">
        <v>54380</v>
      </c>
      <c r="D55" s="6">
        <v>21991.5</v>
      </c>
      <c r="E55">
        <v>136350</v>
      </c>
      <c r="F55" s="5">
        <f t="shared" si="2"/>
        <v>0.404404192717911</v>
      </c>
      <c r="H55" t="s">
        <v>256</v>
      </c>
      <c r="I55" t="s">
        <v>265</v>
      </c>
      <c r="J55" s="6">
        <v>72667.5</v>
      </c>
      <c r="K55" s="6">
        <v>25784.625</v>
      </c>
      <c r="L55">
        <v>183100</v>
      </c>
      <c r="M55" s="5">
        <f t="shared" si="3"/>
        <v>0.35483021983692847</v>
      </c>
    </row>
    <row r="56" spans="1:13">
      <c r="H56" t="s">
        <v>258</v>
      </c>
      <c r="I56" t="s">
        <v>266</v>
      </c>
      <c r="J56" s="6">
        <v>72380</v>
      </c>
      <c r="K56" s="6">
        <v>25662.125</v>
      </c>
      <c r="L56">
        <v>184100</v>
      </c>
      <c r="M56" s="5">
        <f t="shared" si="3"/>
        <v>0.35454718154186238</v>
      </c>
    </row>
    <row r="57" spans="1:13">
      <c r="H57" t="s">
        <v>260</v>
      </c>
      <c r="I57" t="s">
        <v>186</v>
      </c>
      <c r="J57" s="6">
        <v>71145</v>
      </c>
      <c r="K57" s="6">
        <v>25036.125</v>
      </c>
      <c r="L57">
        <v>154600</v>
      </c>
      <c r="M57" s="5">
        <f t="shared" si="3"/>
        <v>0.35190280413240566</v>
      </c>
    </row>
    <row r="58" spans="1:13">
      <c r="H58" t="s">
        <v>262</v>
      </c>
      <c r="I58" t="s">
        <v>267</v>
      </c>
      <c r="J58" s="6">
        <v>67910</v>
      </c>
      <c r="K58" s="6">
        <v>23980.75</v>
      </c>
      <c r="L58">
        <v>156850</v>
      </c>
      <c r="M58" s="5">
        <f t="shared" si="3"/>
        <v>0.35312546016786922</v>
      </c>
    </row>
    <row r="59" spans="1:13">
      <c r="H59" t="s">
        <v>264</v>
      </c>
      <c r="I59" t="s">
        <v>268</v>
      </c>
      <c r="J59" s="6">
        <v>54380</v>
      </c>
      <c r="K59" s="6">
        <v>21991.5</v>
      </c>
      <c r="L59">
        <v>136350</v>
      </c>
      <c r="M59" s="5">
        <f t="shared" si="3"/>
        <v>0.404404192717911</v>
      </c>
    </row>
  </sheetData>
  <mergeCells count="2">
    <mergeCell ref="A1:P2"/>
    <mergeCell ref="A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"/>
  <sheetViews>
    <sheetView workbookViewId="0">
      <selection activeCell="D14" sqref="D14"/>
    </sheetView>
  </sheetViews>
  <sheetFormatPr defaultRowHeight="14"/>
  <cols>
    <col min="1" max="1" width="20" customWidth="1"/>
    <col min="2" max="2" width="21" customWidth="1"/>
    <col min="3" max="3" width="19" customWidth="1"/>
    <col min="4" max="4" width="20" customWidth="1"/>
    <col min="5" max="5" width="22" customWidth="1"/>
    <col min="6" max="6" width="17" customWidth="1"/>
    <col min="7" max="7" width="19" customWidth="1"/>
    <col min="8" max="8" width="20" customWidth="1"/>
  </cols>
  <sheetData>
    <row r="1" spans="1:16" ht="16.649999999999999" customHeight="1">
      <c r="A1" s="13" t="s">
        <v>269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6.649999999999999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6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5" spans="1:16" ht="19.399999999999999" customHeight="1">
      <c r="A5" s="1" t="s">
        <v>270</v>
      </c>
      <c r="B5" s="1" t="s">
        <v>271</v>
      </c>
      <c r="C5" s="1" t="s">
        <v>122</v>
      </c>
      <c r="D5" s="1" t="s">
        <v>272</v>
      </c>
      <c r="E5" s="1" t="s">
        <v>165</v>
      </c>
      <c r="F5" s="1" t="s">
        <v>123</v>
      </c>
      <c r="G5" s="1" t="s">
        <v>11</v>
      </c>
      <c r="H5" s="1" t="s">
        <v>273</v>
      </c>
    </row>
    <row r="6" spans="1:16">
      <c r="A6" t="s">
        <v>27</v>
      </c>
      <c r="B6" s="6">
        <v>2015890</v>
      </c>
      <c r="C6">
        <v>4133250</v>
      </c>
      <c r="D6" s="3">
        <f t="shared" ref="D6:D11" si="0">IFERROR(B6/C6,0)</f>
        <v>0.48772515574910785</v>
      </c>
      <c r="E6" s="6">
        <v>793197.25</v>
      </c>
      <c r="F6" s="5">
        <f t="shared" ref="F6:F11" si="1">IFERROR(E6/B6,0)</f>
        <v>0.39347248609795177</v>
      </c>
      <c r="G6">
        <v>648</v>
      </c>
      <c r="H6" s="3">
        <f t="shared" ref="H6:H11" si="2">IFERROR(E6/C6,0)</f>
        <v>0.1919064295651122</v>
      </c>
    </row>
    <row r="7" spans="1:16">
      <c r="A7" t="s">
        <v>144</v>
      </c>
      <c r="B7" s="6">
        <v>1725837.5</v>
      </c>
      <c r="C7">
        <v>3000250</v>
      </c>
      <c r="D7" s="3">
        <f t="shared" si="0"/>
        <v>0.57523123073077242</v>
      </c>
      <c r="E7" s="6">
        <v>655700</v>
      </c>
      <c r="F7" s="5">
        <f t="shared" si="1"/>
        <v>0.37993148254108511</v>
      </c>
      <c r="G7">
        <v>648</v>
      </c>
      <c r="H7" s="3">
        <f t="shared" si="2"/>
        <v>0.21854845429547537</v>
      </c>
    </row>
    <row r="8" spans="1:16">
      <c r="A8" t="s">
        <v>145</v>
      </c>
      <c r="B8" s="6">
        <v>1481425</v>
      </c>
      <c r="C8">
        <v>3001500</v>
      </c>
      <c r="D8" s="3">
        <f t="shared" si="0"/>
        <v>0.49356155255705481</v>
      </c>
      <c r="E8" s="6">
        <v>494317.5</v>
      </c>
      <c r="F8" s="5">
        <f t="shared" si="1"/>
        <v>0.33367703393691883</v>
      </c>
      <c r="G8">
        <v>648</v>
      </c>
      <c r="H8" s="3">
        <f t="shared" si="2"/>
        <v>0.16469015492253872</v>
      </c>
    </row>
    <row r="9" spans="1:16">
      <c r="A9" t="s">
        <v>146</v>
      </c>
      <c r="B9" s="6">
        <v>1235587.5</v>
      </c>
      <c r="C9">
        <v>2701250</v>
      </c>
      <c r="D9" s="3">
        <f t="shared" si="0"/>
        <v>0.45741323461360484</v>
      </c>
      <c r="E9" s="6">
        <v>430519.625</v>
      </c>
      <c r="F9" s="5">
        <f t="shared" si="1"/>
        <v>0.34843313403542847</v>
      </c>
      <c r="G9">
        <v>648</v>
      </c>
      <c r="H9" s="3">
        <f t="shared" si="2"/>
        <v>0.15937792688570107</v>
      </c>
    </row>
    <row r="10" spans="1:16">
      <c r="A10" t="s">
        <v>147</v>
      </c>
      <c r="B10" s="6">
        <v>1193637.5</v>
      </c>
      <c r="C10">
        <v>2120750</v>
      </c>
      <c r="D10" s="3">
        <f t="shared" si="0"/>
        <v>0.5628374395850525</v>
      </c>
      <c r="E10" s="6">
        <v>427071.875</v>
      </c>
      <c r="F10" s="5">
        <f t="shared" si="1"/>
        <v>0.35779026295671845</v>
      </c>
      <c r="G10">
        <v>648</v>
      </c>
      <c r="H10" s="3">
        <f t="shared" si="2"/>
        <v>0.20137775551102205</v>
      </c>
    </row>
    <row r="11" spans="1:16">
      <c r="A11" t="s">
        <v>148</v>
      </c>
      <c r="B11" s="6">
        <v>1031650</v>
      </c>
      <c r="C11">
        <v>2191250</v>
      </c>
      <c r="D11" s="3">
        <f t="shared" si="0"/>
        <v>0.47080433542498573</v>
      </c>
      <c r="E11" s="6">
        <v>372825.625</v>
      </c>
      <c r="F11" s="5">
        <f t="shared" si="1"/>
        <v>0.36138770416323368</v>
      </c>
      <c r="G11">
        <v>648</v>
      </c>
      <c r="H11" s="3">
        <f t="shared" si="2"/>
        <v>0.17014289788933257</v>
      </c>
    </row>
  </sheetData>
  <mergeCells count="2">
    <mergeCell ref="A1:P2"/>
    <mergeCell ref="A3:P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"/>
  <sheetViews>
    <sheetView workbookViewId="0">
      <selection activeCell="A3" sqref="A3:L3"/>
    </sheetView>
  </sheetViews>
  <sheetFormatPr defaultRowHeight="14"/>
  <cols>
    <col min="1" max="1" width="23" customWidth="1"/>
    <col min="2" max="2" width="77" customWidth="1"/>
    <col min="3" max="3" width="70" customWidth="1"/>
    <col min="4" max="4" width="71" customWidth="1"/>
  </cols>
  <sheetData>
    <row r="1" spans="1:12" ht="16.649999999999999" customHeight="1">
      <c r="A1" s="13" t="s">
        <v>274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6.649999999999999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6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5" spans="1:12" ht="19.399999999999999" customHeight="1">
      <c r="A5" s="1" t="s">
        <v>275</v>
      </c>
      <c r="B5" s="1" t="s">
        <v>276</v>
      </c>
      <c r="C5" s="1" t="s">
        <v>277</v>
      </c>
      <c r="D5" s="1" t="s">
        <v>278</v>
      </c>
    </row>
    <row r="6" spans="1:12" ht="32.65" customHeight="1">
      <c r="A6" s="9" t="s">
        <v>279</v>
      </c>
      <c r="B6" s="9" t="s">
        <v>280</v>
      </c>
      <c r="C6" s="9" t="s">
        <v>281</v>
      </c>
      <c r="D6" s="9" t="s">
        <v>282</v>
      </c>
    </row>
    <row r="7" spans="1:12" ht="32.65" customHeight="1">
      <c r="A7" s="9" t="s">
        <v>17</v>
      </c>
      <c r="B7" s="9" t="s">
        <v>283</v>
      </c>
      <c r="C7" s="9" t="s">
        <v>284</v>
      </c>
      <c r="D7" s="9" t="s">
        <v>285</v>
      </c>
    </row>
    <row r="8" spans="1:12" ht="32.65" customHeight="1">
      <c r="A8" s="9" t="s">
        <v>286</v>
      </c>
      <c r="B8" s="9" t="s">
        <v>287</v>
      </c>
      <c r="C8" s="9" t="s">
        <v>288</v>
      </c>
      <c r="D8" s="9" t="s">
        <v>289</v>
      </c>
    </row>
    <row r="9" spans="1:12" ht="32.65" customHeight="1">
      <c r="A9" s="9" t="s">
        <v>290</v>
      </c>
      <c r="B9" s="9" t="s">
        <v>291</v>
      </c>
      <c r="C9" s="9" t="s">
        <v>292</v>
      </c>
      <c r="D9" s="9" t="s">
        <v>293</v>
      </c>
    </row>
    <row r="10" spans="1:12" ht="32.65" customHeight="1">
      <c r="A10" s="9" t="s">
        <v>294</v>
      </c>
      <c r="B10" s="9" t="s">
        <v>295</v>
      </c>
      <c r="C10" s="9" t="s">
        <v>296</v>
      </c>
      <c r="D10" s="9" t="s">
        <v>297</v>
      </c>
    </row>
    <row r="11" spans="1:12" ht="32.65" customHeight="1">
      <c r="A11" s="9" t="s">
        <v>18</v>
      </c>
      <c r="B11" s="9" t="s">
        <v>298</v>
      </c>
      <c r="C11" s="9" t="s">
        <v>299</v>
      </c>
      <c r="D11" s="9" t="s">
        <v>300</v>
      </c>
    </row>
    <row r="12" spans="1:12" ht="32.65" customHeight="1">
      <c r="A12" s="9" t="s">
        <v>301</v>
      </c>
      <c r="B12" s="9" t="s">
        <v>302</v>
      </c>
      <c r="C12" s="9" t="s">
        <v>303</v>
      </c>
      <c r="D12" s="9" t="s">
        <v>304</v>
      </c>
    </row>
    <row r="13" spans="1:12" ht="32.65" customHeight="1">
      <c r="A13" s="9" t="s">
        <v>305</v>
      </c>
      <c r="B13" s="9" t="s">
        <v>306</v>
      </c>
      <c r="C13" s="9" t="s">
        <v>307</v>
      </c>
      <c r="D13" s="9" t="s">
        <v>308</v>
      </c>
    </row>
    <row r="14" spans="1:12" ht="32.65" customHeight="1">
      <c r="A14" s="9" t="s">
        <v>309</v>
      </c>
      <c r="B14" s="9" t="s">
        <v>310</v>
      </c>
      <c r="C14" s="9" t="s">
        <v>311</v>
      </c>
      <c r="D14" s="9" t="s">
        <v>312</v>
      </c>
    </row>
    <row r="15" spans="1:12" ht="32.65" customHeight="1">
      <c r="A15" s="9" t="s">
        <v>313</v>
      </c>
      <c r="B15" s="9" t="s">
        <v>314</v>
      </c>
      <c r="C15" s="9" t="s">
        <v>315</v>
      </c>
      <c r="D15" s="9" t="s">
        <v>316</v>
      </c>
    </row>
  </sheetData>
  <mergeCells count="2">
    <mergeCell ref="A1:L2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4"/>
  <sheetViews>
    <sheetView workbookViewId="0">
      <selection activeCell="A3" sqref="A3:L3"/>
    </sheetView>
  </sheetViews>
  <sheetFormatPr defaultRowHeight="14"/>
  <cols>
    <col min="1" max="1" width="39" customWidth="1"/>
    <col min="2" max="2" width="27" customWidth="1"/>
    <col min="3" max="3" width="65" customWidth="1"/>
  </cols>
  <sheetData>
    <row r="1" spans="1:12" ht="16.649999999999999" customHeight="1">
      <c r="A1" s="13" t="s">
        <v>317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6.649999999999999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6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5" spans="1:12" ht="19.399999999999999" customHeight="1">
      <c r="A5" s="1" t="s">
        <v>318</v>
      </c>
      <c r="B5" s="1" t="s">
        <v>319</v>
      </c>
      <c r="C5" s="1" t="s">
        <v>320</v>
      </c>
    </row>
    <row r="6" spans="1:12">
      <c r="A6" t="s">
        <v>321</v>
      </c>
      <c r="B6">
        <v>3888</v>
      </c>
      <c r="C6" t="s">
        <v>322</v>
      </c>
    </row>
    <row r="7" spans="1:12">
      <c r="A7" t="s">
        <v>323</v>
      </c>
      <c r="B7">
        <v>3888</v>
      </c>
      <c r="C7" t="s">
        <v>324</v>
      </c>
    </row>
    <row r="8" spans="1:12">
      <c r="A8" t="s">
        <v>325</v>
      </c>
      <c r="B8">
        <v>0</v>
      </c>
      <c r="C8" t="s">
        <v>326</v>
      </c>
    </row>
    <row r="9" spans="1:12">
      <c r="A9" t="s">
        <v>327</v>
      </c>
      <c r="B9">
        <v>6</v>
      </c>
      <c r="C9" t="s">
        <v>328</v>
      </c>
    </row>
    <row r="10" spans="1:12">
      <c r="A10" t="s">
        <v>329</v>
      </c>
      <c r="B10">
        <v>5</v>
      </c>
      <c r="C10" t="s">
        <v>330</v>
      </c>
    </row>
    <row r="11" spans="1:12">
      <c r="A11" t="s">
        <v>331</v>
      </c>
      <c r="B11">
        <v>4</v>
      </c>
      <c r="C11" t="s">
        <v>332</v>
      </c>
    </row>
    <row r="12" spans="1:12">
      <c r="A12" t="s">
        <v>333</v>
      </c>
      <c r="B12">
        <v>50</v>
      </c>
      <c r="C12" t="s">
        <v>334</v>
      </c>
    </row>
    <row r="13" spans="1:12">
      <c r="A13" t="s">
        <v>335</v>
      </c>
      <c r="B13">
        <v>54</v>
      </c>
      <c r="C13" t="s">
        <v>336</v>
      </c>
    </row>
    <row r="14" spans="1:12">
      <c r="A14" t="s">
        <v>337</v>
      </c>
      <c r="B14">
        <v>0</v>
      </c>
      <c r="C14" t="s">
        <v>338</v>
      </c>
    </row>
    <row r="15" spans="1:12">
      <c r="A15" t="s">
        <v>339</v>
      </c>
      <c r="B15">
        <v>0</v>
      </c>
      <c r="C15" t="s">
        <v>340</v>
      </c>
    </row>
    <row r="16" spans="1:12">
      <c r="A16" t="s">
        <v>341</v>
      </c>
      <c r="B16">
        <v>0</v>
      </c>
      <c r="C16" t="s">
        <v>342</v>
      </c>
    </row>
    <row r="17" spans="1:3">
      <c r="A17" t="s">
        <v>343</v>
      </c>
      <c r="B17" t="s">
        <v>344</v>
      </c>
      <c r="C17" t="s">
        <v>345</v>
      </c>
    </row>
    <row r="20" spans="1:3" ht="19.399999999999999" customHeight="1">
      <c r="A20" s="1" t="s">
        <v>346</v>
      </c>
      <c r="B20" s="1" t="s">
        <v>347</v>
      </c>
      <c r="C20" s="1"/>
    </row>
    <row r="21" spans="1:3">
      <c r="A21" t="s">
        <v>87</v>
      </c>
      <c r="B21" t="s">
        <v>348</v>
      </c>
    </row>
    <row r="22" spans="1:3">
      <c r="A22" t="s">
        <v>349</v>
      </c>
      <c r="B22" t="s">
        <v>350</v>
      </c>
    </row>
    <row r="23" spans="1:3">
      <c r="A23" t="s">
        <v>351</v>
      </c>
      <c r="B23" t="s">
        <v>352</v>
      </c>
    </row>
    <row r="24" spans="1:3">
      <c r="A24" t="s">
        <v>353</v>
      </c>
      <c r="B24" t="s">
        <v>354</v>
      </c>
    </row>
  </sheetData>
  <mergeCells count="2">
    <mergeCell ref="A1:L2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893"/>
  <sheetViews>
    <sheetView workbookViewId="0">
      <pane ySplit="5" topLeftCell="A17" activePane="bottomLeft" state="frozen"/>
      <selection pane="bottomLeft" activeCell="C9" sqref="C9"/>
    </sheetView>
  </sheetViews>
  <sheetFormatPr defaultRowHeight="14"/>
  <cols>
    <col min="1" max="1" width="18" customWidth="1"/>
    <col min="2" max="2" width="17" customWidth="1"/>
    <col min="3" max="3" width="19" customWidth="1"/>
    <col min="4" max="4" width="18" customWidth="1"/>
    <col min="5" max="5" width="20" customWidth="1"/>
    <col min="6" max="6" width="19" customWidth="1"/>
    <col min="7" max="7" width="18" customWidth="1"/>
    <col min="8" max="8" width="15" customWidth="1"/>
    <col min="9" max="9" width="16" customWidth="1"/>
    <col min="10" max="12" width="19" customWidth="1"/>
    <col min="13" max="13" width="16" customWidth="1"/>
    <col min="14" max="14" width="14" customWidth="1"/>
  </cols>
  <sheetData>
    <row r="1" spans="1:14" ht="25" customHeight="1">
      <c r="A1" s="13" t="s">
        <v>355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4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1:14" ht="29" customHeight="1">
      <c r="A5" s="1" t="s">
        <v>66</v>
      </c>
      <c r="B5" s="1" t="s">
        <v>356</v>
      </c>
      <c r="C5" s="1" t="s">
        <v>357</v>
      </c>
      <c r="D5" s="1" t="s">
        <v>45</v>
      </c>
      <c r="E5" s="1" t="s">
        <v>163</v>
      </c>
      <c r="F5" s="1" t="s">
        <v>167</v>
      </c>
      <c r="G5" s="1" t="s">
        <v>51</v>
      </c>
      <c r="H5" s="1" t="s">
        <v>358</v>
      </c>
      <c r="I5" s="1" t="s">
        <v>122</v>
      </c>
      <c r="J5" s="1" t="s">
        <v>359</v>
      </c>
      <c r="K5" s="1" t="s">
        <v>72</v>
      </c>
      <c r="L5" s="1" t="s">
        <v>166</v>
      </c>
      <c r="M5" s="1" t="s">
        <v>119</v>
      </c>
      <c r="N5" s="1" t="s">
        <v>360</v>
      </c>
    </row>
    <row r="6" spans="1:14">
      <c r="A6" t="s">
        <v>29</v>
      </c>
      <c r="B6">
        <v>1185732</v>
      </c>
      <c r="C6" s="2">
        <v>44210</v>
      </c>
      <c r="D6" t="s">
        <v>137</v>
      </c>
      <c r="E6" t="s">
        <v>168</v>
      </c>
      <c r="F6" t="s">
        <v>168</v>
      </c>
      <c r="G6" t="s">
        <v>27</v>
      </c>
      <c r="H6" s="3">
        <v>0.5</v>
      </c>
      <c r="I6">
        <v>12000</v>
      </c>
      <c r="J6" s="4">
        <v>6000</v>
      </c>
      <c r="K6" s="4">
        <v>3000</v>
      </c>
      <c r="L6" s="5">
        <v>0.5</v>
      </c>
      <c r="M6" t="s">
        <v>125</v>
      </c>
      <c r="N6" t="s">
        <v>361</v>
      </c>
    </row>
    <row r="7" spans="1:14">
      <c r="A7" t="s">
        <v>29</v>
      </c>
      <c r="B7">
        <v>1185732</v>
      </c>
      <c r="C7" s="2">
        <v>44210</v>
      </c>
      <c r="D7" t="s">
        <v>137</v>
      </c>
      <c r="E7" t="s">
        <v>168</v>
      </c>
      <c r="F7" t="s">
        <v>168</v>
      </c>
      <c r="G7" t="s">
        <v>145</v>
      </c>
      <c r="H7" s="3">
        <v>0.5</v>
      </c>
      <c r="I7">
        <v>10000</v>
      </c>
      <c r="J7" s="4">
        <v>5000</v>
      </c>
      <c r="K7" s="4">
        <v>1500</v>
      </c>
      <c r="L7" s="5">
        <v>0.3</v>
      </c>
      <c r="M7" t="s">
        <v>125</v>
      </c>
      <c r="N7" t="s">
        <v>361</v>
      </c>
    </row>
    <row r="8" spans="1:14">
      <c r="A8" t="s">
        <v>29</v>
      </c>
      <c r="B8">
        <v>1185732</v>
      </c>
      <c r="C8" s="2">
        <v>44210</v>
      </c>
      <c r="D8" t="s">
        <v>137</v>
      </c>
      <c r="E8" t="s">
        <v>168</v>
      </c>
      <c r="F8" t="s">
        <v>168</v>
      </c>
      <c r="G8" t="s">
        <v>146</v>
      </c>
      <c r="H8" s="3">
        <v>0.4</v>
      </c>
      <c r="I8">
        <v>10000</v>
      </c>
      <c r="J8" s="4">
        <v>4000</v>
      </c>
      <c r="K8" s="4">
        <v>1400</v>
      </c>
      <c r="L8" s="5">
        <v>0.35</v>
      </c>
      <c r="M8" t="s">
        <v>125</v>
      </c>
      <c r="N8" t="s">
        <v>361</v>
      </c>
    </row>
    <row r="9" spans="1:14">
      <c r="A9" t="s">
        <v>29</v>
      </c>
      <c r="B9">
        <v>1185732</v>
      </c>
      <c r="C9" s="2">
        <v>44210</v>
      </c>
      <c r="D9" t="s">
        <v>137</v>
      </c>
      <c r="E9" t="s">
        <v>168</v>
      </c>
      <c r="F9" t="s">
        <v>168</v>
      </c>
      <c r="G9" t="s">
        <v>148</v>
      </c>
      <c r="H9" s="3">
        <v>0.45</v>
      </c>
      <c r="I9">
        <v>8500</v>
      </c>
      <c r="J9" s="4">
        <v>3825</v>
      </c>
      <c r="K9" s="4">
        <v>1338.75</v>
      </c>
      <c r="L9" s="5">
        <v>0.35</v>
      </c>
      <c r="M9" t="s">
        <v>125</v>
      </c>
      <c r="N9" t="s">
        <v>361</v>
      </c>
    </row>
    <row r="10" spans="1:14">
      <c r="A10" t="s">
        <v>29</v>
      </c>
      <c r="B10">
        <v>1185732</v>
      </c>
      <c r="C10" s="2">
        <v>44210</v>
      </c>
      <c r="D10" t="s">
        <v>137</v>
      </c>
      <c r="E10" t="s">
        <v>168</v>
      </c>
      <c r="F10" t="s">
        <v>168</v>
      </c>
      <c r="G10" t="s">
        <v>147</v>
      </c>
      <c r="H10" s="3">
        <v>0.6</v>
      </c>
      <c r="I10">
        <v>9000</v>
      </c>
      <c r="J10" s="4">
        <v>5400</v>
      </c>
      <c r="K10" s="4">
        <v>1620</v>
      </c>
      <c r="L10" s="5">
        <v>0.3</v>
      </c>
      <c r="M10" t="s">
        <v>125</v>
      </c>
      <c r="N10" t="s">
        <v>361</v>
      </c>
    </row>
    <row r="11" spans="1:14">
      <c r="A11" t="s">
        <v>29</v>
      </c>
      <c r="B11">
        <v>1185732</v>
      </c>
      <c r="C11" s="2">
        <v>44210</v>
      </c>
      <c r="D11" t="s">
        <v>137</v>
      </c>
      <c r="E11" t="s">
        <v>168</v>
      </c>
      <c r="F11" t="s">
        <v>168</v>
      </c>
      <c r="G11" t="s">
        <v>144</v>
      </c>
      <c r="H11" s="3">
        <v>0.5</v>
      </c>
      <c r="I11">
        <v>10000</v>
      </c>
      <c r="J11" s="4">
        <v>5000</v>
      </c>
      <c r="K11" s="4">
        <v>1250</v>
      </c>
      <c r="L11" s="5">
        <v>0.25</v>
      </c>
      <c r="M11" t="s">
        <v>125</v>
      </c>
      <c r="N11" t="s">
        <v>361</v>
      </c>
    </row>
    <row r="12" spans="1:14">
      <c r="A12" t="s">
        <v>29</v>
      </c>
      <c r="B12">
        <v>1185732</v>
      </c>
      <c r="C12" s="2">
        <v>44239</v>
      </c>
      <c r="D12" t="s">
        <v>137</v>
      </c>
      <c r="E12" t="s">
        <v>168</v>
      </c>
      <c r="F12" t="s">
        <v>168</v>
      </c>
      <c r="G12" t="s">
        <v>27</v>
      </c>
      <c r="H12" s="3">
        <v>0.5</v>
      </c>
      <c r="I12">
        <v>12500</v>
      </c>
      <c r="J12" s="4">
        <v>6250</v>
      </c>
      <c r="K12" s="4">
        <v>3125</v>
      </c>
      <c r="L12" s="5">
        <v>0.5</v>
      </c>
      <c r="M12" t="s">
        <v>126</v>
      </c>
      <c r="N12" t="s">
        <v>361</v>
      </c>
    </row>
    <row r="13" spans="1:14">
      <c r="A13" t="s">
        <v>29</v>
      </c>
      <c r="B13">
        <v>1185732</v>
      </c>
      <c r="C13" s="2">
        <v>44239</v>
      </c>
      <c r="D13" t="s">
        <v>137</v>
      </c>
      <c r="E13" t="s">
        <v>168</v>
      </c>
      <c r="F13" t="s">
        <v>168</v>
      </c>
      <c r="G13" t="s">
        <v>145</v>
      </c>
      <c r="H13" s="3">
        <v>0.5</v>
      </c>
      <c r="I13">
        <v>9000</v>
      </c>
      <c r="J13" s="4">
        <v>4500</v>
      </c>
      <c r="K13" s="4">
        <v>1350</v>
      </c>
      <c r="L13" s="5">
        <v>0.3</v>
      </c>
      <c r="M13" t="s">
        <v>126</v>
      </c>
      <c r="N13" t="s">
        <v>361</v>
      </c>
    </row>
    <row r="14" spans="1:14">
      <c r="A14" t="s">
        <v>29</v>
      </c>
      <c r="B14">
        <v>1185732</v>
      </c>
      <c r="C14" s="2">
        <v>44239</v>
      </c>
      <c r="D14" t="s">
        <v>137</v>
      </c>
      <c r="E14" t="s">
        <v>168</v>
      </c>
      <c r="F14" t="s">
        <v>168</v>
      </c>
      <c r="G14" t="s">
        <v>146</v>
      </c>
      <c r="H14" s="3">
        <v>0.4</v>
      </c>
      <c r="I14">
        <v>9500</v>
      </c>
      <c r="J14" s="4">
        <v>3800</v>
      </c>
      <c r="K14" s="4">
        <v>1330</v>
      </c>
      <c r="L14" s="5">
        <v>0.35</v>
      </c>
      <c r="M14" t="s">
        <v>126</v>
      </c>
      <c r="N14" t="s">
        <v>361</v>
      </c>
    </row>
    <row r="15" spans="1:14">
      <c r="A15" t="s">
        <v>29</v>
      </c>
      <c r="B15">
        <v>1185732</v>
      </c>
      <c r="C15" s="2">
        <v>44239</v>
      </c>
      <c r="D15" t="s">
        <v>137</v>
      </c>
      <c r="E15" t="s">
        <v>168</v>
      </c>
      <c r="F15" t="s">
        <v>168</v>
      </c>
      <c r="G15" t="s">
        <v>148</v>
      </c>
      <c r="H15" s="3">
        <v>0.45</v>
      </c>
      <c r="I15">
        <v>8250</v>
      </c>
      <c r="J15" s="4">
        <v>3712.5</v>
      </c>
      <c r="K15" s="4">
        <v>1299.375</v>
      </c>
      <c r="L15" s="5">
        <v>0.35</v>
      </c>
      <c r="M15" t="s">
        <v>126</v>
      </c>
      <c r="N15" t="s">
        <v>361</v>
      </c>
    </row>
    <row r="16" spans="1:14">
      <c r="A16" t="s">
        <v>29</v>
      </c>
      <c r="B16">
        <v>1185732</v>
      </c>
      <c r="C16" s="2">
        <v>44239</v>
      </c>
      <c r="D16" t="s">
        <v>137</v>
      </c>
      <c r="E16" t="s">
        <v>168</v>
      </c>
      <c r="F16" t="s">
        <v>168</v>
      </c>
      <c r="G16" t="s">
        <v>147</v>
      </c>
      <c r="H16" s="3">
        <v>0.6</v>
      </c>
      <c r="I16">
        <v>9000</v>
      </c>
      <c r="J16" s="4">
        <v>5400</v>
      </c>
      <c r="K16" s="4">
        <v>1620</v>
      </c>
      <c r="L16" s="5">
        <v>0.3</v>
      </c>
      <c r="M16" t="s">
        <v>126</v>
      </c>
      <c r="N16" t="s">
        <v>361</v>
      </c>
    </row>
    <row r="17" spans="1:14">
      <c r="A17" t="s">
        <v>29</v>
      </c>
      <c r="B17">
        <v>1185732</v>
      </c>
      <c r="C17" s="2">
        <v>44239</v>
      </c>
      <c r="D17" t="s">
        <v>137</v>
      </c>
      <c r="E17" t="s">
        <v>168</v>
      </c>
      <c r="F17" t="s">
        <v>168</v>
      </c>
      <c r="G17" t="s">
        <v>144</v>
      </c>
      <c r="H17" s="3">
        <v>0.5</v>
      </c>
      <c r="I17">
        <v>10000</v>
      </c>
      <c r="J17" s="4">
        <v>5000</v>
      </c>
      <c r="K17" s="4">
        <v>1250</v>
      </c>
      <c r="L17" s="5">
        <v>0.25</v>
      </c>
      <c r="M17" t="s">
        <v>126</v>
      </c>
      <c r="N17" t="s">
        <v>361</v>
      </c>
    </row>
    <row r="18" spans="1:14">
      <c r="A18" t="s">
        <v>29</v>
      </c>
      <c r="B18">
        <v>1185732</v>
      </c>
      <c r="C18" s="2">
        <v>44265</v>
      </c>
      <c r="D18" t="s">
        <v>137</v>
      </c>
      <c r="E18" t="s">
        <v>168</v>
      </c>
      <c r="F18" t="s">
        <v>168</v>
      </c>
      <c r="G18" t="s">
        <v>27</v>
      </c>
      <c r="H18" s="3">
        <v>0.5</v>
      </c>
      <c r="I18">
        <v>12200</v>
      </c>
      <c r="J18" s="4">
        <v>6100</v>
      </c>
      <c r="K18" s="4">
        <v>3050</v>
      </c>
      <c r="L18" s="5">
        <v>0.5</v>
      </c>
      <c r="M18" t="s">
        <v>24</v>
      </c>
      <c r="N18" t="s">
        <v>361</v>
      </c>
    </row>
    <row r="19" spans="1:14">
      <c r="A19" t="s">
        <v>29</v>
      </c>
      <c r="B19">
        <v>1185732</v>
      </c>
      <c r="C19" s="2">
        <v>44265</v>
      </c>
      <c r="D19" t="s">
        <v>137</v>
      </c>
      <c r="E19" t="s">
        <v>168</v>
      </c>
      <c r="F19" t="s">
        <v>168</v>
      </c>
      <c r="G19" t="s">
        <v>145</v>
      </c>
      <c r="H19" s="3">
        <v>0.5</v>
      </c>
      <c r="I19">
        <v>9250</v>
      </c>
      <c r="J19" s="4">
        <v>4625</v>
      </c>
      <c r="K19" s="4">
        <v>1387.5</v>
      </c>
      <c r="L19" s="5">
        <v>0.3</v>
      </c>
      <c r="M19" t="s">
        <v>24</v>
      </c>
      <c r="N19" t="s">
        <v>361</v>
      </c>
    </row>
    <row r="20" spans="1:14">
      <c r="A20" t="s">
        <v>29</v>
      </c>
      <c r="B20">
        <v>1185732</v>
      </c>
      <c r="C20" s="2">
        <v>44265</v>
      </c>
      <c r="D20" t="s">
        <v>137</v>
      </c>
      <c r="E20" t="s">
        <v>168</v>
      </c>
      <c r="F20" t="s">
        <v>168</v>
      </c>
      <c r="G20" t="s">
        <v>146</v>
      </c>
      <c r="H20" s="3">
        <v>0.4</v>
      </c>
      <c r="I20">
        <v>9500</v>
      </c>
      <c r="J20" s="4">
        <v>3800</v>
      </c>
      <c r="K20" s="4">
        <v>1330</v>
      </c>
      <c r="L20" s="5">
        <v>0.35</v>
      </c>
      <c r="M20" t="s">
        <v>24</v>
      </c>
      <c r="N20" t="s">
        <v>361</v>
      </c>
    </row>
    <row r="21" spans="1:14">
      <c r="A21" t="s">
        <v>29</v>
      </c>
      <c r="B21">
        <v>1185732</v>
      </c>
      <c r="C21" s="2">
        <v>44265</v>
      </c>
      <c r="D21" t="s">
        <v>137</v>
      </c>
      <c r="E21" t="s">
        <v>168</v>
      </c>
      <c r="F21" t="s">
        <v>168</v>
      </c>
      <c r="G21" t="s">
        <v>148</v>
      </c>
      <c r="H21" s="3">
        <v>0.45</v>
      </c>
      <c r="I21">
        <v>8000</v>
      </c>
      <c r="J21" s="4">
        <v>3600</v>
      </c>
      <c r="K21" s="4">
        <v>1260</v>
      </c>
      <c r="L21" s="5">
        <v>0.35</v>
      </c>
      <c r="M21" t="s">
        <v>24</v>
      </c>
      <c r="N21" t="s">
        <v>361</v>
      </c>
    </row>
    <row r="22" spans="1:14">
      <c r="A22" t="s">
        <v>29</v>
      </c>
      <c r="B22">
        <v>1185732</v>
      </c>
      <c r="C22" s="2">
        <v>44265</v>
      </c>
      <c r="D22" t="s">
        <v>137</v>
      </c>
      <c r="E22" t="s">
        <v>168</v>
      </c>
      <c r="F22" t="s">
        <v>168</v>
      </c>
      <c r="G22" t="s">
        <v>147</v>
      </c>
      <c r="H22" s="3">
        <v>0.6</v>
      </c>
      <c r="I22">
        <v>8500</v>
      </c>
      <c r="J22" s="4">
        <v>5100</v>
      </c>
      <c r="K22" s="4">
        <v>1530</v>
      </c>
      <c r="L22" s="5">
        <v>0.3</v>
      </c>
      <c r="M22" t="s">
        <v>24</v>
      </c>
      <c r="N22" t="s">
        <v>361</v>
      </c>
    </row>
    <row r="23" spans="1:14">
      <c r="A23" t="s">
        <v>29</v>
      </c>
      <c r="B23">
        <v>1185732</v>
      </c>
      <c r="C23" s="2">
        <v>44265</v>
      </c>
      <c r="D23" t="s">
        <v>137</v>
      </c>
      <c r="E23" t="s">
        <v>168</v>
      </c>
      <c r="F23" t="s">
        <v>168</v>
      </c>
      <c r="G23" t="s">
        <v>144</v>
      </c>
      <c r="H23" s="3">
        <v>0.5</v>
      </c>
      <c r="I23">
        <v>9500</v>
      </c>
      <c r="J23" s="4">
        <v>4750</v>
      </c>
      <c r="K23" s="4">
        <v>1187.5</v>
      </c>
      <c r="L23" s="5">
        <v>0.25</v>
      </c>
      <c r="M23" t="s">
        <v>24</v>
      </c>
      <c r="N23" t="s">
        <v>361</v>
      </c>
    </row>
    <row r="24" spans="1:14">
      <c r="A24" t="s">
        <v>29</v>
      </c>
      <c r="B24">
        <v>1185732</v>
      </c>
      <c r="C24" s="2">
        <v>44297</v>
      </c>
      <c r="D24" t="s">
        <v>137</v>
      </c>
      <c r="E24" t="s">
        <v>168</v>
      </c>
      <c r="F24" t="s">
        <v>168</v>
      </c>
      <c r="G24" t="s">
        <v>27</v>
      </c>
      <c r="H24" s="3">
        <v>0.5</v>
      </c>
      <c r="I24">
        <v>12000</v>
      </c>
      <c r="J24" s="4">
        <v>6000</v>
      </c>
      <c r="K24" s="4">
        <v>3000</v>
      </c>
      <c r="L24" s="5">
        <v>0.5</v>
      </c>
      <c r="M24" t="s">
        <v>127</v>
      </c>
      <c r="N24" t="s">
        <v>362</v>
      </c>
    </row>
    <row r="25" spans="1:14">
      <c r="A25" t="s">
        <v>29</v>
      </c>
      <c r="B25">
        <v>1185732</v>
      </c>
      <c r="C25" s="2">
        <v>44297</v>
      </c>
      <c r="D25" t="s">
        <v>137</v>
      </c>
      <c r="E25" t="s">
        <v>168</v>
      </c>
      <c r="F25" t="s">
        <v>168</v>
      </c>
      <c r="G25" t="s">
        <v>145</v>
      </c>
      <c r="H25" s="3">
        <v>0.5</v>
      </c>
      <c r="I25">
        <v>9000</v>
      </c>
      <c r="J25" s="4">
        <v>4500</v>
      </c>
      <c r="K25" s="4">
        <v>1350</v>
      </c>
      <c r="L25" s="5">
        <v>0.3</v>
      </c>
      <c r="M25" t="s">
        <v>127</v>
      </c>
      <c r="N25" t="s">
        <v>362</v>
      </c>
    </row>
    <row r="26" spans="1:14">
      <c r="A26" t="s">
        <v>29</v>
      </c>
      <c r="B26">
        <v>1185732</v>
      </c>
      <c r="C26" s="2">
        <v>44297</v>
      </c>
      <c r="D26" t="s">
        <v>137</v>
      </c>
      <c r="E26" t="s">
        <v>168</v>
      </c>
      <c r="F26" t="s">
        <v>168</v>
      </c>
      <c r="G26" t="s">
        <v>146</v>
      </c>
      <c r="H26" s="3">
        <v>0.4</v>
      </c>
      <c r="I26">
        <v>9000</v>
      </c>
      <c r="J26" s="4">
        <v>3600</v>
      </c>
      <c r="K26" s="4">
        <v>1260</v>
      </c>
      <c r="L26" s="5">
        <v>0.35</v>
      </c>
      <c r="M26" t="s">
        <v>127</v>
      </c>
      <c r="N26" t="s">
        <v>362</v>
      </c>
    </row>
    <row r="27" spans="1:14">
      <c r="A27" t="s">
        <v>29</v>
      </c>
      <c r="B27">
        <v>1185732</v>
      </c>
      <c r="C27" s="2">
        <v>44297</v>
      </c>
      <c r="D27" t="s">
        <v>137</v>
      </c>
      <c r="E27" t="s">
        <v>168</v>
      </c>
      <c r="F27" t="s">
        <v>168</v>
      </c>
      <c r="G27" t="s">
        <v>148</v>
      </c>
      <c r="H27" s="3">
        <v>0.45</v>
      </c>
      <c r="I27">
        <v>8250</v>
      </c>
      <c r="J27" s="4">
        <v>3712.5</v>
      </c>
      <c r="K27" s="4">
        <v>1299.375</v>
      </c>
      <c r="L27" s="5">
        <v>0.35</v>
      </c>
      <c r="M27" t="s">
        <v>127</v>
      </c>
      <c r="N27" t="s">
        <v>362</v>
      </c>
    </row>
    <row r="28" spans="1:14">
      <c r="A28" t="s">
        <v>29</v>
      </c>
      <c r="B28">
        <v>1185732</v>
      </c>
      <c r="C28" s="2">
        <v>44297</v>
      </c>
      <c r="D28" t="s">
        <v>137</v>
      </c>
      <c r="E28" t="s">
        <v>168</v>
      </c>
      <c r="F28" t="s">
        <v>168</v>
      </c>
      <c r="G28" t="s">
        <v>147</v>
      </c>
      <c r="H28" s="3">
        <v>0.6</v>
      </c>
      <c r="I28">
        <v>8250</v>
      </c>
      <c r="J28" s="4">
        <v>4950</v>
      </c>
      <c r="K28" s="4">
        <v>1485</v>
      </c>
      <c r="L28" s="5">
        <v>0.3</v>
      </c>
      <c r="M28" t="s">
        <v>127</v>
      </c>
      <c r="N28" t="s">
        <v>362</v>
      </c>
    </row>
    <row r="29" spans="1:14">
      <c r="A29" t="s">
        <v>29</v>
      </c>
      <c r="B29">
        <v>1185732</v>
      </c>
      <c r="C29" s="2">
        <v>44297</v>
      </c>
      <c r="D29" t="s">
        <v>137</v>
      </c>
      <c r="E29" t="s">
        <v>168</v>
      </c>
      <c r="F29" t="s">
        <v>168</v>
      </c>
      <c r="G29" t="s">
        <v>144</v>
      </c>
      <c r="H29" s="3">
        <v>0.5</v>
      </c>
      <c r="I29">
        <v>9500</v>
      </c>
      <c r="J29" s="4">
        <v>4750</v>
      </c>
      <c r="K29" s="4">
        <v>1187.5</v>
      </c>
      <c r="L29" s="5">
        <v>0.25</v>
      </c>
      <c r="M29" t="s">
        <v>127</v>
      </c>
      <c r="N29" t="s">
        <v>362</v>
      </c>
    </row>
    <row r="30" spans="1:14">
      <c r="A30" t="s">
        <v>29</v>
      </c>
      <c r="B30">
        <v>1185732</v>
      </c>
      <c r="C30" s="2">
        <v>44326</v>
      </c>
      <c r="D30" t="s">
        <v>137</v>
      </c>
      <c r="E30" t="s">
        <v>168</v>
      </c>
      <c r="F30" t="s">
        <v>168</v>
      </c>
      <c r="G30" t="s">
        <v>27</v>
      </c>
      <c r="H30" s="3">
        <v>0.6</v>
      </c>
      <c r="I30">
        <v>12200</v>
      </c>
      <c r="J30" s="4">
        <v>7320</v>
      </c>
      <c r="K30" s="4">
        <v>3660</v>
      </c>
      <c r="L30" s="5">
        <v>0.5</v>
      </c>
      <c r="M30" t="s">
        <v>128</v>
      </c>
      <c r="N30" t="s">
        <v>362</v>
      </c>
    </row>
    <row r="31" spans="1:14">
      <c r="A31" t="s">
        <v>29</v>
      </c>
      <c r="B31">
        <v>1185732</v>
      </c>
      <c r="C31" s="2">
        <v>44326</v>
      </c>
      <c r="D31" t="s">
        <v>137</v>
      </c>
      <c r="E31" t="s">
        <v>168</v>
      </c>
      <c r="F31" t="s">
        <v>168</v>
      </c>
      <c r="G31" t="s">
        <v>145</v>
      </c>
      <c r="H31" s="3">
        <v>0.55000000000000004</v>
      </c>
      <c r="I31">
        <v>9250</v>
      </c>
      <c r="J31" s="4">
        <v>5087.5</v>
      </c>
      <c r="K31" s="4">
        <v>1526.25</v>
      </c>
      <c r="L31" s="5">
        <v>0.3</v>
      </c>
      <c r="M31" t="s">
        <v>128</v>
      </c>
      <c r="N31" t="s">
        <v>362</v>
      </c>
    </row>
    <row r="32" spans="1:14">
      <c r="A32" t="s">
        <v>29</v>
      </c>
      <c r="B32">
        <v>1185732</v>
      </c>
      <c r="C32" s="2">
        <v>44326</v>
      </c>
      <c r="D32" t="s">
        <v>137</v>
      </c>
      <c r="E32" t="s">
        <v>168</v>
      </c>
      <c r="F32" t="s">
        <v>168</v>
      </c>
      <c r="G32" t="s">
        <v>146</v>
      </c>
      <c r="H32" s="3">
        <v>0.5</v>
      </c>
      <c r="I32">
        <v>9000</v>
      </c>
      <c r="J32" s="4">
        <v>4500</v>
      </c>
      <c r="K32" s="4">
        <v>1575</v>
      </c>
      <c r="L32" s="5">
        <v>0.35</v>
      </c>
      <c r="M32" t="s">
        <v>128</v>
      </c>
      <c r="N32" t="s">
        <v>362</v>
      </c>
    </row>
    <row r="33" spans="1:14">
      <c r="A33" t="s">
        <v>29</v>
      </c>
      <c r="B33">
        <v>1185732</v>
      </c>
      <c r="C33" s="2">
        <v>44326</v>
      </c>
      <c r="D33" t="s">
        <v>137</v>
      </c>
      <c r="E33" t="s">
        <v>168</v>
      </c>
      <c r="F33" t="s">
        <v>168</v>
      </c>
      <c r="G33" t="s">
        <v>148</v>
      </c>
      <c r="H33" s="3">
        <v>0.5</v>
      </c>
      <c r="I33">
        <v>8500</v>
      </c>
      <c r="J33" s="4">
        <v>4250</v>
      </c>
      <c r="K33" s="4">
        <v>1487.5</v>
      </c>
      <c r="L33" s="5">
        <v>0.35</v>
      </c>
      <c r="M33" t="s">
        <v>128</v>
      </c>
      <c r="N33" t="s">
        <v>362</v>
      </c>
    </row>
    <row r="34" spans="1:14">
      <c r="A34" t="s">
        <v>29</v>
      </c>
      <c r="B34">
        <v>1185732</v>
      </c>
      <c r="C34" s="2">
        <v>44326</v>
      </c>
      <c r="D34" t="s">
        <v>137</v>
      </c>
      <c r="E34" t="s">
        <v>168</v>
      </c>
      <c r="F34" t="s">
        <v>168</v>
      </c>
      <c r="G34" t="s">
        <v>147</v>
      </c>
      <c r="H34" s="3">
        <v>0.6</v>
      </c>
      <c r="I34">
        <v>8750</v>
      </c>
      <c r="J34" s="4">
        <v>5250</v>
      </c>
      <c r="K34" s="4">
        <v>1575</v>
      </c>
      <c r="L34" s="5">
        <v>0.3</v>
      </c>
      <c r="M34" t="s">
        <v>128</v>
      </c>
      <c r="N34" t="s">
        <v>362</v>
      </c>
    </row>
    <row r="35" spans="1:14">
      <c r="A35" t="s">
        <v>29</v>
      </c>
      <c r="B35">
        <v>1185732</v>
      </c>
      <c r="C35" s="2">
        <v>44326</v>
      </c>
      <c r="D35" t="s">
        <v>137</v>
      </c>
      <c r="E35" t="s">
        <v>168</v>
      </c>
      <c r="F35" t="s">
        <v>168</v>
      </c>
      <c r="G35" t="s">
        <v>144</v>
      </c>
      <c r="H35" s="3">
        <v>0.65</v>
      </c>
      <c r="I35">
        <v>10000</v>
      </c>
      <c r="J35" s="4">
        <v>6500</v>
      </c>
      <c r="K35" s="4">
        <v>1625</v>
      </c>
      <c r="L35" s="5">
        <v>0.25</v>
      </c>
      <c r="M35" t="s">
        <v>128</v>
      </c>
      <c r="N35" t="s">
        <v>362</v>
      </c>
    </row>
    <row r="36" spans="1:14">
      <c r="A36" t="s">
        <v>29</v>
      </c>
      <c r="B36">
        <v>1185732</v>
      </c>
      <c r="C36" s="2">
        <v>44359</v>
      </c>
      <c r="D36" t="s">
        <v>137</v>
      </c>
      <c r="E36" t="s">
        <v>168</v>
      </c>
      <c r="F36" t="s">
        <v>168</v>
      </c>
      <c r="G36" t="s">
        <v>27</v>
      </c>
      <c r="H36" s="3">
        <v>0.6</v>
      </c>
      <c r="I36">
        <v>12500</v>
      </c>
      <c r="J36" s="4">
        <v>7500</v>
      </c>
      <c r="K36" s="4">
        <v>3750</v>
      </c>
      <c r="L36" s="5">
        <v>0.5</v>
      </c>
      <c r="M36" t="s">
        <v>129</v>
      </c>
      <c r="N36" t="s">
        <v>362</v>
      </c>
    </row>
    <row r="37" spans="1:14">
      <c r="A37" t="s">
        <v>29</v>
      </c>
      <c r="B37">
        <v>1185732</v>
      </c>
      <c r="C37" s="2">
        <v>44359</v>
      </c>
      <c r="D37" t="s">
        <v>137</v>
      </c>
      <c r="E37" t="s">
        <v>168</v>
      </c>
      <c r="F37" t="s">
        <v>168</v>
      </c>
      <c r="G37" t="s">
        <v>145</v>
      </c>
      <c r="H37" s="3">
        <v>0.55000000000000004</v>
      </c>
      <c r="I37">
        <v>10000</v>
      </c>
      <c r="J37" s="4">
        <v>5500</v>
      </c>
      <c r="K37" s="4">
        <v>1650</v>
      </c>
      <c r="L37" s="5">
        <v>0.3</v>
      </c>
      <c r="M37" t="s">
        <v>129</v>
      </c>
      <c r="N37" t="s">
        <v>362</v>
      </c>
    </row>
    <row r="38" spans="1:14">
      <c r="A38" t="s">
        <v>29</v>
      </c>
      <c r="B38">
        <v>1185732</v>
      </c>
      <c r="C38" s="2">
        <v>44359</v>
      </c>
      <c r="D38" t="s">
        <v>137</v>
      </c>
      <c r="E38" t="s">
        <v>168</v>
      </c>
      <c r="F38" t="s">
        <v>168</v>
      </c>
      <c r="G38" t="s">
        <v>146</v>
      </c>
      <c r="H38" s="3">
        <v>0.5</v>
      </c>
      <c r="I38">
        <v>9250</v>
      </c>
      <c r="J38" s="4">
        <v>4625</v>
      </c>
      <c r="K38" s="4">
        <v>1618.75</v>
      </c>
      <c r="L38" s="5">
        <v>0.35</v>
      </c>
      <c r="M38" t="s">
        <v>129</v>
      </c>
      <c r="N38" t="s">
        <v>362</v>
      </c>
    </row>
    <row r="39" spans="1:14">
      <c r="A39" t="s">
        <v>29</v>
      </c>
      <c r="B39">
        <v>1185732</v>
      </c>
      <c r="C39" s="2">
        <v>44359</v>
      </c>
      <c r="D39" t="s">
        <v>137</v>
      </c>
      <c r="E39" t="s">
        <v>168</v>
      </c>
      <c r="F39" t="s">
        <v>168</v>
      </c>
      <c r="G39" t="s">
        <v>148</v>
      </c>
      <c r="H39" s="3">
        <v>0.5</v>
      </c>
      <c r="I39">
        <v>9000</v>
      </c>
      <c r="J39" s="4">
        <v>4500</v>
      </c>
      <c r="K39" s="4">
        <v>1575</v>
      </c>
      <c r="L39" s="5">
        <v>0.35</v>
      </c>
      <c r="M39" t="s">
        <v>129</v>
      </c>
      <c r="N39" t="s">
        <v>362</v>
      </c>
    </row>
    <row r="40" spans="1:14">
      <c r="A40" t="s">
        <v>29</v>
      </c>
      <c r="B40">
        <v>1185732</v>
      </c>
      <c r="C40" s="2">
        <v>44359</v>
      </c>
      <c r="D40" t="s">
        <v>137</v>
      </c>
      <c r="E40" t="s">
        <v>168</v>
      </c>
      <c r="F40" t="s">
        <v>168</v>
      </c>
      <c r="G40" t="s">
        <v>147</v>
      </c>
      <c r="H40" s="3">
        <v>0.6</v>
      </c>
      <c r="I40">
        <v>9000</v>
      </c>
      <c r="J40" s="4">
        <v>5400</v>
      </c>
      <c r="K40" s="4">
        <v>1620</v>
      </c>
      <c r="L40" s="5">
        <v>0.3</v>
      </c>
      <c r="M40" t="s">
        <v>129</v>
      </c>
      <c r="N40" t="s">
        <v>362</v>
      </c>
    </row>
    <row r="41" spans="1:14">
      <c r="A41" t="s">
        <v>29</v>
      </c>
      <c r="B41">
        <v>1185732</v>
      </c>
      <c r="C41" s="2">
        <v>44359</v>
      </c>
      <c r="D41" t="s">
        <v>137</v>
      </c>
      <c r="E41" t="s">
        <v>168</v>
      </c>
      <c r="F41" t="s">
        <v>168</v>
      </c>
      <c r="G41" t="s">
        <v>144</v>
      </c>
      <c r="H41" s="3">
        <v>0.65</v>
      </c>
      <c r="I41">
        <v>10500</v>
      </c>
      <c r="J41" s="4">
        <v>6825</v>
      </c>
      <c r="K41" s="4">
        <v>1706.25</v>
      </c>
      <c r="L41" s="5">
        <v>0.25</v>
      </c>
      <c r="M41" t="s">
        <v>129</v>
      </c>
      <c r="N41" t="s">
        <v>362</v>
      </c>
    </row>
    <row r="42" spans="1:14">
      <c r="A42" t="s">
        <v>29</v>
      </c>
      <c r="B42">
        <v>1185732</v>
      </c>
      <c r="C42" s="2">
        <v>44387</v>
      </c>
      <c r="D42" t="s">
        <v>137</v>
      </c>
      <c r="E42" t="s">
        <v>168</v>
      </c>
      <c r="F42" t="s">
        <v>168</v>
      </c>
      <c r="G42" t="s">
        <v>27</v>
      </c>
      <c r="H42" s="3">
        <v>0.6</v>
      </c>
      <c r="I42">
        <v>12750</v>
      </c>
      <c r="J42" s="4">
        <v>7650</v>
      </c>
      <c r="K42" s="4">
        <v>3825</v>
      </c>
      <c r="L42" s="5">
        <v>0.5</v>
      </c>
      <c r="M42" t="s">
        <v>130</v>
      </c>
      <c r="N42" t="s">
        <v>363</v>
      </c>
    </row>
    <row r="43" spans="1:14">
      <c r="A43" t="s">
        <v>29</v>
      </c>
      <c r="B43">
        <v>1185732</v>
      </c>
      <c r="C43" s="2">
        <v>44387</v>
      </c>
      <c r="D43" t="s">
        <v>137</v>
      </c>
      <c r="E43" t="s">
        <v>168</v>
      </c>
      <c r="F43" t="s">
        <v>168</v>
      </c>
      <c r="G43" t="s">
        <v>145</v>
      </c>
      <c r="H43" s="3">
        <v>0.55000000000000004</v>
      </c>
      <c r="I43">
        <v>10250</v>
      </c>
      <c r="J43" s="4">
        <v>5637.5000000000009</v>
      </c>
      <c r="K43" s="4">
        <v>1691.2500000000002</v>
      </c>
      <c r="L43" s="5">
        <v>0.3</v>
      </c>
      <c r="M43" t="s">
        <v>130</v>
      </c>
      <c r="N43" t="s">
        <v>363</v>
      </c>
    </row>
    <row r="44" spans="1:14">
      <c r="A44" t="s">
        <v>29</v>
      </c>
      <c r="B44">
        <v>1185732</v>
      </c>
      <c r="C44" s="2">
        <v>44387</v>
      </c>
      <c r="D44" t="s">
        <v>137</v>
      </c>
      <c r="E44" t="s">
        <v>168</v>
      </c>
      <c r="F44" t="s">
        <v>168</v>
      </c>
      <c r="G44" t="s">
        <v>146</v>
      </c>
      <c r="H44" s="3">
        <v>0.5</v>
      </c>
      <c r="I44">
        <v>9500</v>
      </c>
      <c r="J44" s="4">
        <v>4750</v>
      </c>
      <c r="K44" s="4">
        <v>1662.5</v>
      </c>
      <c r="L44" s="5">
        <v>0.35</v>
      </c>
      <c r="M44" t="s">
        <v>130</v>
      </c>
      <c r="N44" t="s">
        <v>363</v>
      </c>
    </row>
    <row r="45" spans="1:14">
      <c r="A45" t="s">
        <v>29</v>
      </c>
      <c r="B45">
        <v>1185732</v>
      </c>
      <c r="C45" s="2">
        <v>44387</v>
      </c>
      <c r="D45" t="s">
        <v>137</v>
      </c>
      <c r="E45" t="s">
        <v>168</v>
      </c>
      <c r="F45" t="s">
        <v>168</v>
      </c>
      <c r="G45" t="s">
        <v>148</v>
      </c>
      <c r="H45" s="3">
        <v>0.5</v>
      </c>
      <c r="I45">
        <v>9000</v>
      </c>
      <c r="J45" s="4">
        <v>4500</v>
      </c>
      <c r="K45" s="4">
        <v>1575</v>
      </c>
      <c r="L45" s="5">
        <v>0.35</v>
      </c>
      <c r="M45" t="s">
        <v>130</v>
      </c>
      <c r="N45" t="s">
        <v>363</v>
      </c>
    </row>
    <row r="46" spans="1:14">
      <c r="A46" t="s">
        <v>29</v>
      </c>
      <c r="B46">
        <v>1185732</v>
      </c>
      <c r="C46" s="2">
        <v>44387</v>
      </c>
      <c r="D46" t="s">
        <v>137</v>
      </c>
      <c r="E46" t="s">
        <v>168</v>
      </c>
      <c r="F46" t="s">
        <v>168</v>
      </c>
      <c r="G46" t="s">
        <v>147</v>
      </c>
      <c r="H46" s="3">
        <v>0.6</v>
      </c>
      <c r="I46">
        <v>9250</v>
      </c>
      <c r="J46" s="4">
        <v>5550</v>
      </c>
      <c r="K46" s="4">
        <v>1665</v>
      </c>
      <c r="L46" s="5">
        <v>0.3</v>
      </c>
      <c r="M46" t="s">
        <v>130</v>
      </c>
      <c r="N46" t="s">
        <v>363</v>
      </c>
    </row>
    <row r="47" spans="1:14">
      <c r="A47" t="s">
        <v>29</v>
      </c>
      <c r="B47">
        <v>1185732</v>
      </c>
      <c r="C47" s="2">
        <v>44387</v>
      </c>
      <c r="D47" t="s">
        <v>137</v>
      </c>
      <c r="E47" t="s">
        <v>168</v>
      </c>
      <c r="F47" t="s">
        <v>168</v>
      </c>
      <c r="G47" t="s">
        <v>144</v>
      </c>
      <c r="H47" s="3">
        <v>0.65</v>
      </c>
      <c r="I47">
        <v>11000</v>
      </c>
      <c r="J47" s="4">
        <v>7150</v>
      </c>
      <c r="K47" s="4">
        <v>1787.5</v>
      </c>
      <c r="L47" s="5">
        <v>0.25</v>
      </c>
      <c r="M47" t="s">
        <v>130</v>
      </c>
      <c r="N47" t="s">
        <v>363</v>
      </c>
    </row>
    <row r="48" spans="1:14">
      <c r="A48" t="s">
        <v>29</v>
      </c>
      <c r="B48">
        <v>1185732</v>
      </c>
      <c r="C48" s="2">
        <v>44419</v>
      </c>
      <c r="D48" t="s">
        <v>137</v>
      </c>
      <c r="E48" t="s">
        <v>168</v>
      </c>
      <c r="F48" t="s">
        <v>168</v>
      </c>
      <c r="G48" t="s">
        <v>27</v>
      </c>
      <c r="H48" s="3">
        <v>0.6</v>
      </c>
      <c r="I48">
        <v>12500</v>
      </c>
      <c r="J48" s="4">
        <v>7500</v>
      </c>
      <c r="K48" s="4">
        <v>3750</v>
      </c>
      <c r="L48" s="5">
        <v>0.5</v>
      </c>
      <c r="M48" t="s">
        <v>131</v>
      </c>
      <c r="N48" t="s">
        <v>363</v>
      </c>
    </row>
    <row r="49" spans="1:14">
      <c r="A49" t="s">
        <v>29</v>
      </c>
      <c r="B49">
        <v>1185732</v>
      </c>
      <c r="C49" s="2">
        <v>44419</v>
      </c>
      <c r="D49" t="s">
        <v>137</v>
      </c>
      <c r="E49" t="s">
        <v>168</v>
      </c>
      <c r="F49" t="s">
        <v>168</v>
      </c>
      <c r="G49" t="s">
        <v>145</v>
      </c>
      <c r="H49" s="3">
        <v>0.55000000000000004</v>
      </c>
      <c r="I49">
        <v>10250</v>
      </c>
      <c r="J49" s="4">
        <v>5637.5000000000009</v>
      </c>
      <c r="K49" s="4">
        <v>1691.2500000000002</v>
      </c>
      <c r="L49" s="5">
        <v>0.3</v>
      </c>
      <c r="M49" t="s">
        <v>131</v>
      </c>
      <c r="N49" t="s">
        <v>363</v>
      </c>
    </row>
    <row r="50" spans="1:14">
      <c r="A50" t="s">
        <v>29</v>
      </c>
      <c r="B50">
        <v>1185732</v>
      </c>
      <c r="C50" s="2">
        <v>44419</v>
      </c>
      <c r="D50" t="s">
        <v>137</v>
      </c>
      <c r="E50" t="s">
        <v>168</v>
      </c>
      <c r="F50" t="s">
        <v>168</v>
      </c>
      <c r="G50" t="s">
        <v>146</v>
      </c>
      <c r="H50" s="3">
        <v>0.5</v>
      </c>
      <c r="I50">
        <v>9500</v>
      </c>
      <c r="J50" s="4">
        <v>4750</v>
      </c>
      <c r="K50" s="4">
        <v>1662.5</v>
      </c>
      <c r="L50" s="5">
        <v>0.35</v>
      </c>
      <c r="M50" t="s">
        <v>131</v>
      </c>
      <c r="N50" t="s">
        <v>363</v>
      </c>
    </row>
    <row r="51" spans="1:14">
      <c r="A51" t="s">
        <v>29</v>
      </c>
      <c r="B51">
        <v>1185732</v>
      </c>
      <c r="C51" s="2">
        <v>44419</v>
      </c>
      <c r="D51" t="s">
        <v>137</v>
      </c>
      <c r="E51" t="s">
        <v>168</v>
      </c>
      <c r="F51" t="s">
        <v>168</v>
      </c>
      <c r="G51" t="s">
        <v>148</v>
      </c>
      <c r="H51" s="3">
        <v>0.5</v>
      </c>
      <c r="I51">
        <v>9250</v>
      </c>
      <c r="J51" s="4">
        <v>4625</v>
      </c>
      <c r="K51" s="4">
        <v>1618.75</v>
      </c>
      <c r="L51" s="5">
        <v>0.35</v>
      </c>
      <c r="M51" t="s">
        <v>131</v>
      </c>
      <c r="N51" t="s">
        <v>363</v>
      </c>
    </row>
    <row r="52" spans="1:14">
      <c r="A52" t="s">
        <v>29</v>
      </c>
      <c r="B52">
        <v>1185732</v>
      </c>
      <c r="C52" s="2">
        <v>44419</v>
      </c>
      <c r="D52" t="s">
        <v>137</v>
      </c>
      <c r="E52" t="s">
        <v>168</v>
      </c>
      <c r="F52" t="s">
        <v>168</v>
      </c>
      <c r="G52" t="s">
        <v>147</v>
      </c>
      <c r="H52" s="3">
        <v>0.6</v>
      </c>
      <c r="I52">
        <v>9000</v>
      </c>
      <c r="J52" s="4">
        <v>5400</v>
      </c>
      <c r="K52" s="4">
        <v>1620</v>
      </c>
      <c r="L52" s="5">
        <v>0.3</v>
      </c>
      <c r="M52" t="s">
        <v>131</v>
      </c>
      <c r="N52" t="s">
        <v>363</v>
      </c>
    </row>
    <row r="53" spans="1:14">
      <c r="A53" t="s">
        <v>29</v>
      </c>
      <c r="B53">
        <v>1185732</v>
      </c>
      <c r="C53" s="2">
        <v>44419</v>
      </c>
      <c r="D53" t="s">
        <v>137</v>
      </c>
      <c r="E53" t="s">
        <v>168</v>
      </c>
      <c r="F53" t="s">
        <v>168</v>
      </c>
      <c r="G53" t="s">
        <v>144</v>
      </c>
      <c r="H53" s="3">
        <v>0.65</v>
      </c>
      <c r="I53">
        <v>10750</v>
      </c>
      <c r="J53" s="4">
        <v>6987.5</v>
      </c>
      <c r="K53" s="4">
        <v>1746.875</v>
      </c>
      <c r="L53" s="5">
        <v>0.25</v>
      </c>
      <c r="M53" t="s">
        <v>131</v>
      </c>
      <c r="N53" t="s">
        <v>363</v>
      </c>
    </row>
    <row r="54" spans="1:14">
      <c r="A54" t="s">
        <v>29</v>
      </c>
      <c r="B54">
        <v>1185732</v>
      </c>
      <c r="C54" s="2">
        <v>44449</v>
      </c>
      <c r="D54" t="s">
        <v>137</v>
      </c>
      <c r="E54" t="s">
        <v>168</v>
      </c>
      <c r="F54" t="s">
        <v>168</v>
      </c>
      <c r="G54" t="s">
        <v>27</v>
      </c>
      <c r="H54" s="3">
        <v>0.6</v>
      </c>
      <c r="I54">
        <v>12000</v>
      </c>
      <c r="J54" s="4">
        <v>7200</v>
      </c>
      <c r="K54" s="4">
        <v>3600</v>
      </c>
      <c r="L54" s="5">
        <v>0.5</v>
      </c>
      <c r="M54" t="s">
        <v>132</v>
      </c>
      <c r="N54" t="s">
        <v>363</v>
      </c>
    </row>
    <row r="55" spans="1:14">
      <c r="A55" t="s">
        <v>29</v>
      </c>
      <c r="B55">
        <v>1185732</v>
      </c>
      <c r="C55" s="2">
        <v>44449</v>
      </c>
      <c r="D55" t="s">
        <v>137</v>
      </c>
      <c r="E55" t="s">
        <v>168</v>
      </c>
      <c r="F55" t="s">
        <v>168</v>
      </c>
      <c r="G55" t="s">
        <v>145</v>
      </c>
      <c r="H55" s="3">
        <v>0.55000000000000004</v>
      </c>
      <c r="I55">
        <v>10000</v>
      </c>
      <c r="J55" s="4">
        <v>5500</v>
      </c>
      <c r="K55" s="4">
        <v>1650</v>
      </c>
      <c r="L55" s="5">
        <v>0.3</v>
      </c>
      <c r="M55" t="s">
        <v>132</v>
      </c>
      <c r="N55" t="s">
        <v>363</v>
      </c>
    </row>
    <row r="56" spans="1:14">
      <c r="A56" t="s">
        <v>29</v>
      </c>
      <c r="B56">
        <v>1185732</v>
      </c>
      <c r="C56" s="2">
        <v>44449</v>
      </c>
      <c r="D56" t="s">
        <v>137</v>
      </c>
      <c r="E56" t="s">
        <v>168</v>
      </c>
      <c r="F56" t="s">
        <v>168</v>
      </c>
      <c r="G56" t="s">
        <v>146</v>
      </c>
      <c r="H56" s="3">
        <v>0.5</v>
      </c>
      <c r="I56">
        <v>9250</v>
      </c>
      <c r="J56" s="4">
        <v>4625</v>
      </c>
      <c r="K56" s="4">
        <v>1618.75</v>
      </c>
      <c r="L56" s="5">
        <v>0.35</v>
      </c>
      <c r="M56" t="s">
        <v>132</v>
      </c>
      <c r="N56" t="s">
        <v>363</v>
      </c>
    </row>
    <row r="57" spans="1:14">
      <c r="A57" t="s">
        <v>29</v>
      </c>
      <c r="B57">
        <v>1185732</v>
      </c>
      <c r="C57" s="2">
        <v>44449</v>
      </c>
      <c r="D57" t="s">
        <v>137</v>
      </c>
      <c r="E57" t="s">
        <v>168</v>
      </c>
      <c r="F57" t="s">
        <v>168</v>
      </c>
      <c r="G57" t="s">
        <v>148</v>
      </c>
      <c r="H57" s="3">
        <v>0.5</v>
      </c>
      <c r="I57">
        <v>9000</v>
      </c>
      <c r="J57" s="4">
        <v>4500</v>
      </c>
      <c r="K57" s="4">
        <v>1575</v>
      </c>
      <c r="L57" s="5">
        <v>0.35</v>
      </c>
      <c r="M57" t="s">
        <v>132</v>
      </c>
      <c r="N57" t="s">
        <v>363</v>
      </c>
    </row>
    <row r="58" spans="1:14">
      <c r="A58" t="s">
        <v>29</v>
      </c>
      <c r="B58">
        <v>1185732</v>
      </c>
      <c r="C58" s="2">
        <v>44449</v>
      </c>
      <c r="D58" t="s">
        <v>137</v>
      </c>
      <c r="E58" t="s">
        <v>168</v>
      </c>
      <c r="F58" t="s">
        <v>168</v>
      </c>
      <c r="G58" t="s">
        <v>147</v>
      </c>
      <c r="H58" s="3">
        <v>0.6</v>
      </c>
      <c r="I58">
        <v>9000</v>
      </c>
      <c r="J58" s="4">
        <v>5400</v>
      </c>
      <c r="K58" s="4">
        <v>1620</v>
      </c>
      <c r="L58" s="5">
        <v>0.3</v>
      </c>
      <c r="M58" t="s">
        <v>132</v>
      </c>
      <c r="N58" t="s">
        <v>363</v>
      </c>
    </row>
    <row r="59" spans="1:14">
      <c r="A59" t="s">
        <v>29</v>
      </c>
      <c r="B59">
        <v>1185732</v>
      </c>
      <c r="C59" s="2">
        <v>44449</v>
      </c>
      <c r="D59" t="s">
        <v>137</v>
      </c>
      <c r="E59" t="s">
        <v>168</v>
      </c>
      <c r="F59" t="s">
        <v>168</v>
      </c>
      <c r="G59" t="s">
        <v>144</v>
      </c>
      <c r="H59" s="3">
        <v>0.65</v>
      </c>
      <c r="I59">
        <v>10000</v>
      </c>
      <c r="J59" s="4">
        <v>6500</v>
      </c>
      <c r="K59" s="4">
        <v>1625</v>
      </c>
      <c r="L59" s="5">
        <v>0.25</v>
      </c>
      <c r="M59" t="s">
        <v>132</v>
      </c>
      <c r="N59" t="s">
        <v>363</v>
      </c>
    </row>
    <row r="60" spans="1:14">
      <c r="A60" t="s">
        <v>29</v>
      </c>
      <c r="B60">
        <v>1185732</v>
      </c>
      <c r="C60" s="2">
        <v>44481</v>
      </c>
      <c r="D60" t="s">
        <v>137</v>
      </c>
      <c r="E60" t="s">
        <v>168</v>
      </c>
      <c r="F60" t="s">
        <v>168</v>
      </c>
      <c r="G60" t="s">
        <v>27</v>
      </c>
      <c r="H60" s="3">
        <v>0.65</v>
      </c>
      <c r="I60">
        <v>11750</v>
      </c>
      <c r="J60" s="4">
        <v>7637.5</v>
      </c>
      <c r="K60" s="4">
        <v>3818.75</v>
      </c>
      <c r="L60" s="5">
        <v>0.5</v>
      </c>
      <c r="M60" t="s">
        <v>133</v>
      </c>
      <c r="N60" t="s">
        <v>364</v>
      </c>
    </row>
    <row r="61" spans="1:14">
      <c r="A61" t="s">
        <v>29</v>
      </c>
      <c r="B61">
        <v>1185732</v>
      </c>
      <c r="C61" s="2">
        <v>44481</v>
      </c>
      <c r="D61" t="s">
        <v>137</v>
      </c>
      <c r="E61" t="s">
        <v>168</v>
      </c>
      <c r="F61" t="s">
        <v>168</v>
      </c>
      <c r="G61" t="s">
        <v>145</v>
      </c>
      <c r="H61" s="3">
        <v>0.55000000000000004</v>
      </c>
      <c r="I61">
        <v>10000</v>
      </c>
      <c r="J61" s="4">
        <v>5500</v>
      </c>
      <c r="K61" s="4">
        <v>1650</v>
      </c>
      <c r="L61" s="5">
        <v>0.3</v>
      </c>
      <c r="M61" t="s">
        <v>133</v>
      </c>
      <c r="N61" t="s">
        <v>364</v>
      </c>
    </row>
    <row r="62" spans="1:14">
      <c r="A62" t="s">
        <v>29</v>
      </c>
      <c r="B62">
        <v>1185732</v>
      </c>
      <c r="C62" s="2">
        <v>44481</v>
      </c>
      <c r="D62" t="s">
        <v>137</v>
      </c>
      <c r="E62" t="s">
        <v>168</v>
      </c>
      <c r="F62" t="s">
        <v>168</v>
      </c>
      <c r="G62" t="s">
        <v>146</v>
      </c>
      <c r="H62" s="3">
        <v>0.55000000000000004</v>
      </c>
      <c r="I62">
        <v>9000</v>
      </c>
      <c r="J62" s="4">
        <v>4950</v>
      </c>
      <c r="K62" s="4">
        <v>1732.5</v>
      </c>
      <c r="L62" s="5">
        <v>0.35</v>
      </c>
      <c r="M62" t="s">
        <v>133</v>
      </c>
      <c r="N62" t="s">
        <v>364</v>
      </c>
    </row>
    <row r="63" spans="1:14">
      <c r="A63" t="s">
        <v>29</v>
      </c>
      <c r="B63">
        <v>1185732</v>
      </c>
      <c r="C63" s="2">
        <v>44481</v>
      </c>
      <c r="D63" t="s">
        <v>137</v>
      </c>
      <c r="E63" t="s">
        <v>168</v>
      </c>
      <c r="F63" t="s">
        <v>168</v>
      </c>
      <c r="G63" t="s">
        <v>148</v>
      </c>
      <c r="H63" s="3">
        <v>0.55000000000000004</v>
      </c>
      <c r="I63">
        <v>8750</v>
      </c>
      <c r="J63" s="4">
        <v>4812.5</v>
      </c>
      <c r="K63" s="4">
        <v>1684.375</v>
      </c>
      <c r="L63" s="5">
        <v>0.35</v>
      </c>
      <c r="M63" t="s">
        <v>133</v>
      </c>
      <c r="N63" t="s">
        <v>364</v>
      </c>
    </row>
    <row r="64" spans="1:14">
      <c r="A64" t="s">
        <v>29</v>
      </c>
      <c r="B64">
        <v>1185732</v>
      </c>
      <c r="C64" s="2">
        <v>44481</v>
      </c>
      <c r="D64" t="s">
        <v>137</v>
      </c>
      <c r="E64" t="s">
        <v>168</v>
      </c>
      <c r="F64" t="s">
        <v>168</v>
      </c>
      <c r="G64" t="s">
        <v>147</v>
      </c>
      <c r="H64" s="3">
        <v>0.65</v>
      </c>
      <c r="I64">
        <v>8750</v>
      </c>
      <c r="J64" s="4">
        <v>5687.5</v>
      </c>
      <c r="K64" s="4">
        <v>1706.25</v>
      </c>
      <c r="L64" s="5">
        <v>0.3</v>
      </c>
      <c r="M64" t="s">
        <v>133</v>
      </c>
      <c r="N64" t="s">
        <v>364</v>
      </c>
    </row>
    <row r="65" spans="1:14">
      <c r="A65" t="s">
        <v>29</v>
      </c>
      <c r="B65">
        <v>1185732</v>
      </c>
      <c r="C65" s="2">
        <v>44481</v>
      </c>
      <c r="D65" t="s">
        <v>137</v>
      </c>
      <c r="E65" t="s">
        <v>168</v>
      </c>
      <c r="F65" t="s">
        <v>168</v>
      </c>
      <c r="G65" t="s">
        <v>144</v>
      </c>
      <c r="H65" s="3">
        <v>0.7</v>
      </c>
      <c r="I65">
        <v>10000</v>
      </c>
      <c r="J65" s="4">
        <v>7000</v>
      </c>
      <c r="K65" s="4">
        <v>1750</v>
      </c>
      <c r="L65" s="5">
        <v>0.25</v>
      </c>
      <c r="M65" t="s">
        <v>133</v>
      </c>
      <c r="N65" t="s">
        <v>364</v>
      </c>
    </row>
    <row r="66" spans="1:14">
      <c r="A66" t="s">
        <v>29</v>
      </c>
      <c r="B66">
        <v>1185732</v>
      </c>
      <c r="C66" s="2">
        <v>44511</v>
      </c>
      <c r="D66" t="s">
        <v>137</v>
      </c>
      <c r="E66" t="s">
        <v>168</v>
      </c>
      <c r="F66" t="s">
        <v>168</v>
      </c>
      <c r="G66" t="s">
        <v>27</v>
      </c>
      <c r="H66" s="3">
        <v>0.65</v>
      </c>
      <c r="I66">
        <v>11500</v>
      </c>
      <c r="J66" s="4">
        <v>7475</v>
      </c>
      <c r="K66" s="4">
        <v>3737.5</v>
      </c>
      <c r="L66" s="5">
        <v>0.5</v>
      </c>
      <c r="M66" t="s">
        <v>134</v>
      </c>
      <c r="N66" t="s">
        <v>364</v>
      </c>
    </row>
    <row r="67" spans="1:14">
      <c r="A67" t="s">
        <v>29</v>
      </c>
      <c r="B67">
        <v>1185732</v>
      </c>
      <c r="C67" s="2">
        <v>44511</v>
      </c>
      <c r="D67" t="s">
        <v>137</v>
      </c>
      <c r="E67" t="s">
        <v>168</v>
      </c>
      <c r="F67" t="s">
        <v>168</v>
      </c>
      <c r="G67" t="s">
        <v>145</v>
      </c>
      <c r="H67" s="3">
        <v>0.55000000000000004</v>
      </c>
      <c r="I67">
        <v>9750</v>
      </c>
      <c r="J67" s="4">
        <v>5362.5</v>
      </c>
      <c r="K67" s="4">
        <v>1608.75</v>
      </c>
      <c r="L67" s="5">
        <v>0.3</v>
      </c>
      <c r="M67" t="s">
        <v>134</v>
      </c>
      <c r="N67" t="s">
        <v>364</v>
      </c>
    </row>
    <row r="68" spans="1:14">
      <c r="A68" t="s">
        <v>29</v>
      </c>
      <c r="B68">
        <v>1185732</v>
      </c>
      <c r="C68" s="2">
        <v>44511</v>
      </c>
      <c r="D68" t="s">
        <v>137</v>
      </c>
      <c r="E68" t="s">
        <v>168</v>
      </c>
      <c r="F68" t="s">
        <v>168</v>
      </c>
      <c r="G68" t="s">
        <v>146</v>
      </c>
      <c r="H68" s="3">
        <v>0.55000000000000004</v>
      </c>
      <c r="I68">
        <v>9200</v>
      </c>
      <c r="J68" s="4">
        <v>5060</v>
      </c>
      <c r="K68" s="4">
        <v>1771</v>
      </c>
      <c r="L68" s="5">
        <v>0.35</v>
      </c>
      <c r="M68" t="s">
        <v>134</v>
      </c>
      <c r="N68" t="s">
        <v>364</v>
      </c>
    </row>
    <row r="69" spans="1:14">
      <c r="A69" t="s">
        <v>29</v>
      </c>
      <c r="B69">
        <v>1185732</v>
      </c>
      <c r="C69" s="2">
        <v>44511</v>
      </c>
      <c r="D69" t="s">
        <v>137</v>
      </c>
      <c r="E69" t="s">
        <v>168</v>
      </c>
      <c r="F69" t="s">
        <v>168</v>
      </c>
      <c r="G69" t="s">
        <v>148</v>
      </c>
      <c r="H69" s="3">
        <v>0.55000000000000004</v>
      </c>
      <c r="I69">
        <v>9000</v>
      </c>
      <c r="J69" s="4">
        <v>4950</v>
      </c>
      <c r="K69" s="4">
        <v>1732.5</v>
      </c>
      <c r="L69" s="5">
        <v>0.35</v>
      </c>
      <c r="M69" t="s">
        <v>134</v>
      </c>
      <c r="N69" t="s">
        <v>364</v>
      </c>
    </row>
    <row r="70" spans="1:14">
      <c r="A70" t="s">
        <v>29</v>
      </c>
      <c r="B70">
        <v>1185732</v>
      </c>
      <c r="C70" s="2">
        <v>44511</v>
      </c>
      <c r="D70" t="s">
        <v>137</v>
      </c>
      <c r="E70" t="s">
        <v>168</v>
      </c>
      <c r="F70" t="s">
        <v>168</v>
      </c>
      <c r="G70" t="s">
        <v>147</v>
      </c>
      <c r="H70" s="3">
        <v>0.65</v>
      </c>
      <c r="I70">
        <v>8750</v>
      </c>
      <c r="J70" s="4">
        <v>5687.5</v>
      </c>
      <c r="K70" s="4">
        <v>1706.25</v>
      </c>
      <c r="L70" s="5">
        <v>0.3</v>
      </c>
      <c r="M70" t="s">
        <v>134</v>
      </c>
      <c r="N70" t="s">
        <v>364</v>
      </c>
    </row>
    <row r="71" spans="1:14">
      <c r="A71" t="s">
        <v>29</v>
      </c>
      <c r="B71">
        <v>1185732</v>
      </c>
      <c r="C71" s="2">
        <v>44511</v>
      </c>
      <c r="D71" t="s">
        <v>137</v>
      </c>
      <c r="E71" t="s">
        <v>168</v>
      </c>
      <c r="F71" t="s">
        <v>168</v>
      </c>
      <c r="G71" t="s">
        <v>144</v>
      </c>
      <c r="H71" s="3">
        <v>0.7</v>
      </c>
      <c r="I71">
        <v>9750</v>
      </c>
      <c r="J71" s="4">
        <v>6825</v>
      </c>
      <c r="K71" s="4">
        <v>1706.25</v>
      </c>
      <c r="L71" s="5">
        <v>0.25</v>
      </c>
      <c r="M71" t="s">
        <v>134</v>
      </c>
      <c r="N71" t="s">
        <v>364</v>
      </c>
    </row>
    <row r="72" spans="1:14">
      <c r="A72" t="s">
        <v>29</v>
      </c>
      <c r="B72">
        <v>1185732</v>
      </c>
      <c r="C72" s="2">
        <v>44540</v>
      </c>
      <c r="D72" t="s">
        <v>137</v>
      </c>
      <c r="E72" t="s">
        <v>168</v>
      </c>
      <c r="F72" t="s">
        <v>168</v>
      </c>
      <c r="G72" t="s">
        <v>27</v>
      </c>
      <c r="H72" s="3">
        <v>0.65</v>
      </c>
      <c r="I72">
        <v>12000</v>
      </c>
      <c r="J72" s="4">
        <v>7800</v>
      </c>
      <c r="K72" s="4">
        <v>3900</v>
      </c>
      <c r="L72" s="5">
        <v>0.5</v>
      </c>
      <c r="M72" t="s">
        <v>23</v>
      </c>
      <c r="N72" t="s">
        <v>364</v>
      </c>
    </row>
    <row r="73" spans="1:14">
      <c r="A73" t="s">
        <v>29</v>
      </c>
      <c r="B73">
        <v>1185732</v>
      </c>
      <c r="C73" s="2">
        <v>44540</v>
      </c>
      <c r="D73" t="s">
        <v>137</v>
      </c>
      <c r="E73" t="s">
        <v>168</v>
      </c>
      <c r="F73" t="s">
        <v>168</v>
      </c>
      <c r="G73" t="s">
        <v>145</v>
      </c>
      <c r="H73" s="3">
        <v>0.55000000000000004</v>
      </c>
      <c r="I73">
        <v>10000</v>
      </c>
      <c r="J73" s="4">
        <v>5500</v>
      </c>
      <c r="K73" s="4">
        <v>1650</v>
      </c>
      <c r="L73" s="5">
        <v>0.3</v>
      </c>
      <c r="M73" t="s">
        <v>23</v>
      </c>
      <c r="N73" t="s">
        <v>364</v>
      </c>
    </row>
    <row r="74" spans="1:14">
      <c r="A74" t="s">
        <v>29</v>
      </c>
      <c r="B74">
        <v>1185732</v>
      </c>
      <c r="C74" s="2">
        <v>44540</v>
      </c>
      <c r="D74" t="s">
        <v>137</v>
      </c>
      <c r="E74" t="s">
        <v>168</v>
      </c>
      <c r="F74" t="s">
        <v>168</v>
      </c>
      <c r="G74" t="s">
        <v>146</v>
      </c>
      <c r="H74" s="3">
        <v>0.55000000000000004</v>
      </c>
      <c r="I74">
        <v>9500</v>
      </c>
      <c r="J74" s="4">
        <v>5225</v>
      </c>
      <c r="K74" s="4">
        <v>1828.7499999999998</v>
      </c>
      <c r="L74" s="5">
        <v>0.35</v>
      </c>
      <c r="M74" t="s">
        <v>23</v>
      </c>
      <c r="N74" t="s">
        <v>364</v>
      </c>
    </row>
    <row r="75" spans="1:14">
      <c r="A75" t="s">
        <v>29</v>
      </c>
      <c r="B75">
        <v>1185732</v>
      </c>
      <c r="C75" s="2">
        <v>44540</v>
      </c>
      <c r="D75" t="s">
        <v>137</v>
      </c>
      <c r="E75" t="s">
        <v>168</v>
      </c>
      <c r="F75" t="s">
        <v>168</v>
      </c>
      <c r="G75" t="s">
        <v>148</v>
      </c>
      <c r="H75" s="3">
        <v>0.55000000000000004</v>
      </c>
      <c r="I75">
        <v>9000</v>
      </c>
      <c r="J75" s="4">
        <v>4950</v>
      </c>
      <c r="K75" s="4">
        <v>1732.5</v>
      </c>
      <c r="L75" s="5">
        <v>0.35</v>
      </c>
      <c r="M75" t="s">
        <v>23</v>
      </c>
      <c r="N75" t="s">
        <v>364</v>
      </c>
    </row>
    <row r="76" spans="1:14">
      <c r="A76" t="s">
        <v>29</v>
      </c>
      <c r="B76">
        <v>1185732</v>
      </c>
      <c r="C76" s="2">
        <v>44540</v>
      </c>
      <c r="D76" t="s">
        <v>137</v>
      </c>
      <c r="E76" t="s">
        <v>168</v>
      </c>
      <c r="F76" t="s">
        <v>168</v>
      </c>
      <c r="G76" t="s">
        <v>147</v>
      </c>
      <c r="H76" s="3">
        <v>0.65</v>
      </c>
      <c r="I76">
        <v>9000</v>
      </c>
      <c r="J76" s="4">
        <v>5850</v>
      </c>
      <c r="K76" s="4">
        <v>1755</v>
      </c>
      <c r="L76" s="5">
        <v>0.3</v>
      </c>
      <c r="M76" t="s">
        <v>23</v>
      </c>
      <c r="N76" t="s">
        <v>364</v>
      </c>
    </row>
    <row r="77" spans="1:14">
      <c r="A77" t="s">
        <v>29</v>
      </c>
      <c r="B77">
        <v>1185732</v>
      </c>
      <c r="C77" s="2">
        <v>44540</v>
      </c>
      <c r="D77" t="s">
        <v>137</v>
      </c>
      <c r="E77" t="s">
        <v>168</v>
      </c>
      <c r="F77" t="s">
        <v>168</v>
      </c>
      <c r="G77" t="s">
        <v>144</v>
      </c>
      <c r="H77" s="3">
        <v>0.7</v>
      </c>
      <c r="I77">
        <v>10000</v>
      </c>
      <c r="J77" s="4">
        <v>7000</v>
      </c>
      <c r="K77" s="4">
        <v>1750</v>
      </c>
      <c r="L77" s="5">
        <v>0.25</v>
      </c>
      <c r="M77" t="s">
        <v>23</v>
      </c>
      <c r="N77" t="s">
        <v>364</v>
      </c>
    </row>
    <row r="78" spans="1:14">
      <c r="A78" t="s">
        <v>152</v>
      </c>
      <c r="B78">
        <v>1197831</v>
      </c>
      <c r="C78" s="2">
        <v>44198</v>
      </c>
      <c r="D78" t="s">
        <v>139</v>
      </c>
      <c r="E78" t="s">
        <v>173</v>
      </c>
      <c r="F78" t="s">
        <v>184</v>
      </c>
      <c r="G78" t="s">
        <v>27</v>
      </c>
      <c r="H78" s="3">
        <v>0.25</v>
      </c>
      <c r="I78">
        <v>9000</v>
      </c>
      <c r="J78" s="4">
        <v>2250</v>
      </c>
      <c r="K78" s="4">
        <v>787.5</v>
      </c>
      <c r="L78" s="5">
        <v>0.35</v>
      </c>
      <c r="M78" t="s">
        <v>125</v>
      </c>
      <c r="N78" t="s">
        <v>361</v>
      </c>
    </row>
    <row r="79" spans="1:14">
      <c r="A79" t="s">
        <v>152</v>
      </c>
      <c r="B79">
        <v>1197831</v>
      </c>
      <c r="C79" s="2">
        <v>44198</v>
      </c>
      <c r="D79" t="s">
        <v>139</v>
      </c>
      <c r="E79" t="s">
        <v>173</v>
      </c>
      <c r="F79" t="s">
        <v>184</v>
      </c>
      <c r="G79" t="s">
        <v>145</v>
      </c>
      <c r="H79" s="3">
        <v>0.35</v>
      </c>
      <c r="I79">
        <v>9000</v>
      </c>
      <c r="J79" s="4">
        <v>3150</v>
      </c>
      <c r="K79" s="4">
        <v>1102.5</v>
      </c>
      <c r="L79" s="5">
        <v>0.35</v>
      </c>
      <c r="M79" t="s">
        <v>125</v>
      </c>
      <c r="N79" t="s">
        <v>361</v>
      </c>
    </row>
    <row r="80" spans="1:14">
      <c r="A80" t="s">
        <v>152</v>
      </c>
      <c r="B80">
        <v>1197831</v>
      </c>
      <c r="C80" s="2">
        <v>44198</v>
      </c>
      <c r="D80" t="s">
        <v>139</v>
      </c>
      <c r="E80" t="s">
        <v>173</v>
      </c>
      <c r="F80" t="s">
        <v>184</v>
      </c>
      <c r="G80" t="s">
        <v>146</v>
      </c>
      <c r="H80" s="3">
        <v>0.35</v>
      </c>
      <c r="I80">
        <v>7000</v>
      </c>
      <c r="J80" s="4">
        <v>2450</v>
      </c>
      <c r="K80" s="4">
        <v>857.5</v>
      </c>
      <c r="L80" s="5">
        <v>0.35</v>
      </c>
      <c r="M80" t="s">
        <v>125</v>
      </c>
      <c r="N80" t="s">
        <v>361</v>
      </c>
    </row>
    <row r="81" spans="1:14">
      <c r="A81" t="s">
        <v>152</v>
      </c>
      <c r="B81">
        <v>1197831</v>
      </c>
      <c r="C81" s="2">
        <v>44198</v>
      </c>
      <c r="D81" t="s">
        <v>139</v>
      </c>
      <c r="E81" t="s">
        <v>173</v>
      </c>
      <c r="F81" t="s">
        <v>184</v>
      </c>
      <c r="G81" t="s">
        <v>148</v>
      </c>
      <c r="H81" s="3">
        <v>0.35</v>
      </c>
      <c r="I81">
        <v>7000</v>
      </c>
      <c r="J81" s="4">
        <v>2450</v>
      </c>
      <c r="K81" s="4">
        <v>1102.5</v>
      </c>
      <c r="L81" s="5">
        <v>0.45</v>
      </c>
      <c r="M81" t="s">
        <v>125</v>
      </c>
      <c r="N81" t="s">
        <v>361</v>
      </c>
    </row>
    <row r="82" spans="1:14">
      <c r="A82" t="s">
        <v>152</v>
      </c>
      <c r="B82">
        <v>1197831</v>
      </c>
      <c r="C82" s="2">
        <v>44198</v>
      </c>
      <c r="D82" t="s">
        <v>139</v>
      </c>
      <c r="E82" t="s">
        <v>173</v>
      </c>
      <c r="F82" t="s">
        <v>184</v>
      </c>
      <c r="G82" t="s">
        <v>147</v>
      </c>
      <c r="H82" s="3">
        <v>0.4</v>
      </c>
      <c r="I82">
        <v>5500</v>
      </c>
      <c r="J82" s="4">
        <v>2200</v>
      </c>
      <c r="K82" s="4">
        <v>660</v>
      </c>
      <c r="L82" s="5">
        <v>0.3</v>
      </c>
      <c r="M82" t="s">
        <v>125</v>
      </c>
      <c r="N82" t="s">
        <v>361</v>
      </c>
    </row>
    <row r="83" spans="1:14">
      <c r="A83" t="s">
        <v>152</v>
      </c>
      <c r="B83">
        <v>1197831</v>
      </c>
      <c r="C83" s="2">
        <v>44198</v>
      </c>
      <c r="D83" t="s">
        <v>139</v>
      </c>
      <c r="E83" t="s">
        <v>173</v>
      </c>
      <c r="F83" t="s">
        <v>184</v>
      </c>
      <c r="G83" t="s">
        <v>144</v>
      </c>
      <c r="H83" s="3">
        <v>0.35</v>
      </c>
      <c r="I83">
        <v>7000</v>
      </c>
      <c r="J83" s="4">
        <v>2450</v>
      </c>
      <c r="K83" s="4">
        <v>1225</v>
      </c>
      <c r="L83" s="5">
        <v>0.5</v>
      </c>
      <c r="M83" t="s">
        <v>125</v>
      </c>
      <c r="N83" t="s">
        <v>361</v>
      </c>
    </row>
    <row r="84" spans="1:14">
      <c r="A84" t="s">
        <v>152</v>
      </c>
      <c r="B84">
        <v>1197831</v>
      </c>
      <c r="C84" s="2">
        <v>44228</v>
      </c>
      <c r="D84" t="s">
        <v>139</v>
      </c>
      <c r="E84" t="s">
        <v>173</v>
      </c>
      <c r="F84" t="s">
        <v>184</v>
      </c>
      <c r="G84" t="s">
        <v>27</v>
      </c>
      <c r="H84" s="3">
        <v>0.25</v>
      </c>
      <c r="I84">
        <v>8500</v>
      </c>
      <c r="J84" s="4">
        <v>2125</v>
      </c>
      <c r="K84" s="4">
        <v>743.75</v>
      </c>
      <c r="L84" s="5">
        <v>0.35</v>
      </c>
      <c r="M84" t="s">
        <v>126</v>
      </c>
      <c r="N84" t="s">
        <v>361</v>
      </c>
    </row>
    <row r="85" spans="1:14">
      <c r="A85" t="s">
        <v>152</v>
      </c>
      <c r="B85">
        <v>1197831</v>
      </c>
      <c r="C85" s="2">
        <v>44228</v>
      </c>
      <c r="D85" t="s">
        <v>139</v>
      </c>
      <c r="E85" t="s">
        <v>173</v>
      </c>
      <c r="F85" t="s">
        <v>184</v>
      </c>
      <c r="G85" t="s">
        <v>145</v>
      </c>
      <c r="H85" s="3">
        <v>0.35</v>
      </c>
      <c r="I85">
        <v>8500</v>
      </c>
      <c r="J85" s="4">
        <v>2975</v>
      </c>
      <c r="K85" s="4">
        <v>1041.25</v>
      </c>
      <c r="L85" s="5">
        <v>0.35</v>
      </c>
      <c r="M85" t="s">
        <v>126</v>
      </c>
      <c r="N85" t="s">
        <v>361</v>
      </c>
    </row>
    <row r="86" spans="1:14">
      <c r="A86" t="s">
        <v>152</v>
      </c>
      <c r="B86">
        <v>1197831</v>
      </c>
      <c r="C86" s="2">
        <v>44228</v>
      </c>
      <c r="D86" t="s">
        <v>139</v>
      </c>
      <c r="E86" t="s">
        <v>173</v>
      </c>
      <c r="F86" t="s">
        <v>184</v>
      </c>
      <c r="G86" t="s">
        <v>146</v>
      </c>
      <c r="H86" s="3">
        <v>0.35</v>
      </c>
      <c r="I86">
        <v>6750</v>
      </c>
      <c r="J86" s="4">
        <v>2362.5</v>
      </c>
      <c r="K86" s="4">
        <v>826.875</v>
      </c>
      <c r="L86" s="5">
        <v>0.35</v>
      </c>
      <c r="M86" t="s">
        <v>126</v>
      </c>
      <c r="N86" t="s">
        <v>361</v>
      </c>
    </row>
    <row r="87" spans="1:14">
      <c r="A87" t="s">
        <v>152</v>
      </c>
      <c r="B87">
        <v>1197831</v>
      </c>
      <c r="C87" s="2">
        <v>44228</v>
      </c>
      <c r="D87" t="s">
        <v>139</v>
      </c>
      <c r="E87" t="s">
        <v>173</v>
      </c>
      <c r="F87" t="s">
        <v>184</v>
      </c>
      <c r="G87" t="s">
        <v>148</v>
      </c>
      <c r="H87" s="3">
        <v>0.35</v>
      </c>
      <c r="I87">
        <v>6250</v>
      </c>
      <c r="J87" s="4">
        <v>2187.5</v>
      </c>
      <c r="K87" s="4">
        <v>984.375</v>
      </c>
      <c r="L87" s="5">
        <v>0.45</v>
      </c>
      <c r="M87" t="s">
        <v>126</v>
      </c>
      <c r="N87" t="s">
        <v>361</v>
      </c>
    </row>
    <row r="88" spans="1:14">
      <c r="A88" t="s">
        <v>152</v>
      </c>
      <c r="B88">
        <v>1197831</v>
      </c>
      <c r="C88" s="2">
        <v>44228</v>
      </c>
      <c r="D88" t="s">
        <v>139</v>
      </c>
      <c r="E88" t="s">
        <v>173</v>
      </c>
      <c r="F88" t="s">
        <v>184</v>
      </c>
      <c r="G88" t="s">
        <v>147</v>
      </c>
      <c r="H88" s="3">
        <v>0.4</v>
      </c>
      <c r="I88">
        <v>5000</v>
      </c>
      <c r="J88" s="4">
        <v>2000</v>
      </c>
      <c r="K88" s="4">
        <v>600</v>
      </c>
      <c r="L88" s="5">
        <v>0.3</v>
      </c>
      <c r="M88" t="s">
        <v>126</v>
      </c>
      <c r="N88" t="s">
        <v>361</v>
      </c>
    </row>
    <row r="89" spans="1:14">
      <c r="A89" t="s">
        <v>152</v>
      </c>
      <c r="B89">
        <v>1197831</v>
      </c>
      <c r="C89" s="2">
        <v>44228</v>
      </c>
      <c r="D89" t="s">
        <v>139</v>
      </c>
      <c r="E89" t="s">
        <v>173</v>
      </c>
      <c r="F89" t="s">
        <v>184</v>
      </c>
      <c r="G89" t="s">
        <v>144</v>
      </c>
      <c r="H89" s="3">
        <v>0.35</v>
      </c>
      <c r="I89">
        <v>7000</v>
      </c>
      <c r="J89" s="4">
        <v>2450</v>
      </c>
      <c r="K89" s="4">
        <v>1225</v>
      </c>
      <c r="L89" s="5">
        <v>0.5</v>
      </c>
      <c r="M89" t="s">
        <v>126</v>
      </c>
      <c r="N89" t="s">
        <v>361</v>
      </c>
    </row>
    <row r="90" spans="1:14">
      <c r="A90" t="s">
        <v>152</v>
      </c>
      <c r="B90">
        <v>1197831</v>
      </c>
      <c r="C90" s="2">
        <v>44258</v>
      </c>
      <c r="D90" t="s">
        <v>139</v>
      </c>
      <c r="E90" t="s">
        <v>173</v>
      </c>
      <c r="F90" t="s">
        <v>184</v>
      </c>
      <c r="G90" t="s">
        <v>27</v>
      </c>
      <c r="H90" s="3">
        <v>0.3</v>
      </c>
      <c r="I90">
        <v>8750</v>
      </c>
      <c r="J90" s="4">
        <v>2625</v>
      </c>
      <c r="K90" s="4">
        <v>918.74999999999989</v>
      </c>
      <c r="L90" s="5">
        <v>0.35</v>
      </c>
      <c r="M90" t="s">
        <v>24</v>
      </c>
      <c r="N90" t="s">
        <v>361</v>
      </c>
    </row>
    <row r="91" spans="1:14">
      <c r="A91" t="s">
        <v>152</v>
      </c>
      <c r="B91">
        <v>1197831</v>
      </c>
      <c r="C91" s="2">
        <v>44258</v>
      </c>
      <c r="D91" t="s">
        <v>139</v>
      </c>
      <c r="E91" t="s">
        <v>173</v>
      </c>
      <c r="F91" t="s">
        <v>184</v>
      </c>
      <c r="G91" t="s">
        <v>145</v>
      </c>
      <c r="H91" s="3">
        <v>0.4</v>
      </c>
      <c r="I91">
        <v>8750</v>
      </c>
      <c r="J91" s="4">
        <v>3500</v>
      </c>
      <c r="K91" s="4">
        <v>1225</v>
      </c>
      <c r="L91" s="5">
        <v>0.35</v>
      </c>
      <c r="M91" t="s">
        <v>24</v>
      </c>
      <c r="N91" t="s">
        <v>361</v>
      </c>
    </row>
    <row r="92" spans="1:14">
      <c r="A92" t="s">
        <v>152</v>
      </c>
      <c r="B92">
        <v>1197831</v>
      </c>
      <c r="C92" s="2">
        <v>44258</v>
      </c>
      <c r="D92" t="s">
        <v>139</v>
      </c>
      <c r="E92" t="s">
        <v>173</v>
      </c>
      <c r="F92" t="s">
        <v>184</v>
      </c>
      <c r="G92" t="s">
        <v>146</v>
      </c>
      <c r="H92" s="3">
        <v>0.35</v>
      </c>
      <c r="I92">
        <v>7000</v>
      </c>
      <c r="J92" s="4">
        <v>2450</v>
      </c>
      <c r="K92" s="4">
        <v>857.5</v>
      </c>
      <c r="L92" s="5">
        <v>0.35</v>
      </c>
      <c r="M92" t="s">
        <v>24</v>
      </c>
      <c r="N92" t="s">
        <v>361</v>
      </c>
    </row>
    <row r="93" spans="1:14">
      <c r="A93" t="s">
        <v>152</v>
      </c>
      <c r="B93">
        <v>1197831</v>
      </c>
      <c r="C93" s="2">
        <v>44258</v>
      </c>
      <c r="D93" t="s">
        <v>139</v>
      </c>
      <c r="E93" t="s">
        <v>173</v>
      </c>
      <c r="F93" t="s">
        <v>184</v>
      </c>
      <c r="G93" t="s">
        <v>148</v>
      </c>
      <c r="H93" s="3">
        <v>0.4</v>
      </c>
      <c r="I93">
        <v>6000</v>
      </c>
      <c r="J93" s="4">
        <v>2400</v>
      </c>
      <c r="K93" s="4">
        <v>1080</v>
      </c>
      <c r="L93" s="5">
        <v>0.45</v>
      </c>
      <c r="M93" t="s">
        <v>24</v>
      </c>
      <c r="N93" t="s">
        <v>361</v>
      </c>
    </row>
    <row r="94" spans="1:14">
      <c r="A94" t="s">
        <v>152</v>
      </c>
      <c r="B94">
        <v>1197831</v>
      </c>
      <c r="C94" s="2">
        <v>44258</v>
      </c>
      <c r="D94" t="s">
        <v>139</v>
      </c>
      <c r="E94" t="s">
        <v>173</v>
      </c>
      <c r="F94" t="s">
        <v>184</v>
      </c>
      <c r="G94" t="s">
        <v>147</v>
      </c>
      <c r="H94" s="3">
        <v>0.45</v>
      </c>
      <c r="I94">
        <v>5000</v>
      </c>
      <c r="J94" s="4">
        <v>2250</v>
      </c>
      <c r="K94" s="4">
        <v>675</v>
      </c>
      <c r="L94" s="5">
        <v>0.3</v>
      </c>
      <c r="M94" t="s">
        <v>24</v>
      </c>
      <c r="N94" t="s">
        <v>361</v>
      </c>
    </row>
    <row r="95" spans="1:14">
      <c r="A95" t="s">
        <v>152</v>
      </c>
      <c r="B95">
        <v>1197831</v>
      </c>
      <c r="C95" s="2">
        <v>44258</v>
      </c>
      <c r="D95" t="s">
        <v>139</v>
      </c>
      <c r="E95" t="s">
        <v>173</v>
      </c>
      <c r="F95" t="s">
        <v>184</v>
      </c>
      <c r="G95" t="s">
        <v>144</v>
      </c>
      <c r="H95" s="3">
        <v>0.4</v>
      </c>
      <c r="I95">
        <v>6500</v>
      </c>
      <c r="J95" s="4">
        <v>2600</v>
      </c>
      <c r="K95" s="4">
        <v>1300</v>
      </c>
      <c r="L95" s="5">
        <v>0.5</v>
      </c>
      <c r="M95" t="s">
        <v>24</v>
      </c>
      <c r="N95" t="s">
        <v>361</v>
      </c>
    </row>
    <row r="96" spans="1:14">
      <c r="A96" t="s">
        <v>152</v>
      </c>
      <c r="B96">
        <v>1197831</v>
      </c>
      <c r="C96" s="2">
        <v>44288</v>
      </c>
      <c r="D96" t="s">
        <v>139</v>
      </c>
      <c r="E96" t="s">
        <v>173</v>
      </c>
      <c r="F96" t="s">
        <v>184</v>
      </c>
      <c r="G96" t="s">
        <v>27</v>
      </c>
      <c r="H96" s="3">
        <v>0.3</v>
      </c>
      <c r="I96">
        <v>9000</v>
      </c>
      <c r="J96" s="4">
        <v>2700</v>
      </c>
      <c r="K96" s="4">
        <v>944.99999999999989</v>
      </c>
      <c r="L96" s="5">
        <v>0.35</v>
      </c>
      <c r="M96" t="s">
        <v>127</v>
      </c>
      <c r="N96" t="s">
        <v>362</v>
      </c>
    </row>
    <row r="97" spans="1:14">
      <c r="A97" t="s">
        <v>152</v>
      </c>
      <c r="B97">
        <v>1197831</v>
      </c>
      <c r="C97" s="2">
        <v>44288</v>
      </c>
      <c r="D97" t="s">
        <v>139</v>
      </c>
      <c r="E97" t="s">
        <v>173</v>
      </c>
      <c r="F97" t="s">
        <v>184</v>
      </c>
      <c r="G97" t="s">
        <v>145</v>
      </c>
      <c r="H97" s="3">
        <v>0.4</v>
      </c>
      <c r="I97">
        <v>9000</v>
      </c>
      <c r="J97" s="4">
        <v>3600</v>
      </c>
      <c r="K97" s="4">
        <v>1260</v>
      </c>
      <c r="L97" s="5">
        <v>0.35</v>
      </c>
      <c r="M97" t="s">
        <v>127</v>
      </c>
      <c r="N97" t="s">
        <v>362</v>
      </c>
    </row>
    <row r="98" spans="1:14">
      <c r="A98" t="s">
        <v>152</v>
      </c>
      <c r="B98">
        <v>1197831</v>
      </c>
      <c r="C98" s="2">
        <v>44288</v>
      </c>
      <c r="D98" t="s">
        <v>139</v>
      </c>
      <c r="E98" t="s">
        <v>173</v>
      </c>
      <c r="F98" t="s">
        <v>184</v>
      </c>
      <c r="G98" t="s">
        <v>146</v>
      </c>
      <c r="H98" s="3">
        <v>0.35</v>
      </c>
      <c r="I98">
        <v>7250</v>
      </c>
      <c r="J98" s="4">
        <v>2537.5</v>
      </c>
      <c r="K98" s="4">
        <v>888.125</v>
      </c>
      <c r="L98" s="5">
        <v>0.35</v>
      </c>
      <c r="M98" t="s">
        <v>127</v>
      </c>
      <c r="N98" t="s">
        <v>362</v>
      </c>
    </row>
    <row r="99" spans="1:14">
      <c r="A99" t="s">
        <v>152</v>
      </c>
      <c r="B99">
        <v>1197831</v>
      </c>
      <c r="C99" s="2">
        <v>44288</v>
      </c>
      <c r="D99" t="s">
        <v>139</v>
      </c>
      <c r="E99" t="s">
        <v>173</v>
      </c>
      <c r="F99" t="s">
        <v>184</v>
      </c>
      <c r="G99" t="s">
        <v>148</v>
      </c>
      <c r="H99" s="3">
        <v>0.4</v>
      </c>
      <c r="I99">
        <v>6250</v>
      </c>
      <c r="J99" s="4">
        <v>2500</v>
      </c>
      <c r="K99" s="4">
        <v>1125</v>
      </c>
      <c r="L99" s="5">
        <v>0.45</v>
      </c>
      <c r="M99" t="s">
        <v>127</v>
      </c>
      <c r="N99" t="s">
        <v>362</v>
      </c>
    </row>
    <row r="100" spans="1:14">
      <c r="A100" t="s">
        <v>152</v>
      </c>
      <c r="B100">
        <v>1197831</v>
      </c>
      <c r="C100" s="2">
        <v>44288</v>
      </c>
      <c r="D100" t="s">
        <v>139</v>
      </c>
      <c r="E100" t="s">
        <v>173</v>
      </c>
      <c r="F100" t="s">
        <v>184</v>
      </c>
      <c r="G100" t="s">
        <v>147</v>
      </c>
      <c r="H100" s="3">
        <v>0.45</v>
      </c>
      <c r="I100">
        <v>5250</v>
      </c>
      <c r="J100" s="4">
        <v>2362.5</v>
      </c>
      <c r="K100" s="4">
        <v>708.75</v>
      </c>
      <c r="L100" s="5">
        <v>0.3</v>
      </c>
      <c r="M100" t="s">
        <v>127</v>
      </c>
      <c r="N100" t="s">
        <v>362</v>
      </c>
    </row>
    <row r="101" spans="1:14">
      <c r="A101" t="s">
        <v>152</v>
      </c>
      <c r="B101">
        <v>1197831</v>
      </c>
      <c r="C101" s="2">
        <v>44288</v>
      </c>
      <c r="D101" t="s">
        <v>139</v>
      </c>
      <c r="E101" t="s">
        <v>173</v>
      </c>
      <c r="F101" t="s">
        <v>184</v>
      </c>
      <c r="G101" t="s">
        <v>144</v>
      </c>
      <c r="H101" s="3">
        <v>0.4</v>
      </c>
      <c r="I101">
        <v>8000</v>
      </c>
      <c r="J101" s="4">
        <v>3200</v>
      </c>
      <c r="K101" s="4">
        <v>1600</v>
      </c>
      <c r="L101" s="5">
        <v>0.5</v>
      </c>
      <c r="M101" t="s">
        <v>127</v>
      </c>
      <c r="N101" t="s">
        <v>362</v>
      </c>
    </row>
    <row r="102" spans="1:14">
      <c r="A102" t="s">
        <v>152</v>
      </c>
      <c r="B102">
        <v>1197831</v>
      </c>
      <c r="C102" s="2">
        <v>44318</v>
      </c>
      <c r="D102" t="s">
        <v>139</v>
      </c>
      <c r="E102" t="s">
        <v>173</v>
      </c>
      <c r="F102" t="s">
        <v>184</v>
      </c>
      <c r="G102" t="s">
        <v>27</v>
      </c>
      <c r="H102" s="3">
        <v>0.3</v>
      </c>
      <c r="I102">
        <v>9250</v>
      </c>
      <c r="J102" s="4">
        <v>2775</v>
      </c>
      <c r="K102" s="4">
        <v>971.24999999999989</v>
      </c>
      <c r="L102" s="5">
        <v>0.35</v>
      </c>
      <c r="M102" t="s">
        <v>128</v>
      </c>
      <c r="N102" t="s">
        <v>362</v>
      </c>
    </row>
    <row r="103" spans="1:14">
      <c r="A103" t="s">
        <v>152</v>
      </c>
      <c r="B103">
        <v>1197831</v>
      </c>
      <c r="C103" s="2">
        <v>44318</v>
      </c>
      <c r="D103" t="s">
        <v>139</v>
      </c>
      <c r="E103" t="s">
        <v>173</v>
      </c>
      <c r="F103" t="s">
        <v>184</v>
      </c>
      <c r="G103" t="s">
        <v>145</v>
      </c>
      <c r="H103" s="3">
        <v>0.4</v>
      </c>
      <c r="I103">
        <v>9250</v>
      </c>
      <c r="J103" s="4">
        <v>3700</v>
      </c>
      <c r="K103" s="4">
        <v>1295</v>
      </c>
      <c r="L103" s="5">
        <v>0.35</v>
      </c>
      <c r="M103" t="s">
        <v>128</v>
      </c>
      <c r="N103" t="s">
        <v>362</v>
      </c>
    </row>
    <row r="104" spans="1:14">
      <c r="A104" t="s">
        <v>152</v>
      </c>
      <c r="B104">
        <v>1197831</v>
      </c>
      <c r="C104" s="2">
        <v>44318</v>
      </c>
      <c r="D104" t="s">
        <v>139</v>
      </c>
      <c r="E104" t="s">
        <v>173</v>
      </c>
      <c r="F104" t="s">
        <v>184</v>
      </c>
      <c r="G104" t="s">
        <v>146</v>
      </c>
      <c r="H104" s="3">
        <v>0.35</v>
      </c>
      <c r="I104">
        <v>7750</v>
      </c>
      <c r="J104" s="4">
        <v>2712.5</v>
      </c>
      <c r="K104" s="4">
        <v>949.37499999999989</v>
      </c>
      <c r="L104" s="5">
        <v>0.35</v>
      </c>
      <c r="M104" t="s">
        <v>128</v>
      </c>
      <c r="N104" t="s">
        <v>362</v>
      </c>
    </row>
    <row r="105" spans="1:14">
      <c r="A105" t="s">
        <v>152</v>
      </c>
      <c r="B105">
        <v>1197831</v>
      </c>
      <c r="C105" s="2">
        <v>44318</v>
      </c>
      <c r="D105" t="s">
        <v>139</v>
      </c>
      <c r="E105" t="s">
        <v>173</v>
      </c>
      <c r="F105" t="s">
        <v>184</v>
      </c>
      <c r="G105" t="s">
        <v>148</v>
      </c>
      <c r="H105" s="3">
        <v>0.4</v>
      </c>
      <c r="I105">
        <v>7000</v>
      </c>
      <c r="J105" s="4">
        <v>2800</v>
      </c>
      <c r="K105" s="4">
        <v>1260</v>
      </c>
      <c r="L105" s="5">
        <v>0.45</v>
      </c>
      <c r="M105" t="s">
        <v>128</v>
      </c>
      <c r="N105" t="s">
        <v>362</v>
      </c>
    </row>
    <row r="106" spans="1:14">
      <c r="A106" t="s">
        <v>152</v>
      </c>
      <c r="B106">
        <v>1197831</v>
      </c>
      <c r="C106" s="2">
        <v>44318</v>
      </c>
      <c r="D106" t="s">
        <v>139</v>
      </c>
      <c r="E106" t="s">
        <v>173</v>
      </c>
      <c r="F106" t="s">
        <v>184</v>
      </c>
      <c r="G106" t="s">
        <v>147</v>
      </c>
      <c r="H106" s="3">
        <v>0.45</v>
      </c>
      <c r="I106">
        <v>6000</v>
      </c>
      <c r="J106" s="4">
        <v>2700</v>
      </c>
      <c r="K106" s="4">
        <v>810</v>
      </c>
      <c r="L106" s="5">
        <v>0.3</v>
      </c>
      <c r="M106" t="s">
        <v>128</v>
      </c>
      <c r="N106" t="s">
        <v>362</v>
      </c>
    </row>
    <row r="107" spans="1:14">
      <c r="A107" t="s">
        <v>152</v>
      </c>
      <c r="B107">
        <v>1197831</v>
      </c>
      <c r="C107" s="2">
        <v>44318</v>
      </c>
      <c r="D107" t="s">
        <v>139</v>
      </c>
      <c r="E107" t="s">
        <v>173</v>
      </c>
      <c r="F107" t="s">
        <v>184</v>
      </c>
      <c r="G107" t="s">
        <v>144</v>
      </c>
      <c r="H107" s="3">
        <v>0.4</v>
      </c>
      <c r="I107">
        <v>9500</v>
      </c>
      <c r="J107" s="4">
        <v>3800</v>
      </c>
      <c r="K107" s="4">
        <v>1900</v>
      </c>
      <c r="L107" s="5">
        <v>0.5</v>
      </c>
      <c r="M107" t="s">
        <v>128</v>
      </c>
      <c r="N107" t="s">
        <v>362</v>
      </c>
    </row>
    <row r="108" spans="1:14">
      <c r="A108" t="s">
        <v>152</v>
      </c>
      <c r="B108">
        <v>1197831</v>
      </c>
      <c r="C108" s="2">
        <v>44348</v>
      </c>
      <c r="D108" t="s">
        <v>139</v>
      </c>
      <c r="E108" t="s">
        <v>173</v>
      </c>
      <c r="F108" t="s">
        <v>184</v>
      </c>
      <c r="G108" t="s">
        <v>27</v>
      </c>
      <c r="H108" s="3">
        <v>0.4</v>
      </c>
      <c r="I108">
        <v>9500</v>
      </c>
      <c r="J108" s="4">
        <v>3800</v>
      </c>
      <c r="K108" s="4">
        <v>1330</v>
      </c>
      <c r="L108" s="5">
        <v>0.35</v>
      </c>
      <c r="M108" t="s">
        <v>129</v>
      </c>
      <c r="N108" t="s">
        <v>362</v>
      </c>
    </row>
    <row r="109" spans="1:14">
      <c r="A109" t="s">
        <v>152</v>
      </c>
      <c r="B109">
        <v>1197831</v>
      </c>
      <c r="C109" s="2">
        <v>44348</v>
      </c>
      <c r="D109" t="s">
        <v>139</v>
      </c>
      <c r="E109" t="s">
        <v>173</v>
      </c>
      <c r="F109" t="s">
        <v>184</v>
      </c>
      <c r="G109" t="s">
        <v>145</v>
      </c>
      <c r="H109" s="3">
        <v>0.45</v>
      </c>
      <c r="I109">
        <v>9500</v>
      </c>
      <c r="J109" s="4">
        <v>4275</v>
      </c>
      <c r="K109" s="4">
        <v>1496.25</v>
      </c>
      <c r="L109" s="5">
        <v>0.35</v>
      </c>
      <c r="M109" t="s">
        <v>129</v>
      </c>
      <c r="N109" t="s">
        <v>362</v>
      </c>
    </row>
    <row r="110" spans="1:14">
      <c r="A110" t="s">
        <v>152</v>
      </c>
      <c r="B110">
        <v>1197831</v>
      </c>
      <c r="C110" s="2">
        <v>44348</v>
      </c>
      <c r="D110" t="s">
        <v>139</v>
      </c>
      <c r="E110" t="s">
        <v>173</v>
      </c>
      <c r="F110" t="s">
        <v>184</v>
      </c>
      <c r="G110" t="s">
        <v>146</v>
      </c>
      <c r="H110" s="3">
        <v>0.4</v>
      </c>
      <c r="I110">
        <v>8000</v>
      </c>
      <c r="J110" s="4">
        <v>3200</v>
      </c>
      <c r="K110" s="4">
        <v>1120</v>
      </c>
      <c r="L110" s="5">
        <v>0.35</v>
      </c>
      <c r="M110" t="s">
        <v>129</v>
      </c>
      <c r="N110" t="s">
        <v>362</v>
      </c>
    </row>
    <row r="111" spans="1:14">
      <c r="A111" t="s">
        <v>152</v>
      </c>
      <c r="B111">
        <v>1197831</v>
      </c>
      <c r="C111" s="2">
        <v>44348</v>
      </c>
      <c r="D111" t="s">
        <v>139</v>
      </c>
      <c r="E111" t="s">
        <v>173</v>
      </c>
      <c r="F111" t="s">
        <v>184</v>
      </c>
      <c r="G111" t="s">
        <v>148</v>
      </c>
      <c r="H111" s="3">
        <v>0.4</v>
      </c>
      <c r="I111">
        <v>7500</v>
      </c>
      <c r="J111" s="4">
        <v>3000</v>
      </c>
      <c r="K111" s="4">
        <v>1350</v>
      </c>
      <c r="L111" s="5">
        <v>0.45</v>
      </c>
      <c r="M111" t="s">
        <v>129</v>
      </c>
      <c r="N111" t="s">
        <v>362</v>
      </c>
    </row>
    <row r="112" spans="1:14">
      <c r="A112" t="s">
        <v>152</v>
      </c>
      <c r="B112">
        <v>1197831</v>
      </c>
      <c r="C112" s="2">
        <v>44348</v>
      </c>
      <c r="D112" t="s">
        <v>139</v>
      </c>
      <c r="E112" t="s">
        <v>173</v>
      </c>
      <c r="F112" t="s">
        <v>184</v>
      </c>
      <c r="G112" t="s">
        <v>147</v>
      </c>
      <c r="H112" s="3">
        <v>0.45</v>
      </c>
      <c r="I112">
        <v>6500</v>
      </c>
      <c r="J112" s="4">
        <v>2925</v>
      </c>
      <c r="K112" s="4">
        <v>877.5</v>
      </c>
      <c r="L112" s="5">
        <v>0.3</v>
      </c>
      <c r="M112" t="s">
        <v>129</v>
      </c>
      <c r="N112" t="s">
        <v>362</v>
      </c>
    </row>
    <row r="113" spans="1:14">
      <c r="A113" t="s">
        <v>152</v>
      </c>
      <c r="B113">
        <v>1197831</v>
      </c>
      <c r="C113" s="2">
        <v>44348</v>
      </c>
      <c r="D113" t="s">
        <v>139</v>
      </c>
      <c r="E113" t="s">
        <v>173</v>
      </c>
      <c r="F113" t="s">
        <v>184</v>
      </c>
      <c r="G113" t="s">
        <v>144</v>
      </c>
      <c r="H113" s="3">
        <v>0.5</v>
      </c>
      <c r="I113">
        <v>10000</v>
      </c>
      <c r="J113" s="4">
        <v>5000</v>
      </c>
      <c r="K113" s="4">
        <v>2500</v>
      </c>
      <c r="L113" s="5">
        <v>0.5</v>
      </c>
      <c r="M113" t="s">
        <v>129</v>
      </c>
      <c r="N113" t="s">
        <v>362</v>
      </c>
    </row>
    <row r="114" spans="1:14">
      <c r="A114" t="s">
        <v>152</v>
      </c>
      <c r="B114">
        <v>1197831</v>
      </c>
      <c r="C114" s="2">
        <v>44380</v>
      </c>
      <c r="D114" t="s">
        <v>139</v>
      </c>
      <c r="E114" t="s">
        <v>173</v>
      </c>
      <c r="F114" t="s">
        <v>184</v>
      </c>
      <c r="G114" t="s">
        <v>27</v>
      </c>
      <c r="H114" s="3">
        <v>0.4</v>
      </c>
      <c r="I114">
        <v>9500</v>
      </c>
      <c r="J114" s="4">
        <v>3800</v>
      </c>
      <c r="K114" s="4">
        <v>1330</v>
      </c>
      <c r="L114" s="5">
        <v>0.35</v>
      </c>
      <c r="M114" t="s">
        <v>130</v>
      </c>
      <c r="N114" t="s">
        <v>363</v>
      </c>
    </row>
    <row r="115" spans="1:14">
      <c r="A115" t="s">
        <v>152</v>
      </c>
      <c r="B115">
        <v>1197831</v>
      </c>
      <c r="C115" s="2">
        <v>44380</v>
      </c>
      <c r="D115" t="s">
        <v>139</v>
      </c>
      <c r="E115" t="s">
        <v>173</v>
      </c>
      <c r="F115" t="s">
        <v>184</v>
      </c>
      <c r="G115" t="s">
        <v>145</v>
      </c>
      <c r="H115" s="3">
        <v>0.45</v>
      </c>
      <c r="I115">
        <v>9500</v>
      </c>
      <c r="J115" s="4">
        <v>4275</v>
      </c>
      <c r="K115" s="4">
        <v>1496.25</v>
      </c>
      <c r="L115" s="5">
        <v>0.35</v>
      </c>
      <c r="M115" t="s">
        <v>130</v>
      </c>
      <c r="N115" t="s">
        <v>363</v>
      </c>
    </row>
    <row r="116" spans="1:14">
      <c r="A116" t="s">
        <v>152</v>
      </c>
      <c r="B116">
        <v>1197831</v>
      </c>
      <c r="C116" s="2">
        <v>44380</v>
      </c>
      <c r="D116" t="s">
        <v>139</v>
      </c>
      <c r="E116" t="s">
        <v>173</v>
      </c>
      <c r="F116" t="s">
        <v>184</v>
      </c>
      <c r="G116" t="s">
        <v>146</v>
      </c>
      <c r="H116" s="3">
        <v>0.4</v>
      </c>
      <c r="I116">
        <v>11000</v>
      </c>
      <c r="J116" s="4">
        <v>4400</v>
      </c>
      <c r="K116" s="4">
        <v>1540</v>
      </c>
      <c r="L116" s="5">
        <v>0.35</v>
      </c>
      <c r="M116" t="s">
        <v>130</v>
      </c>
      <c r="N116" t="s">
        <v>363</v>
      </c>
    </row>
    <row r="117" spans="1:14">
      <c r="A117" t="s">
        <v>152</v>
      </c>
      <c r="B117">
        <v>1197831</v>
      </c>
      <c r="C117" s="2">
        <v>44380</v>
      </c>
      <c r="D117" t="s">
        <v>139</v>
      </c>
      <c r="E117" t="s">
        <v>173</v>
      </c>
      <c r="F117" t="s">
        <v>184</v>
      </c>
      <c r="G117" t="s">
        <v>148</v>
      </c>
      <c r="H117" s="3">
        <v>0.4</v>
      </c>
      <c r="I117">
        <v>7000</v>
      </c>
      <c r="J117" s="4">
        <v>2800</v>
      </c>
      <c r="K117" s="4">
        <v>1260</v>
      </c>
      <c r="L117" s="5">
        <v>0.45</v>
      </c>
      <c r="M117" t="s">
        <v>130</v>
      </c>
      <c r="N117" t="s">
        <v>363</v>
      </c>
    </row>
    <row r="118" spans="1:14">
      <c r="A118" t="s">
        <v>152</v>
      </c>
      <c r="B118">
        <v>1197831</v>
      </c>
      <c r="C118" s="2">
        <v>44380</v>
      </c>
      <c r="D118" t="s">
        <v>139</v>
      </c>
      <c r="E118" t="s">
        <v>173</v>
      </c>
      <c r="F118" t="s">
        <v>184</v>
      </c>
      <c r="G118" t="s">
        <v>147</v>
      </c>
      <c r="H118" s="3">
        <v>0.45</v>
      </c>
      <c r="I118">
        <v>7000</v>
      </c>
      <c r="J118" s="4">
        <v>3150</v>
      </c>
      <c r="K118" s="4">
        <v>945</v>
      </c>
      <c r="L118" s="5">
        <v>0.3</v>
      </c>
      <c r="M118" t="s">
        <v>130</v>
      </c>
      <c r="N118" t="s">
        <v>363</v>
      </c>
    </row>
    <row r="119" spans="1:14">
      <c r="A119" t="s">
        <v>152</v>
      </c>
      <c r="B119">
        <v>1197831</v>
      </c>
      <c r="C119" s="2">
        <v>44380</v>
      </c>
      <c r="D119" t="s">
        <v>139</v>
      </c>
      <c r="E119" t="s">
        <v>173</v>
      </c>
      <c r="F119" t="s">
        <v>184</v>
      </c>
      <c r="G119" t="s">
        <v>144</v>
      </c>
      <c r="H119" s="3">
        <v>0.5</v>
      </c>
      <c r="I119">
        <v>9750</v>
      </c>
      <c r="J119" s="4">
        <v>4875</v>
      </c>
      <c r="K119" s="4">
        <v>2437.5</v>
      </c>
      <c r="L119" s="5">
        <v>0.5</v>
      </c>
      <c r="M119" t="s">
        <v>130</v>
      </c>
      <c r="N119" t="s">
        <v>363</v>
      </c>
    </row>
    <row r="120" spans="1:14">
      <c r="A120" t="s">
        <v>152</v>
      </c>
      <c r="B120">
        <v>1197831</v>
      </c>
      <c r="C120" s="2">
        <v>44413</v>
      </c>
      <c r="D120" t="s">
        <v>139</v>
      </c>
      <c r="E120" t="s">
        <v>173</v>
      </c>
      <c r="F120" t="s">
        <v>184</v>
      </c>
      <c r="G120" t="s">
        <v>27</v>
      </c>
      <c r="H120" s="3">
        <v>0.4</v>
      </c>
      <c r="I120">
        <v>9250</v>
      </c>
      <c r="J120" s="4">
        <v>3700</v>
      </c>
      <c r="K120" s="4">
        <v>1295</v>
      </c>
      <c r="L120" s="5">
        <v>0.35</v>
      </c>
      <c r="M120" t="s">
        <v>131</v>
      </c>
      <c r="N120" t="s">
        <v>363</v>
      </c>
    </row>
    <row r="121" spans="1:14">
      <c r="A121" t="s">
        <v>152</v>
      </c>
      <c r="B121">
        <v>1197831</v>
      </c>
      <c r="C121" s="2">
        <v>44413</v>
      </c>
      <c r="D121" t="s">
        <v>139</v>
      </c>
      <c r="E121" t="s">
        <v>173</v>
      </c>
      <c r="F121" t="s">
        <v>184</v>
      </c>
      <c r="G121" t="s">
        <v>145</v>
      </c>
      <c r="H121" s="3">
        <v>0.45</v>
      </c>
      <c r="I121">
        <v>9250</v>
      </c>
      <c r="J121" s="4">
        <v>4162.5</v>
      </c>
      <c r="K121" s="4">
        <v>1456.875</v>
      </c>
      <c r="L121" s="5">
        <v>0.35</v>
      </c>
      <c r="M121" t="s">
        <v>131</v>
      </c>
      <c r="N121" t="s">
        <v>363</v>
      </c>
    </row>
    <row r="122" spans="1:14">
      <c r="A122" t="s">
        <v>152</v>
      </c>
      <c r="B122">
        <v>1197831</v>
      </c>
      <c r="C122" s="2">
        <v>44413</v>
      </c>
      <c r="D122" t="s">
        <v>139</v>
      </c>
      <c r="E122" t="s">
        <v>173</v>
      </c>
      <c r="F122" t="s">
        <v>184</v>
      </c>
      <c r="G122" t="s">
        <v>146</v>
      </c>
      <c r="H122" s="3">
        <v>0.4</v>
      </c>
      <c r="I122">
        <v>11000</v>
      </c>
      <c r="J122" s="4">
        <v>4400</v>
      </c>
      <c r="K122" s="4">
        <v>1540</v>
      </c>
      <c r="L122" s="5">
        <v>0.35</v>
      </c>
      <c r="M122" t="s">
        <v>131</v>
      </c>
      <c r="N122" t="s">
        <v>363</v>
      </c>
    </row>
    <row r="123" spans="1:14">
      <c r="A123" t="s">
        <v>152</v>
      </c>
      <c r="B123">
        <v>1197831</v>
      </c>
      <c r="C123" s="2">
        <v>44413</v>
      </c>
      <c r="D123" t="s">
        <v>139</v>
      </c>
      <c r="E123" t="s">
        <v>173</v>
      </c>
      <c r="F123" t="s">
        <v>184</v>
      </c>
      <c r="G123" t="s">
        <v>148</v>
      </c>
      <c r="H123" s="3">
        <v>0.4</v>
      </c>
      <c r="I123">
        <v>6500</v>
      </c>
      <c r="J123" s="4">
        <v>2600</v>
      </c>
      <c r="K123" s="4">
        <v>1170</v>
      </c>
      <c r="L123" s="5">
        <v>0.45</v>
      </c>
      <c r="M123" t="s">
        <v>131</v>
      </c>
      <c r="N123" t="s">
        <v>363</v>
      </c>
    </row>
    <row r="124" spans="1:14">
      <c r="A124" t="s">
        <v>152</v>
      </c>
      <c r="B124">
        <v>1197831</v>
      </c>
      <c r="C124" s="2">
        <v>44413</v>
      </c>
      <c r="D124" t="s">
        <v>139</v>
      </c>
      <c r="E124" t="s">
        <v>173</v>
      </c>
      <c r="F124" t="s">
        <v>184</v>
      </c>
      <c r="G124" t="s">
        <v>147</v>
      </c>
      <c r="H124" s="3">
        <v>0.45</v>
      </c>
      <c r="I124">
        <v>6500</v>
      </c>
      <c r="J124" s="4">
        <v>2925</v>
      </c>
      <c r="K124" s="4">
        <v>877.5</v>
      </c>
      <c r="L124" s="5">
        <v>0.3</v>
      </c>
      <c r="M124" t="s">
        <v>131</v>
      </c>
      <c r="N124" t="s">
        <v>363</v>
      </c>
    </row>
    <row r="125" spans="1:14">
      <c r="A125" t="s">
        <v>152</v>
      </c>
      <c r="B125">
        <v>1197831</v>
      </c>
      <c r="C125" s="2">
        <v>44413</v>
      </c>
      <c r="D125" t="s">
        <v>139</v>
      </c>
      <c r="E125" t="s">
        <v>173</v>
      </c>
      <c r="F125" t="s">
        <v>184</v>
      </c>
      <c r="G125" t="s">
        <v>144</v>
      </c>
      <c r="H125" s="3">
        <v>0.5</v>
      </c>
      <c r="I125">
        <v>9000</v>
      </c>
      <c r="J125" s="4">
        <v>4500</v>
      </c>
      <c r="K125" s="4">
        <v>2250</v>
      </c>
      <c r="L125" s="5">
        <v>0.5</v>
      </c>
      <c r="M125" t="s">
        <v>131</v>
      </c>
      <c r="N125" t="s">
        <v>363</v>
      </c>
    </row>
    <row r="126" spans="1:14">
      <c r="A126" t="s">
        <v>152</v>
      </c>
      <c r="B126">
        <v>1197831</v>
      </c>
      <c r="C126" s="2">
        <v>44441</v>
      </c>
      <c r="D126" t="s">
        <v>139</v>
      </c>
      <c r="E126" t="s">
        <v>173</v>
      </c>
      <c r="F126" t="s">
        <v>184</v>
      </c>
      <c r="G126" t="s">
        <v>27</v>
      </c>
      <c r="H126" s="3">
        <v>0.45</v>
      </c>
      <c r="I126">
        <v>8500</v>
      </c>
      <c r="J126" s="4">
        <v>3825</v>
      </c>
      <c r="K126" s="4">
        <v>1338.75</v>
      </c>
      <c r="L126" s="5">
        <v>0.35</v>
      </c>
      <c r="M126" t="s">
        <v>132</v>
      </c>
      <c r="N126" t="s">
        <v>363</v>
      </c>
    </row>
    <row r="127" spans="1:14">
      <c r="A127" t="s">
        <v>152</v>
      </c>
      <c r="B127">
        <v>1197831</v>
      </c>
      <c r="C127" s="2">
        <v>44441</v>
      </c>
      <c r="D127" t="s">
        <v>139</v>
      </c>
      <c r="E127" t="s">
        <v>173</v>
      </c>
      <c r="F127" t="s">
        <v>184</v>
      </c>
      <c r="G127" t="s">
        <v>145</v>
      </c>
      <c r="H127" s="3">
        <v>0.45</v>
      </c>
      <c r="I127">
        <v>8500</v>
      </c>
      <c r="J127" s="4">
        <v>3825</v>
      </c>
      <c r="K127" s="4">
        <v>1338.75</v>
      </c>
      <c r="L127" s="5">
        <v>0.35</v>
      </c>
      <c r="M127" t="s">
        <v>132</v>
      </c>
      <c r="N127" t="s">
        <v>363</v>
      </c>
    </row>
    <row r="128" spans="1:14">
      <c r="A128" t="s">
        <v>152</v>
      </c>
      <c r="B128">
        <v>1197831</v>
      </c>
      <c r="C128" s="2">
        <v>44441</v>
      </c>
      <c r="D128" t="s">
        <v>139</v>
      </c>
      <c r="E128" t="s">
        <v>173</v>
      </c>
      <c r="F128" t="s">
        <v>184</v>
      </c>
      <c r="G128" t="s">
        <v>146</v>
      </c>
      <c r="H128" s="3">
        <v>0.5</v>
      </c>
      <c r="I128">
        <v>9000</v>
      </c>
      <c r="J128" s="4">
        <v>4500</v>
      </c>
      <c r="K128" s="4">
        <v>1575</v>
      </c>
      <c r="L128" s="5">
        <v>0.35</v>
      </c>
      <c r="M128" t="s">
        <v>132</v>
      </c>
      <c r="N128" t="s">
        <v>363</v>
      </c>
    </row>
    <row r="129" spans="1:14">
      <c r="A129" t="s">
        <v>152</v>
      </c>
      <c r="B129">
        <v>1197831</v>
      </c>
      <c r="C129" s="2">
        <v>44441</v>
      </c>
      <c r="D129" t="s">
        <v>139</v>
      </c>
      <c r="E129" t="s">
        <v>173</v>
      </c>
      <c r="F129" t="s">
        <v>184</v>
      </c>
      <c r="G129" t="s">
        <v>148</v>
      </c>
      <c r="H129" s="3">
        <v>0.5</v>
      </c>
      <c r="I129">
        <v>6250</v>
      </c>
      <c r="J129" s="4">
        <v>3125</v>
      </c>
      <c r="K129" s="4">
        <v>1406.25</v>
      </c>
      <c r="L129" s="5">
        <v>0.45</v>
      </c>
      <c r="M129" t="s">
        <v>132</v>
      </c>
      <c r="N129" t="s">
        <v>363</v>
      </c>
    </row>
    <row r="130" spans="1:14">
      <c r="A130" t="s">
        <v>152</v>
      </c>
      <c r="B130">
        <v>1197831</v>
      </c>
      <c r="C130" s="2">
        <v>44441</v>
      </c>
      <c r="D130" t="s">
        <v>139</v>
      </c>
      <c r="E130" t="s">
        <v>173</v>
      </c>
      <c r="F130" t="s">
        <v>184</v>
      </c>
      <c r="G130" t="s">
        <v>147</v>
      </c>
      <c r="H130" s="3">
        <v>0.45</v>
      </c>
      <c r="I130">
        <v>6250</v>
      </c>
      <c r="J130" s="4">
        <v>2812.5</v>
      </c>
      <c r="K130" s="4">
        <v>843.75</v>
      </c>
      <c r="L130" s="5">
        <v>0.3</v>
      </c>
      <c r="M130" t="s">
        <v>132</v>
      </c>
      <c r="N130" t="s">
        <v>363</v>
      </c>
    </row>
    <row r="131" spans="1:14">
      <c r="A131" t="s">
        <v>152</v>
      </c>
      <c r="B131">
        <v>1197831</v>
      </c>
      <c r="C131" s="2">
        <v>44441</v>
      </c>
      <c r="D131" t="s">
        <v>139</v>
      </c>
      <c r="E131" t="s">
        <v>173</v>
      </c>
      <c r="F131" t="s">
        <v>184</v>
      </c>
      <c r="G131" t="s">
        <v>144</v>
      </c>
      <c r="H131" s="3">
        <v>0.55000000000000004</v>
      </c>
      <c r="I131">
        <v>8500</v>
      </c>
      <c r="J131" s="4">
        <v>4675</v>
      </c>
      <c r="K131" s="4">
        <v>2337.5</v>
      </c>
      <c r="L131" s="5">
        <v>0.5</v>
      </c>
      <c r="M131" t="s">
        <v>132</v>
      </c>
      <c r="N131" t="s">
        <v>363</v>
      </c>
    </row>
    <row r="132" spans="1:14">
      <c r="A132" t="s">
        <v>152</v>
      </c>
      <c r="B132">
        <v>1197831</v>
      </c>
      <c r="C132" s="2">
        <v>44470</v>
      </c>
      <c r="D132" t="s">
        <v>139</v>
      </c>
      <c r="E132" t="s">
        <v>173</v>
      </c>
      <c r="F132" t="s">
        <v>184</v>
      </c>
      <c r="G132" t="s">
        <v>27</v>
      </c>
      <c r="H132" s="3">
        <v>0.45</v>
      </c>
      <c r="I132">
        <v>8000</v>
      </c>
      <c r="J132" s="4">
        <v>3600</v>
      </c>
      <c r="K132" s="4">
        <v>1260</v>
      </c>
      <c r="L132" s="5">
        <v>0.35</v>
      </c>
      <c r="M132" t="s">
        <v>133</v>
      </c>
      <c r="N132" t="s">
        <v>364</v>
      </c>
    </row>
    <row r="133" spans="1:14">
      <c r="A133" t="s">
        <v>152</v>
      </c>
      <c r="B133">
        <v>1197831</v>
      </c>
      <c r="C133" s="2">
        <v>44470</v>
      </c>
      <c r="D133" t="s">
        <v>139</v>
      </c>
      <c r="E133" t="s">
        <v>173</v>
      </c>
      <c r="F133" t="s">
        <v>184</v>
      </c>
      <c r="G133" t="s">
        <v>145</v>
      </c>
      <c r="H133" s="3">
        <v>0.45</v>
      </c>
      <c r="I133">
        <v>8000</v>
      </c>
      <c r="J133" s="4">
        <v>3600</v>
      </c>
      <c r="K133" s="4">
        <v>1260</v>
      </c>
      <c r="L133" s="5">
        <v>0.35</v>
      </c>
      <c r="M133" t="s">
        <v>133</v>
      </c>
      <c r="N133" t="s">
        <v>364</v>
      </c>
    </row>
    <row r="134" spans="1:14">
      <c r="A134" t="s">
        <v>152</v>
      </c>
      <c r="B134">
        <v>1197831</v>
      </c>
      <c r="C134" s="2">
        <v>44470</v>
      </c>
      <c r="D134" t="s">
        <v>139</v>
      </c>
      <c r="E134" t="s">
        <v>173</v>
      </c>
      <c r="F134" t="s">
        <v>184</v>
      </c>
      <c r="G134" t="s">
        <v>146</v>
      </c>
      <c r="H134" s="3">
        <v>0.5</v>
      </c>
      <c r="I134">
        <v>7500</v>
      </c>
      <c r="J134" s="4">
        <v>3750</v>
      </c>
      <c r="K134" s="4">
        <v>1312.5</v>
      </c>
      <c r="L134" s="5">
        <v>0.35</v>
      </c>
      <c r="M134" t="s">
        <v>133</v>
      </c>
      <c r="N134" t="s">
        <v>364</v>
      </c>
    </row>
    <row r="135" spans="1:14">
      <c r="A135" t="s">
        <v>152</v>
      </c>
      <c r="B135">
        <v>1197831</v>
      </c>
      <c r="C135" s="2">
        <v>44470</v>
      </c>
      <c r="D135" t="s">
        <v>139</v>
      </c>
      <c r="E135" t="s">
        <v>173</v>
      </c>
      <c r="F135" t="s">
        <v>184</v>
      </c>
      <c r="G135" t="s">
        <v>148</v>
      </c>
      <c r="H135" s="3">
        <v>0.5</v>
      </c>
      <c r="I135">
        <v>6000</v>
      </c>
      <c r="J135" s="4">
        <v>3000</v>
      </c>
      <c r="K135" s="4">
        <v>1350</v>
      </c>
      <c r="L135" s="5">
        <v>0.45</v>
      </c>
      <c r="M135" t="s">
        <v>133</v>
      </c>
      <c r="N135" t="s">
        <v>364</v>
      </c>
    </row>
    <row r="136" spans="1:14">
      <c r="A136" t="s">
        <v>152</v>
      </c>
      <c r="B136">
        <v>1197831</v>
      </c>
      <c r="C136" s="2">
        <v>44470</v>
      </c>
      <c r="D136" t="s">
        <v>139</v>
      </c>
      <c r="E136" t="s">
        <v>173</v>
      </c>
      <c r="F136" t="s">
        <v>184</v>
      </c>
      <c r="G136" t="s">
        <v>147</v>
      </c>
      <c r="H136" s="3">
        <v>0.45</v>
      </c>
      <c r="I136">
        <v>5750</v>
      </c>
      <c r="J136" s="4">
        <v>2587.5</v>
      </c>
      <c r="K136" s="4">
        <v>776.25</v>
      </c>
      <c r="L136" s="5">
        <v>0.3</v>
      </c>
      <c r="M136" t="s">
        <v>133</v>
      </c>
      <c r="N136" t="s">
        <v>364</v>
      </c>
    </row>
    <row r="137" spans="1:14">
      <c r="A137" t="s">
        <v>152</v>
      </c>
      <c r="B137">
        <v>1197831</v>
      </c>
      <c r="C137" s="2">
        <v>44470</v>
      </c>
      <c r="D137" t="s">
        <v>139</v>
      </c>
      <c r="E137" t="s">
        <v>173</v>
      </c>
      <c r="F137" t="s">
        <v>184</v>
      </c>
      <c r="G137" t="s">
        <v>144</v>
      </c>
      <c r="H137" s="3">
        <v>0.55000000000000004</v>
      </c>
      <c r="I137">
        <v>7500</v>
      </c>
      <c r="J137" s="4">
        <v>4125</v>
      </c>
      <c r="K137" s="4">
        <v>2062.5</v>
      </c>
      <c r="L137" s="5">
        <v>0.5</v>
      </c>
      <c r="M137" t="s">
        <v>133</v>
      </c>
      <c r="N137" t="s">
        <v>364</v>
      </c>
    </row>
    <row r="138" spans="1:14">
      <c r="A138" t="s">
        <v>152</v>
      </c>
      <c r="B138">
        <v>1197831</v>
      </c>
      <c r="C138" s="2">
        <v>44502</v>
      </c>
      <c r="D138" t="s">
        <v>139</v>
      </c>
      <c r="E138" t="s">
        <v>173</v>
      </c>
      <c r="F138" t="s">
        <v>184</v>
      </c>
      <c r="G138" t="s">
        <v>27</v>
      </c>
      <c r="H138" s="3">
        <v>0.45</v>
      </c>
      <c r="I138">
        <v>9000</v>
      </c>
      <c r="J138" s="4">
        <v>4050</v>
      </c>
      <c r="K138" s="4">
        <v>1417.5</v>
      </c>
      <c r="L138" s="5">
        <v>0.35</v>
      </c>
      <c r="M138" t="s">
        <v>134</v>
      </c>
      <c r="N138" t="s">
        <v>364</v>
      </c>
    </row>
    <row r="139" spans="1:14">
      <c r="A139" t="s">
        <v>152</v>
      </c>
      <c r="B139">
        <v>1197831</v>
      </c>
      <c r="C139" s="2">
        <v>44502</v>
      </c>
      <c r="D139" t="s">
        <v>139</v>
      </c>
      <c r="E139" t="s">
        <v>173</v>
      </c>
      <c r="F139" t="s">
        <v>184</v>
      </c>
      <c r="G139" t="s">
        <v>145</v>
      </c>
      <c r="H139" s="3">
        <v>0.45</v>
      </c>
      <c r="I139">
        <v>9000</v>
      </c>
      <c r="J139" s="4">
        <v>4050</v>
      </c>
      <c r="K139" s="4">
        <v>1417.5</v>
      </c>
      <c r="L139" s="5">
        <v>0.35</v>
      </c>
      <c r="M139" t="s">
        <v>134</v>
      </c>
      <c r="N139" t="s">
        <v>364</v>
      </c>
    </row>
    <row r="140" spans="1:14">
      <c r="A140" t="s">
        <v>152</v>
      </c>
      <c r="B140">
        <v>1197831</v>
      </c>
      <c r="C140" s="2">
        <v>44502</v>
      </c>
      <c r="D140" t="s">
        <v>139</v>
      </c>
      <c r="E140" t="s">
        <v>173</v>
      </c>
      <c r="F140" t="s">
        <v>184</v>
      </c>
      <c r="G140" t="s">
        <v>146</v>
      </c>
      <c r="H140" s="3">
        <v>0.5</v>
      </c>
      <c r="I140">
        <v>8250</v>
      </c>
      <c r="J140" s="4">
        <v>4125</v>
      </c>
      <c r="K140" s="4">
        <v>1443.75</v>
      </c>
      <c r="L140" s="5">
        <v>0.35</v>
      </c>
      <c r="M140" t="s">
        <v>134</v>
      </c>
      <c r="N140" t="s">
        <v>364</v>
      </c>
    </row>
    <row r="141" spans="1:14">
      <c r="A141" t="s">
        <v>152</v>
      </c>
      <c r="B141">
        <v>1197831</v>
      </c>
      <c r="C141" s="2">
        <v>44502</v>
      </c>
      <c r="D141" t="s">
        <v>139</v>
      </c>
      <c r="E141" t="s">
        <v>173</v>
      </c>
      <c r="F141" t="s">
        <v>184</v>
      </c>
      <c r="G141" t="s">
        <v>148</v>
      </c>
      <c r="H141" s="3">
        <v>0.5</v>
      </c>
      <c r="I141">
        <v>6750</v>
      </c>
      <c r="J141" s="4">
        <v>3375</v>
      </c>
      <c r="K141" s="4">
        <v>1518.75</v>
      </c>
      <c r="L141" s="5">
        <v>0.45</v>
      </c>
      <c r="M141" t="s">
        <v>134</v>
      </c>
      <c r="N141" t="s">
        <v>364</v>
      </c>
    </row>
    <row r="142" spans="1:14">
      <c r="A142" t="s">
        <v>152</v>
      </c>
      <c r="B142">
        <v>1197831</v>
      </c>
      <c r="C142" s="2">
        <v>44502</v>
      </c>
      <c r="D142" t="s">
        <v>139</v>
      </c>
      <c r="E142" t="s">
        <v>173</v>
      </c>
      <c r="F142" t="s">
        <v>184</v>
      </c>
      <c r="G142" t="s">
        <v>147</v>
      </c>
      <c r="H142" s="3">
        <v>0.45</v>
      </c>
      <c r="I142">
        <v>6500</v>
      </c>
      <c r="J142" s="4">
        <v>2925</v>
      </c>
      <c r="K142" s="4">
        <v>877.5</v>
      </c>
      <c r="L142" s="5">
        <v>0.3</v>
      </c>
      <c r="M142" t="s">
        <v>134</v>
      </c>
      <c r="N142" t="s">
        <v>364</v>
      </c>
    </row>
    <row r="143" spans="1:14">
      <c r="A143" t="s">
        <v>152</v>
      </c>
      <c r="B143">
        <v>1197831</v>
      </c>
      <c r="C143" s="2">
        <v>44502</v>
      </c>
      <c r="D143" t="s">
        <v>139</v>
      </c>
      <c r="E143" t="s">
        <v>173</v>
      </c>
      <c r="F143" t="s">
        <v>184</v>
      </c>
      <c r="G143" t="s">
        <v>144</v>
      </c>
      <c r="H143" s="3">
        <v>0.55000000000000004</v>
      </c>
      <c r="I143">
        <v>8500</v>
      </c>
      <c r="J143" s="4">
        <v>4675</v>
      </c>
      <c r="K143" s="4">
        <v>2337.5</v>
      </c>
      <c r="L143" s="5">
        <v>0.5</v>
      </c>
      <c r="M143" t="s">
        <v>134</v>
      </c>
      <c r="N143" t="s">
        <v>364</v>
      </c>
    </row>
    <row r="144" spans="1:14">
      <c r="A144" t="s">
        <v>152</v>
      </c>
      <c r="B144">
        <v>1197831</v>
      </c>
      <c r="C144" s="2">
        <v>44531</v>
      </c>
      <c r="D144" t="s">
        <v>139</v>
      </c>
      <c r="E144" t="s">
        <v>173</v>
      </c>
      <c r="F144" t="s">
        <v>184</v>
      </c>
      <c r="G144" t="s">
        <v>27</v>
      </c>
      <c r="H144" s="3">
        <v>0.45</v>
      </c>
      <c r="I144">
        <v>9500</v>
      </c>
      <c r="J144" s="4">
        <v>4275</v>
      </c>
      <c r="K144" s="4">
        <v>1496.25</v>
      </c>
      <c r="L144" s="5">
        <v>0.35</v>
      </c>
      <c r="M144" t="s">
        <v>23</v>
      </c>
      <c r="N144" t="s">
        <v>364</v>
      </c>
    </row>
    <row r="145" spans="1:14">
      <c r="A145" t="s">
        <v>152</v>
      </c>
      <c r="B145">
        <v>1197831</v>
      </c>
      <c r="C145" s="2">
        <v>44531</v>
      </c>
      <c r="D145" t="s">
        <v>139</v>
      </c>
      <c r="E145" t="s">
        <v>173</v>
      </c>
      <c r="F145" t="s">
        <v>184</v>
      </c>
      <c r="G145" t="s">
        <v>145</v>
      </c>
      <c r="H145" s="3">
        <v>0.45</v>
      </c>
      <c r="I145">
        <v>9500</v>
      </c>
      <c r="J145" s="4">
        <v>4275</v>
      </c>
      <c r="K145" s="4">
        <v>1496.25</v>
      </c>
      <c r="L145" s="5">
        <v>0.35</v>
      </c>
      <c r="M145" t="s">
        <v>23</v>
      </c>
      <c r="N145" t="s">
        <v>364</v>
      </c>
    </row>
    <row r="146" spans="1:14">
      <c r="A146" t="s">
        <v>152</v>
      </c>
      <c r="B146">
        <v>1197831</v>
      </c>
      <c r="C146" s="2">
        <v>44531</v>
      </c>
      <c r="D146" t="s">
        <v>139</v>
      </c>
      <c r="E146" t="s">
        <v>173</v>
      </c>
      <c r="F146" t="s">
        <v>184</v>
      </c>
      <c r="G146" t="s">
        <v>146</v>
      </c>
      <c r="H146" s="3">
        <v>0.5</v>
      </c>
      <c r="I146">
        <v>8500</v>
      </c>
      <c r="J146" s="4">
        <v>4250</v>
      </c>
      <c r="K146" s="4">
        <v>1487.5</v>
      </c>
      <c r="L146" s="5">
        <v>0.35</v>
      </c>
      <c r="M146" t="s">
        <v>23</v>
      </c>
      <c r="N146" t="s">
        <v>364</v>
      </c>
    </row>
    <row r="147" spans="1:14">
      <c r="A147" t="s">
        <v>152</v>
      </c>
      <c r="B147">
        <v>1197831</v>
      </c>
      <c r="C147" s="2">
        <v>44531</v>
      </c>
      <c r="D147" t="s">
        <v>139</v>
      </c>
      <c r="E147" t="s">
        <v>173</v>
      </c>
      <c r="F147" t="s">
        <v>184</v>
      </c>
      <c r="G147" t="s">
        <v>148</v>
      </c>
      <c r="H147" s="3">
        <v>0.5</v>
      </c>
      <c r="I147">
        <v>7000</v>
      </c>
      <c r="J147" s="4">
        <v>3500</v>
      </c>
      <c r="K147" s="4">
        <v>1575</v>
      </c>
      <c r="L147" s="5">
        <v>0.45</v>
      </c>
      <c r="M147" t="s">
        <v>23</v>
      </c>
      <c r="N147" t="s">
        <v>364</v>
      </c>
    </row>
    <row r="148" spans="1:14">
      <c r="A148" t="s">
        <v>152</v>
      </c>
      <c r="B148">
        <v>1197831</v>
      </c>
      <c r="C148" s="2">
        <v>44531</v>
      </c>
      <c r="D148" t="s">
        <v>139</v>
      </c>
      <c r="E148" t="s">
        <v>173</v>
      </c>
      <c r="F148" t="s">
        <v>184</v>
      </c>
      <c r="G148" t="s">
        <v>147</v>
      </c>
      <c r="H148" s="3">
        <v>0.45</v>
      </c>
      <c r="I148">
        <v>6500</v>
      </c>
      <c r="J148" s="4">
        <v>2925</v>
      </c>
      <c r="K148" s="4">
        <v>877.5</v>
      </c>
      <c r="L148" s="5">
        <v>0.3</v>
      </c>
      <c r="M148" t="s">
        <v>23</v>
      </c>
      <c r="N148" t="s">
        <v>364</v>
      </c>
    </row>
    <row r="149" spans="1:14">
      <c r="A149" t="s">
        <v>152</v>
      </c>
      <c r="B149">
        <v>1197831</v>
      </c>
      <c r="C149" s="2">
        <v>44531</v>
      </c>
      <c r="D149" t="s">
        <v>139</v>
      </c>
      <c r="E149" t="s">
        <v>173</v>
      </c>
      <c r="F149" t="s">
        <v>184</v>
      </c>
      <c r="G149" t="s">
        <v>144</v>
      </c>
      <c r="H149" s="3">
        <v>0.55000000000000004</v>
      </c>
      <c r="I149">
        <v>9000</v>
      </c>
      <c r="J149" s="4">
        <v>4950</v>
      </c>
      <c r="K149" s="4">
        <v>2475</v>
      </c>
      <c r="L149" s="5">
        <v>0.5</v>
      </c>
      <c r="M149" t="s">
        <v>23</v>
      </c>
      <c r="N149" t="s">
        <v>364</v>
      </c>
    </row>
    <row r="150" spans="1:14">
      <c r="A150" t="s">
        <v>151</v>
      </c>
      <c r="B150">
        <v>1128299</v>
      </c>
      <c r="C150" s="2">
        <v>44216</v>
      </c>
      <c r="D150" t="s">
        <v>28</v>
      </c>
      <c r="E150" t="s">
        <v>169</v>
      </c>
      <c r="F150" t="s">
        <v>170</v>
      </c>
      <c r="G150" t="s">
        <v>27</v>
      </c>
      <c r="H150" s="3">
        <v>0.39999999999999997</v>
      </c>
      <c r="I150">
        <v>7750</v>
      </c>
      <c r="J150" s="4">
        <v>3099.9999999999995</v>
      </c>
      <c r="K150" s="4">
        <v>1085</v>
      </c>
      <c r="L150" s="5">
        <v>0.35000000000000003</v>
      </c>
      <c r="M150" t="s">
        <v>125</v>
      </c>
      <c r="N150" t="s">
        <v>361</v>
      </c>
    </row>
    <row r="151" spans="1:14">
      <c r="A151" t="s">
        <v>151</v>
      </c>
      <c r="B151">
        <v>1128299</v>
      </c>
      <c r="C151" s="2">
        <v>44216</v>
      </c>
      <c r="D151" t="s">
        <v>28</v>
      </c>
      <c r="E151" t="s">
        <v>169</v>
      </c>
      <c r="F151" t="s">
        <v>170</v>
      </c>
      <c r="G151" t="s">
        <v>145</v>
      </c>
      <c r="H151" s="3">
        <v>0.5</v>
      </c>
      <c r="I151">
        <v>7750</v>
      </c>
      <c r="J151" s="4">
        <v>3875</v>
      </c>
      <c r="K151" s="4">
        <v>775</v>
      </c>
      <c r="L151" s="5">
        <v>0.2</v>
      </c>
      <c r="M151" t="s">
        <v>125</v>
      </c>
      <c r="N151" t="s">
        <v>361</v>
      </c>
    </row>
    <row r="152" spans="1:14">
      <c r="A152" t="s">
        <v>151</v>
      </c>
      <c r="B152">
        <v>1128299</v>
      </c>
      <c r="C152" s="2">
        <v>44216</v>
      </c>
      <c r="D152" t="s">
        <v>28</v>
      </c>
      <c r="E152" t="s">
        <v>169</v>
      </c>
      <c r="F152" t="s">
        <v>170</v>
      </c>
      <c r="G152" t="s">
        <v>146</v>
      </c>
      <c r="H152" s="3">
        <v>0.5</v>
      </c>
      <c r="I152">
        <v>7750</v>
      </c>
      <c r="J152" s="4">
        <v>3875</v>
      </c>
      <c r="K152" s="4">
        <v>1356.2500000000002</v>
      </c>
      <c r="L152" s="5">
        <v>0.35000000000000003</v>
      </c>
      <c r="M152" t="s">
        <v>125</v>
      </c>
      <c r="N152" t="s">
        <v>361</v>
      </c>
    </row>
    <row r="153" spans="1:14">
      <c r="A153" t="s">
        <v>151</v>
      </c>
      <c r="B153">
        <v>1128299</v>
      </c>
      <c r="C153" s="2">
        <v>44216</v>
      </c>
      <c r="D153" t="s">
        <v>28</v>
      </c>
      <c r="E153" t="s">
        <v>169</v>
      </c>
      <c r="F153" t="s">
        <v>170</v>
      </c>
      <c r="G153" t="s">
        <v>148</v>
      </c>
      <c r="H153" s="3">
        <v>0.5</v>
      </c>
      <c r="I153">
        <v>6250</v>
      </c>
      <c r="J153" s="4">
        <v>3125</v>
      </c>
      <c r="K153" s="4">
        <v>937.5</v>
      </c>
      <c r="L153" s="5">
        <v>0.3</v>
      </c>
      <c r="M153" t="s">
        <v>125</v>
      </c>
      <c r="N153" t="s">
        <v>361</v>
      </c>
    </row>
    <row r="154" spans="1:14">
      <c r="A154" t="s">
        <v>151</v>
      </c>
      <c r="B154">
        <v>1128299</v>
      </c>
      <c r="C154" s="2">
        <v>44216</v>
      </c>
      <c r="D154" t="s">
        <v>28</v>
      </c>
      <c r="E154" t="s">
        <v>169</v>
      </c>
      <c r="F154" t="s">
        <v>170</v>
      </c>
      <c r="G154" t="s">
        <v>147</v>
      </c>
      <c r="H154" s="3">
        <v>0.55000000000000004</v>
      </c>
      <c r="I154">
        <v>5750</v>
      </c>
      <c r="J154" s="4">
        <v>3162.5000000000005</v>
      </c>
      <c r="K154" s="4">
        <v>1581.2500000000002</v>
      </c>
      <c r="L154" s="5">
        <v>0.5</v>
      </c>
      <c r="M154" t="s">
        <v>125</v>
      </c>
      <c r="N154" t="s">
        <v>361</v>
      </c>
    </row>
    <row r="155" spans="1:14">
      <c r="A155" t="s">
        <v>151</v>
      </c>
      <c r="B155">
        <v>1128299</v>
      </c>
      <c r="C155" s="2">
        <v>44216</v>
      </c>
      <c r="D155" t="s">
        <v>28</v>
      </c>
      <c r="E155" t="s">
        <v>169</v>
      </c>
      <c r="F155" t="s">
        <v>170</v>
      </c>
      <c r="G155" t="s">
        <v>144</v>
      </c>
      <c r="H155" s="3">
        <v>0.5</v>
      </c>
      <c r="I155">
        <v>7750</v>
      </c>
      <c r="J155" s="4">
        <v>3875</v>
      </c>
      <c r="K155" s="4">
        <v>581.25000000000011</v>
      </c>
      <c r="L155" s="5">
        <v>0.15000000000000002</v>
      </c>
      <c r="M155" t="s">
        <v>125</v>
      </c>
      <c r="N155" t="s">
        <v>361</v>
      </c>
    </row>
    <row r="156" spans="1:14">
      <c r="A156" t="s">
        <v>151</v>
      </c>
      <c r="B156">
        <v>1128299</v>
      </c>
      <c r="C156" s="2">
        <v>44247</v>
      </c>
      <c r="D156" t="s">
        <v>28</v>
      </c>
      <c r="E156" t="s">
        <v>169</v>
      </c>
      <c r="F156" t="s">
        <v>170</v>
      </c>
      <c r="G156" t="s">
        <v>27</v>
      </c>
      <c r="H156" s="3">
        <v>0.39999999999999997</v>
      </c>
      <c r="I156">
        <v>8250</v>
      </c>
      <c r="J156" s="4">
        <v>3299.9999999999995</v>
      </c>
      <c r="K156" s="4">
        <v>1155</v>
      </c>
      <c r="L156" s="5">
        <v>0.35000000000000003</v>
      </c>
      <c r="M156" t="s">
        <v>126</v>
      </c>
      <c r="N156" t="s">
        <v>361</v>
      </c>
    </row>
    <row r="157" spans="1:14">
      <c r="A157" t="s">
        <v>151</v>
      </c>
      <c r="B157">
        <v>1128299</v>
      </c>
      <c r="C157" s="2">
        <v>44247</v>
      </c>
      <c r="D157" t="s">
        <v>28</v>
      </c>
      <c r="E157" t="s">
        <v>169</v>
      </c>
      <c r="F157" t="s">
        <v>170</v>
      </c>
      <c r="G157" t="s">
        <v>145</v>
      </c>
      <c r="H157" s="3">
        <v>0.5</v>
      </c>
      <c r="I157">
        <v>7250</v>
      </c>
      <c r="J157" s="4">
        <v>3625</v>
      </c>
      <c r="K157" s="4">
        <v>725</v>
      </c>
      <c r="L157" s="5">
        <v>0.2</v>
      </c>
      <c r="M157" t="s">
        <v>126</v>
      </c>
      <c r="N157" t="s">
        <v>361</v>
      </c>
    </row>
    <row r="158" spans="1:14">
      <c r="A158" t="s">
        <v>151</v>
      </c>
      <c r="B158">
        <v>1128299</v>
      </c>
      <c r="C158" s="2">
        <v>44247</v>
      </c>
      <c r="D158" t="s">
        <v>28</v>
      </c>
      <c r="E158" t="s">
        <v>169</v>
      </c>
      <c r="F158" t="s">
        <v>170</v>
      </c>
      <c r="G158" t="s">
        <v>146</v>
      </c>
      <c r="H158" s="3">
        <v>0.5</v>
      </c>
      <c r="I158">
        <v>7250</v>
      </c>
      <c r="J158" s="4">
        <v>3625</v>
      </c>
      <c r="K158" s="4">
        <v>1268.7500000000002</v>
      </c>
      <c r="L158" s="5">
        <v>0.35000000000000003</v>
      </c>
      <c r="M158" t="s">
        <v>126</v>
      </c>
      <c r="N158" t="s">
        <v>361</v>
      </c>
    </row>
    <row r="159" spans="1:14">
      <c r="A159" t="s">
        <v>151</v>
      </c>
      <c r="B159">
        <v>1128299</v>
      </c>
      <c r="C159" s="2">
        <v>44247</v>
      </c>
      <c r="D159" t="s">
        <v>28</v>
      </c>
      <c r="E159" t="s">
        <v>169</v>
      </c>
      <c r="F159" t="s">
        <v>170</v>
      </c>
      <c r="G159" t="s">
        <v>148</v>
      </c>
      <c r="H159" s="3">
        <v>0.5</v>
      </c>
      <c r="I159">
        <v>5750</v>
      </c>
      <c r="J159" s="4">
        <v>2875</v>
      </c>
      <c r="K159" s="4">
        <v>862.5</v>
      </c>
      <c r="L159" s="5">
        <v>0.3</v>
      </c>
      <c r="M159" t="s">
        <v>126</v>
      </c>
      <c r="N159" t="s">
        <v>361</v>
      </c>
    </row>
    <row r="160" spans="1:14">
      <c r="A160" t="s">
        <v>151</v>
      </c>
      <c r="B160">
        <v>1128299</v>
      </c>
      <c r="C160" s="2">
        <v>44247</v>
      </c>
      <c r="D160" t="s">
        <v>28</v>
      </c>
      <c r="E160" t="s">
        <v>169</v>
      </c>
      <c r="F160" t="s">
        <v>170</v>
      </c>
      <c r="G160" t="s">
        <v>147</v>
      </c>
      <c r="H160" s="3">
        <v>0.55000000000000004</v>
      </c>
      <c r="I160">
        <v>5000</v>
      </c>
      <c r="J160" s="4">
        <v>2750</v>
      </c>
      <c r="K160" s="4">
        <v>1375</v>
      </c>
      <c r="L160" s="5">
        <v>0.5</v>
      </c>
      <c r="M160" t="s">
        <v>126</v>
      </c>
      <c r="N160" t="s">
        <v>361</v>
      </c>
    </row>
    <row r="161" spans="1:14">
      <c r="A161" t="s">
        <v>151</v>
      </c>
      <c r="B161">
        <v>1128299</v>
      </c>
      <c r="C161" s="2">
        <v>44247</v>
      </c>
      <c r="D161" t="s">
        <v>28</v>
      </c>
      <c r="E161" t="s">
        <v>169</v>
      </c>
      <c r="F161" t="s">
        <v>170</v>
      </c>
      <c r="G161" t="s">
        <v>144</v>
      </c>
      <c r="H161" s="3">
        <v>0.5</v>
      </c>
      <c r="I161">
        <v>7000</v>
      </c>
      <c r="J161" s="4">
        <v>3500</v>
      </c>
      <c r="K161" s="4">
        <v>525.00000000000011</v>
      </c>
      <c r="L161" s="5">
        <v>0.15000000000000002</v>
      </c>
      <c r="M161" t="s">
        <v>126</v>
      </c>
      <c r="N161" t="s">
        <v>361</v>
      </c>
    </row>
    <row r="162" spans="1:14">
      <c r="A162" t="s">
        <v>151</v>
      </c>
      <c r="B162">
        <v>1128299</v>
      </c>
      <c r="C162" s="2">
        <v>44274</v>
      </c>
      <c r="D162" t="s">
        <v>28</v>
      </c>
      <c r="E162" t="s">
        <v>169</v>
      </c>
      <c r="F162" t="s">
        <v>170</v>
      </c>
      <c r="G162" t="s">
        <v>27</v>
      </c>
      <c r="H162" s="3">
        <v>0.5</v>
      </c>
      <c r="I162">
        <v>8500</v>
      </c>
      <c r="J162" s="4">
        <v>4250</v>
      </c>
      <c r="K162" s="4">
        <v>1487.5000000000002</v>
      </c>
      <c r="L162" s="5">
        <v>0.35000000000000003</v>
      </c>
      <c r="M162" t="s">
        <v>24</v>
      </c>
      <c r="N162" t="s">
        <v>361</v>
      </c>
    </row>
    <row r="163" spans="1:14">
      <c r="A163" t="s">
        <v>151</v>
      </c>
      <c r="B163">
        <v>1128299</v>
      </c>
      <c r="C163" s="2">
        <v>44274</v>
      </c>
      <c r="D163" t="s">
        <v>28</v>
      </c>
      <c r="E163" t="s">
        <v>169</v>
      </c>
      <c r="F163" t="s">
        <v>170</v>
      </c>
      <c r="G163" t="s">
        <v>145</v>
      </c>
      <c r="H163" s="3">
        <v>0.6</v>
      </c>
      <c r="I163">
        <v>7000</v>
      </c>
      <c r="J163" s="4">
        <v>4200</v>
      </c>
      <c r="K163" s="4">
        <v>840</v>
      </c>
      <c r="L163" s="5">
        <v>0.2</v>
      </c>
      <c r="M163" t="s">
        <v>24</v>
      </c>
      <c r="N163" t="s">
        <v>361</v>
      </c>
    </row>
    <row r="164" spans="1:14">
      <c r="A164" t="s">
        <v>151</v>
      </c>
      <c r="B164">
        <v>1128299</v>
      </c>
      <c r="C164" s="2">
        <v>44274</v>
      </c>
      <c r="D164" t="s">
        <v>28</v>
      </c>
      <c r="E164" t="s">
        <v>169</v>
      </c>
      <c r="F164" t="s">
        <v>170</v>
      </c>
      <c r="G164" t="s">
        <v>146</v>
      </c>
      <c r="H164" s="3">
        <v>0.6</v>
      </c>
      <c r="I164">
        <v>7000</v>
      </c>
      <c r="J164" s="4">
        <v>4200</v>
      </c>
      <c r="K164" s="4">
        <v>1470.0000000000002</v>
      </c>
      <c r="L164" s="5">
        <v>0.35000000000000003</v>
      </c>
      <c r="M164" t="s">
        <v>24</v>
      </c>
      <c r="N164" t="s">
        <v>361</v>
      </c>
    </row>
    <row r="165" spans="1:14">
      <c r="A165" t="s">
        <v>151</v>
      </c>
      <c r="B165">
        <v>1128299</v>
      </c>
      <c r="C165" s="2">
        <v>44274</v>
      </c>
      <c r="D165" t="s">
        <v>28</v>
      </c>
      <c r="E165" t="s">
        <v>169</v>
      </c>
      <c r="F165" t="s">
        <v>170</v>
      </c>
      <c r="G165" t="s">
        <v>148</v>
      </c>
      <c r="H165" s="3">
        <v>0.6</v>
      </c>
      <c r="I165">
        <v>6000</v>
      </c>
      <c r="J165" s="4">
        <v>3600</v>
      </c>
      <c r="K165" s="4">
        <v>1080</v>
      </c>
      <c r="L165" s="5">
        <v>0.3</v>
      </c>
      <c r="M165" t="s">
        <v>24</v>
      </c>
      <c r="N165" t="s">
        <v>361</v>
      </c>
    </row>
    <row r="166" spans="1:14">
      <c r="A166" t="s">
        <v>151</v>
      </c>
      <c r="B166">
        <v>1128299</v>
      </c>
      <c r="C166" s="2">
        <v>44274</v>
      </c>
      <c r="D166" t="s">
        <v>28</v>
      </c>
      <c r="E166" t="s">
        <v>169</v>
      </c>
      <c r="F166" t="s">
        <v>170</v>
      </c>
      <c r="G166" t="s">
        <v>147</v>
      </c>
      <c r="H166" s="3">
        <v>0.65</v>
      </c>
      <c r="I166">
        <v>5000</v>
      </c>
      <c r="J166" s="4">
        <v>3250</v>
      </c>
      <c r="K166" s="4">
        <v>1625</v>
      </c>
      <c r="L166" s="5">
        <v>0.5</v>
      </c>
      <c r="M166" t="s">
        <v>24</v>
      </c>
      <c r="N166" t="s">
        <v>361</v>
      </c>
    </row>
    <row r="167" spans="1:14">
      <c r="A167" t="s">
        <v>151</v>
      </c>
      <c r="B167">
        <v>1128299</v>
      </c>
      <c r="C167" s="2">
        <v>44274</v>
      </c>
      <c r="D167" t="s">
        <v>28</v>
      </c>
      <c r="E167" t="s">
        <v>169</v>
      </c>
      <c r="F167" t="s">
        <v>170</v>
      </c>
      <c r="G167" t="s">
        <v>144</v>
      </c>
      <c r="H167" s="3">
        <v>0.6</v>
      </c>
      <c r="I167">
        <v>7000</v>
      </c>
      <c r="J167" s="4">
        <v>4200</v>
      </c>
      <c r="K167" s="4">
        <v>630.00000000000011</v>
      </c>
      <c r="L167" s="5">
        <v>0.15000000000000002</v>
      </c>
      <c r="M167" t="s">
        <v>24</v>
      </c>
      <c r="N167" t="s">
        <v>361</v>
      </c>
    </row>
    <row r="168" spans="1:14">
      <c r="A168" t="s">
        <v>151</v>
      </c>
      <c r="B168">
        <v>1128299</v>
      </c>
      <c r="C168" s="2">
        <v>44306</v>
      </c>
      <c r="D168" t="s">
        <v>28</v>
      </c>
      <c r="E168" t="s">
        <v>169</v>
      </c>
      <c r="F168" t="s">
        <v>170</v>
      </c>
      <c r="G168" t="s">
        <v>27</v>
      </c>
      <c r="H168" s="3">
        <v>0.6</v>
      </c>
      <c r="I168">
        <v>8750</v>
      </c>
      <c r="J168" s="4">
        <v>5250</v>
      </c>
      <c r="K168" s="4">
        <v>1837.5000000000002</v>
      </c>
      <c r="L168" s="5">
        <v>0.35000000000000003</v>
      </c>
      <c r="M168" t="s">
        <v>127</v>
      </c>
      <c r="N168" t="s">
        <v>362</v>
      </c>
    </row>
    <row r="169" spans="1:14">
      <c r="A169" t="s">
        <v>151</v>
      </c>
      <c r="B169">
        <v>1128299</v>
      </c>
      <c r="C169" s="2">
        <v>44306</v>
      </c>
      <c r="D169" t="s">
        <v>28</v>
      </c>
      <c r="E169" t="s">
        <v>169</v>
      </c>
      <c r="F169" t="s">
        <v>170</v>
      </c>
      <c r="G169" t="s">
        <v>145</v>
      </c>
      <c r="H169" s="3">
        <v>0.65</v>
      </c>
      <c r="I169">
        <v>6750</v>
      </c>
      <c r="J169" s="4">
        <v>4387.5</v>
      </c>
      <c r="K169" s="4">
        <v>877.5</v>
      </c>
      <c r="L169" s="5">
        <v>0.2</v>
      </c>
      <c r="M169" t="s">
        <v>127</v>
      </c>
      <c r="N169" t="s">
        <v>362</v>
      </c>
    </row>
    <row r="170" spans="1:14">
      <c r="A170" t="s">
        <v>151</v>
      </c>
      <c r="B170">
        <v>1128299</v>
      </c>
      <c r="C170" s="2">
        <v>44306</v>
      </c>
      <c r="D170" t="s">
        <v>28</v>
      </c>
      <c r="E170" t="s">
        <v>169</v>
      </c>
      <c r="F170" t="s">
        <v>170</v>
      </c>
      <c r="G170" t="s">
        <v>146</v>
      </c>
      <c r="H170" s="3">
        <v>0.65</v>
      </c>
      <c r="I170">
        <v>7250</v>
      </c>
      <c r="J170" s="4">
        <v>4712.5</v>
      </c>
      <c r="K170" s="4">
        <v>1649.3750000000002</v>
      </c>
      <c r="L170" s="5">
        <v>0.35000000000000003</v>
      </c>
      <c r="M170" t="s">
        <v>127</v>
      </c>
      <c r="N170" t="s">
        <v>362</v>
      </c>
    </row>
    <row r="171" spans="1:14">
      <c r="A171" t="s">
        <v>151</v>
      </c>
      <c r="B171">
        <v>1128299</v>
      </c>
      <c r="C171" s="2">
        <v>44306</v>
      </c>
      <c r="D171" t="s">
        <v>28</v>
      </c>
      <c r="E171" t="s">
        <v>169</v>
      </c>
      <c r="F171" t="s">
        <v>170</v>
      </c>
      <c r="G171" t="s">
        <v>148</v>
      </c>
      <c r="H171" s="3">
        <v>0.6</v>
      </c>
      <c r="I171">
        <v>6250</v>
      </c>
      <c r="J171" s="4">
        <v>3750</v>
      </c>
      <c r="K171" s="4">
        <v>1125</v>
      </c>
      <c r="L171" s="5">
        <v>0.3</v>
      </c>
      <c r="M171" t="s">
        <v>127</v>
      </c>
      <c r="N171" t="s">
        <v>362</v>
      </c>
    </row>
    <row r="172" spans="1:14">
      <c r="A172" t="s">
        <v>151</v>
      </c>
      <c r="B172">
        <v>1128299</v>
      </c>
      <c r="C172" s="2">
        <v>44306</v>
      </c>
      <c r="D172" t="s">
        <v>28</v>
      </c>
      <c r="E172" t="s">
        <v>169</v>
      </c>
      <c r="F172" t="s">
        <v>170</v>
      </c>
      <c r="G172" t="s">
        <v>147</v>
      </c>
      <c r="H172" s="3">
        <v>0.65</v>
      </c>
      <c r="I172">
        <v>5250</v>
      </c>
      <c r="J172" s="4">
        <v>3412.5</v>
      </c>
      <c r="K172" s="4">
        <v>1706.25</v>
      </c>
      <c r="L172" s="5">
        <v>0.5</v>
      </c>
      <c r="M172" t="s">
        <v>127</v>
      </c>
      <c r="N172" t="s">
        <v>362</v>
      </c>
    </row>
    <row r="173" spans="1:14">
      <c r="A173" t="s">
        <v>151</v>
      </c>
      <c r="B173">
        <v>1128299</v>
      </c>
      <c r="C173" s="2">
        <v>44306</v>
      </c>
      <c r="D173" t="s">
        <v>28</v>
      </c>
      <c r="E173" t="s">
        <v>169</v>
      </c>
      <c r="F173" t="s">
        <v>170</v>
      </c>
      <c r="G173" t="s">
        <v>144</v>
      </c>
      <c r="H173" s="3">
        <v>0.8</v>
      </c>
      <c r="I173">
        <v>7000</v>
      </c>
      <c r="J173" s="4">
        <v>5600</v>
      </c>
      <c r="K173" s="4">
        <v>840.00000000000011</v>
      </c>
      <c r="L173" s="5">
        <v>0.15000000000000002</v>
      </c>
      <c r="M173" t="s">
        <v>127</v>
      </c>
      <c r="N173" t="s">
        <v>362</v>
      </c>
    </row>
    <row r="174" spans="1:14">
      <c r="A174" t="s">
        <v>151</v>
      </c>
      <c r="B174">
        <v>1128299</v>
      </c>
      <c r="C174" s="2">
        <v>44337</v>
      </c>
      <c r="D174" t="s">
        <v>28</v>
      </c>
      <c r="E174" t="s">
        <v>169</v>
      </c>
      <c r="F174" t="s">
        <v>170</v>
      </c>
      <c r="G174" t="s">
        <v>27</v>
      </c>
      <c r="H174" s="3">
        <v>0.6</v>
      </c>
      <c r="I174">
        <v>9000</v>
      </c>
      <c r="J174" s="4">
        <v>5400</v>
      </c>
      <c r="K174" s="4">
        <v>2160</v>
      </c>
      <c r="L174" s="5">
        <v>0.4</v>
      </c>
      <c r="M174" t="s">
        <v>128</v>
      </c>
      <c r="N174" t="s">
        <v>362</v>
      </c>
    </row>
    <row r="175" spans="1:14">
      <c r="A175" t="s">
        <v>151</v>
      </c>
      <c r="B175">
        <v>1128299</v>
      </c>
      <c r="C175" s="2">
        <v>44337</v>
      </c>
      <c r="D175" t="s">
        <v>28</v>
      </c>
      <c r="E175" t="s">
        <v>169</v>
      </c>
      <c r="F175" t="s">
        <v>170</v>
      </c>
      <c r="G175" t="s">
        <v>145</v>
      </c>
      <c r="H175" s="3">
        <v>0.65</v>
      </c>
      <c r="I175">
        <v>7500</v>
      </c>
      <c r="J175" s="4">
        <v>4875</v>
      </c>
      <c r="K175" s="4">
        <v>1218.75</v>
      </c>
      <c r="L175" s="5">
        <v>0.25</v>
      </c>
      <c r="M175" t="s">
        <v>128</v>
      </c>
      <c r="N175" t="s">
        <v>362</v>
      </c>
    </row>
    <row r="176" spans="1:14">
      <c r="A176" t="s">
        <v>151</v>
      </c>
      <c r="B176">
        <v>1128299</v>
      </c>
      <c r="C176" s="2">
        <v>44337</v>
      </c>
      <c r="D176" t="s">
        <v>28</v>
      </c>
      <c r="E176" t="s">
        <v>169</v>
      </c>
      <c r="F176" t="s">
        <v>170</v>
      </c>
      <c r="G176" t="s">
        <v>146</v>
      </c>
      <c r="H176" s="3">
        <v>0.65</v>
      </c>
      <c r="I176">
        <v>7500</v>
      </c>
      <c r="J176" s="4">
        <v>4875</v>
      </c>
      <c r="K176" s="4">
        <v>1950</v>
      </c>
      <c r="L176" s="5">
        <v>0.4</v>
      </c>
      <c r="M176" t="s">
        <v>128</v>
      </c>
      <c r="N176" t="s">
        <v>362</v>
      </c>
    </row>
    <row r="177" spans="1:14">
      <c r="A177" t="s">
        <v>151</v>
      </c>
      <c r="B177">
        <v>1128299</v>
      </c>
      <c r="C177" s="2">
        <v>44337</v>
      </c>
      <c r="D177" t="s">
        <v>28</v>
      </c>
      <c r="E177" t="s">
        <v>169</v>
      </c>
      <c r="F177" t="s">
        <v>170</v>
      </c>
      <c r="G177" t="s">
        <v>148</v>
      </c>
      <c r="H177" s="3">
        <v>0.6</v>
      </c>
      <c r="I177">
        <v>6500</v>
      </c>
      <c r="J177" s="4">
        <v>3900</v>
      </c>
      <c r="K177" s="4">
        <v>1365</v>
      </c>
      <c r="L177" s="5">
        <v>0.35</v>
      </c>
      <c r="M177" t="s">
        <v>128</v>
      </c>
      <c r="N177" t="s">
        <v>362</v>
      </c>
    </row>
    <row r="178" spans="1:14">
      <c r="A178" t="s">
        <v>151</v>
      </c>
      <c r="B178">
        <v>1128299</v>
      </c>
      <c r="C178" s="2">
        <v>44337</v>
      </c>
      <c r="D178" t="s">
        <v>28</v>
      </c>
      <c r="E178" t="s">
        <v>169</v>
      </c>
      <c r="F178" t="s">
        <v>170</v>
      </c>
      <c r="G178" t="s">
        <v>147</v>
      </c>
      <c r="H178" s="3">
        <v>0.65</v>
      </c>
      <c r="I178">
        <v>5500</v>
      </c>
      <c r="J178" s="4">
        <v>3575</v>
      </c>
      <c r="K178" s="4">
        <v>1966.2500000000002</v>
      </c>
      <c r="L178" s="5">
        <v>0.55000000000000004</v>
      </c>
      <c r="M178" t="s">
        <v>128</v>
      </c>
      <c r="N178" t="s">
        <v>362</v>
      </c>
    </row>
    <row r="179" spans="1:14">
      <c r="A179" t="s">
        <v>151</v>
      </c>
      <c r="B179">
        <v>1128299</v>
      </c>
      <c r="C179" s="2">
        <v>44337</v>
      </c>
      <c r="D179" t="s">
        <v>28</v>
      </c>
      <c r="E179" t="s">
        <v>169</v>
      </c>
      <c r="F179" t="s">
        <v>170</v>
      </c>
      <c r="G179" t="s">
        <v>144</v>
      </c>
      <c r="H179" s="3">
        <v>0.8</v>
      </c>
      <c r="I179">
        <v>7250</v>
      </c>
      <c r="J179" s="4">
        <v>5800</v>
      </c>
      <c r="K179" s="4">
        <v>1160</v>
      </c>
      <c r="L179" s="5">
        <v>0.2</v>
      </c>
      <c r="M179" t="s">
        <v>128</v>
      </c>
      <c r="N179" t="s">
        <v>362</v>
      </c>
    </row>
    <row r="180" spans="1:14">
      <c r="A180" t="s">
        <v>151</v>
      </c>
      <c r="B180">
        <v>1128299</v>
      </c>
      <c r="C180" s="2">
        <v>44367</v>
      </c>
      <c r="D180" t="s">
        <v>28</v>
      </c>
      <c r="E180" t="s">
        <v>169</v>
      </c>
      <c r="F180" t="s">
        <v>170</v>
      </c>
      <c r="G180" t="s">
        <v>27</v>
      </c>
      <c r="H180" s="3">
        <v>0.6</v>
      </c>
      <c r="I180">
        <v>9750</v>
      </c>
      <c r="J180" s="4">
        <v>5850</v>
      </c>
      <c r="K180" s="4">
        <v>2340</v>
      </c>
      <c r="L180" s="5">
        <v>0.4</v>
      </c>
      <c r="M180" t="s">
        <v>129</v>
      </c>
      <c r="N180" t="s">
        <v>362</v>
      </c>
    </row>
    <row r="181" spans="1:14">
      <c r="A181" t="s">
        <v>151</v>
      </c>
      <c r="B181">
        <v>1128299</v>
      </c>
      <c r="C181" s="2">
        <v>44367</v>
      </c>
      <c r="D181" t="s">
        <v>28</v>
      </c>
      <c r="E181" t="s">
        <v>169</v>
      </c>
      <c r="F181" t="s">
        <v>170</v>
      </c>
      <c r="G181" t="s">
        <v>145</v>
      </c>
      <c r="H181" s="3">
        <v>0.65</v>
      </c>
      <c r="I181">
        <v>8250</v>
      </c>
      <c r="J181" s="4">
        <v>5362.5</v>
      </c>
      <c r="K181" s="4">
        <v>1340.625</v>
      </c>
      <c r="L181" s="5">
        <v>0.25</v>
      </c>
      <c r="M181" t="s">
        <v>129</v>
      </c>
      <c r="N181" t="s">
        <v>362</v>
      </c>
    </row>
    <row r="182" spans="1:14">
      <c r="A182" t="s">
        <v>151</v>
      </c>
      <c r="B182">
        <v>1128299</v>
      </c>
      <c r="C182" s="2">
        <v>44367</v>
      </c>
      <c r="D182" t="s">
        <v>28</v>
      </c>
      <c r="E182" t="s">
        <v>169</v>
      </c>
      <c r="F182" t="s">
        <v>170</v>
      </c>
      <c r="G182" t="s">
        <v>146</v>
      </c>
      <c r="H182" s="3">
        <v>0.65</v>
      </c>
      <c r="I182">
        <v>8250</v>
      </c>
      <c r="J182" s="4">
        <v>5362.5</v>
      </c>
      <c r="K182" s="4">
        <v>2145</v>
      </c>
      <c r="L182" s="5">
        <v>0.4</v>
      </c>
      <c r="M182" t="s">
        <v>129</v>
      </c>
      <c r="N182" t="s">
        <v>362</v>
      </c>
    </row>
    <row r="183" spans="1:14">
      <c r="A183" t="s">
        <v>151</v>
      </c>
      <c r="B183">
        <v>1128299</v>
      </c>
      <c r="C183" s="2">
        <v>44367</v>
      </c>
      <c r="D183" t="s">
        <v>28</v>
      </c>
      <c r="E183" t="s">
        <v>169</v>
      </c>
      <c r="F183" t="s">
        <v>170</v>
      </c>
      <c r="G183" t="s">
        <v>148</v>
      </c>
      <c r="H183" s="3">
        <v>0.6</v>
      </c>
      <c r="I183">
        <v>7000</v>
      </c>
      <c r="J183" s="4">
        <v>4200</v>
      </c>
      <c r="K183" s="4">
        <v>1470</v>
      </c>
      <c r="L183" s="5">
        <v>0.35</v>
      </c>
      <c r="M183" t="s">
        <v>129</v>
      </c>
      <c r="N183" t="s">
        <v>362</v>
      </c>
    </row>
    <row r="184" spans="1:14">
      <c r="A184" t="s">
        <v>151</v>
      </c>
      <c r="B184">
        <v>1128299</v>
      </c>
      <c r="C184" s="2">
        <v>44367</v>
      </c>
      <c r="D184" t="s">
        <v>28</v>
      </c>
      <c r="E184" t="s">
        <v>169</v>
      </c>
      <c r="F184" t="s">
        <v>170</v>
      </c>
      <c r="G184" t="s">
        <v>147</v>
      </c>
      <c r="H184" s="3">
        <v>0.65</v>
      </c>
      <c r="I184">
        <v>5750</v>
      </c>
      <c r="J184" s="4">
        <v>3737.5</v>
      </c>
      <c r="K184" s="4">
        <v>2055.625</v>
      </c>
      <c r="L184" s="5">
        <v>0.55000000000000004</v>
      </c>
      <c r="M184" t="s">
        <v>129</v>
      </c>
      <c r="N184" t="s">
        <v>362</v>
      </c>
    </row>
    <row r="185" spans="1:14">
      <c r="A185" t="s">
        <v>151</v>
      </c>
      <c r="B185">
        <v>1128299</v>
      </c>
      <c r="C185" s="2">
        <v>44367</v>
      </c>
      <c r="D185" t="s">
        <v>28</v>
      </c>
      <c r="E185" t="s">
        <v>169</v>
      </c>
      <c r="F185" t="s">
        <v>170</v>
      </c>
      <c r="G185" t="s">
        <v>144</v>
      </c>
      <c r="H185" s="3">
        <v>0.8</v>
      </c>
      <c r="I185">
        <v>8750</v>
      </c>
      <c r="J185" s="4">
        <v>7000</v>
      </c>
      <c r="K185" s="4">
        <v>1400</v>
      </c>
      <c r="L185" s="5">
        <v>0.2</v>
      </c>
      <c r="M185" t="s">
        <v>129</v>
      </c>
      <c r="N185" t="s">
        <v>362</v>
      </c>
    </row>
    <row r="186" spans="1:14">
      <c r="A186" t="s">
        <v>151</v>
      </c>
      <c r="B186">
        <v>1128299</v>
      </c>
      <c r="C186" s="2">
        <v>44396</v>
      </c>
      <c r="D186" t="s">
        <v>28</v>
      </c>
      <c r="E186" t="s">
        <v>169</v>
      </c>
      <c r="F186" t="s">
        <v>170</v>
      </c>
      <c r="G186" t="s">
        <v>27</v>
      </c>
      <c r="H186" s="3">
        <v>0.6</v>
      </c>
      <c r="I186">
        <v>10250</v>
      </c>
      <c r="J186" s="4">
        <v>6150</v>
      </c>
      <c r="K186" s="4">
        <v>2152.5</v>
      </c>
      <c r="L186" s="5">
        <v>0.35000000000000003</v>
      </c>
      <c r="M186" t="s">
        <v>130</v>
      </c>
      <c r="N186" t="s">
        <v>363</v>
      </c>
    </row>
    <row r="187" spans="1:14">
      <c r="A187" t="s">
        <v>151</v>
      </c>
      <c r="B187">
        <v>1128299</v>
      </c>
      <c r="C187" s="2">
        <v>44396</v>
      </c>
      <c r="D187" t="s">
        <v>28</v>
      </c>
      <c r="E187" t="s">
        <v>169</v>
      </c>
      <c r="F187" t="s">
        <v>170</v>
      </c>
      <c r="G187" t="s">
        <v>145</v>
      </c>
      <c r="H187" s="3">
        <v>0.65</v>
      </c>
      <c r="I187">
        <v>8750</v>
      </c>
      <c r="J187" s="4">
        <v>5687.5</v>
      </c>
      <c r="K187" s="4">
        <v>1137.5</v>
      </c>
      <c r="L187" s="5">
        <v>0.2</v>
      </c>
      <c r="M187" t="s">
        <v>130</v>
      </c>
      <c r="N187" t="s">
        <v>363</v>
      </c>
    </row>
    <row r="188" spans="1:14">
      <c r="A188" t="s">
        <v>151</v>
      </c>
      <c r="B188">
        <v>1128299</v>
      </c>
      <c r="C188" s="2">
        <v>44396</v>
      </c>
      <c r="D188" t="s">
        <v>28</v>
      </c>
      <c r="E188" t="s">
        <v>169</v>
      </c>
      <c r="F188" t="s">
        <v>170</v>
      </c>
      <c r="G188" t="s">
        <v>146</v>
      </c>
      <c r="H188" s="3">
        <v>0.65</v>
      </c>
      <c r="I188">
        <v>8250</v>
      </c>
      <c r="J188" s="4">
        <v>5362.5</v>
      </c>
      <c r="K188" s="4">
        <v>1876.8750000000002</v>
      </c>
      <c r="L188" s="5">
        <v>0.35000000000000003</v>
      </c>
      <c r="M188" t="s">
        <v>130</v>
      </c>
      <c r="N188" t="s">
        <v>363</v>
      </c>
    </row>
    <row r="189" spans="1:14">
      <c r="A189" t="s">
        <v>151</v>
      </c>
      <c r="B189">
        <v>1128299</v>
      </c>
      <c r="C189" s="2">
        <v>44396</v>
      </c>
      <c r="D189" t="s">
        <v>28</v>
      </c>
      <c r="E189" t="s">
        <v>169</v>
      </c>
      <c r="F189" t="s">
        <v>170</v>
      </c>
      <c r="G189" t="s">
        <v>148</v>
      </c>
      <c r="H189" s="3">
        <v>0.6</v>
      </c>
      <c r="I189">
        <v>7250</v>
      </c>
      <c r="J189" s="4">
        <v>4350</v>
      </c>
      <c r="K189" s="4">
        <v>1305</v>
      </c>
      <c r="L189" s="5">
        <v>0.3</v>
      </c>
      <c r="M189" t="s">
        <v>130</v>
      </c>
      <c r="N189" t="s">
        <v>363</v>
      </c>
    </row>
    <row r="190" spans="1:14">
      <c r="A190" t="s">
        <v>151</v>
      </c>
      <c r="B190">
        <v>1128299</v>
      </c>
      <c r="C190" s="2">
        <v>44396</v>
      </c>
      <c r="D190" t="s">
        <v>28</v>
      </c>
      <c r="E190" t="s">
        <v>169</v>
      </c>
      <c r="F190" t="s">
        <v>170</v>
      </c>
      <c r="G190" t="s">
        <v>147</v>
      </c>
      <c r="H190" s="3">
        <v>0.65</v>
      </c>
      <c r="I190">
        <v>7750</v>
      </c>
      <c r="J190" s="4">
        <v>5037.5</v>
      </c>
      <c r="K190" s="4">
        <v>2518.75</v>
      </c>
      <c r="L190" s="5">
        <v>0.5</v>
      </c>
      <c r="M190" t="s">
        <v>130</v>
      </c>
      <c r="N190" t="s">
        <v>363</v>
      </c>
    </row>
    <row r="191" spans="1:14">
      <c r="A191" t="s">
        <v>151</v>
      </c>
      <c r="B191">
        <v>1128299</v>
      </c>
      <c r="C191" s="2">
        <v>44396</v>
      </c>
      <c r="D191" t="s">
        <v>28</v>
      </c>
      <c r="E191" t="s">
        <v>169</v>
      </c>
      <c r="F191" t="s">
        <v>170</v>
      </c>
      <c r="G191" t="s">
        <v>144</v>
      </c>
      <c r="H191" s="3">
        <v>0.8</v>
      </c>
      <c r="I191">
        <v>7750</v>
      </c>
      <c r="J191" s="4">
        <v>6200</v>
      </c>
      <c r="K191" s="4">
        <v>930.00000000000011</v>
      </c>
      <c r="L191" s="5">
        <v>0.15000000000000002</v>
      </c>
      <c r="M191" t="s">
        <v>130</v>
      </c>
      <c r="N191" t="s">
        <v>363</v>
      </c>
    </row>
    <row r="192" spans="1:14">
      <c r="A192" t="s">
        <v>151</v>
      </c>
      <c r="B192">
        <v>1128299</v>
      </c>
      <c r="C192" s="2">
        <v>44428</v>
      </c>
      <c r="D192" t="s">
        <v>28</v>
      </c>
      <c r="E192" t="s">
        <v>169</v>
      </c>
      <c r="F192" t="s">
        <v>170</v>
      </c>
      <c r="G192" t="s">
        <v>27</v>
      </c>
      <c r="H192" s="3">
        <v>0.65</v>
      </c>
      <c r="I192">
        <v>9750</v>
      </c>
      <c r="J192" s="4">
        <v>6337.5</v>
      </c>
      <c r="K192" s="4">
        <v>2218.125</v>
      </c>
      <c r="L192" s="5">
        <v>0.35000000000000003</v>
      </c>
      <c r="M192" t="s">
        <v>131</v>
      </c>
      <c r="N192" t="s">
        <v>363</v>
      </c>
    </row>
    <row r="193" spans="1:14">
      <c r="A193" t="s">
        <v>151</v>
      </c>
      <c r="B193">
        <v>1128299</v>
      </c>
      <c r="C193" s="2">
        <v>44428</v>
      </c>
      <c r="D193" t="s">
        <v>28</v>
      </c>
      <c r="E193" t="s">
        <v>169</v>
      </c>
      <c r="F193" t="s">
        <v>170</v>
      </c>
      <c r="G193" t="s">
        <v>145</v>
      </c>
      <c r="H193" s="3">
        <v>0.70000000000000007</v>
      </c>
      <c r="I193">
        <v>9250</v>
      </c>
      <c r="J193" s="4">
        <v>6475.0000000000009</v>
      </c>
      <c r="K193" s="4">
        <v>1295.0000000000002</v>
      </c>
      <c r="L193" s="5">
        <v>0.2</v>
      </c>
      <c r="M193" t="s">
        <v>131</v>
      </c>
      <c r="N193" t="s">
        <v>363</v>
      </c>
    </row>
    <row r="194" spans="1:14">
      <c r="A194" t="s">
        <v>151</v>
      </c>
      <c r="B194">
        <v>1128299</v>
      </c>
      <c r="C194" s="2">
        <v>44428</v>
      </c>
      <c r="D194" t="s">
        <v>28</v>
      </c>
      <c r="E194" t="s">
        <v>169</v>
      </c>
      <c r="F194" t="s">
        <v>170</v>
      </c>
      <c r="G194" t="s">
        <v>146</v>
      </c>
      <c r="H194" s="3">
        <v>0.65</v>
      </c>
      <c r="I194">
        <v>8000</v>
      </c>
      <c r="J194" s="4">
        <v>5200</v>
      </c>
      <c r="K194" s="4">
        <v>1820.0000000000002</v>
      </c>
      <c r="L194" s="5">
        <v>0.35000000000000003</v>
      </c>
      <c r="M194" t="s">
        <v>131</v>
      </c>
      <c r="N194" t="s">
        <v>363</v>
      </c>
    </row>
    <row r="195" spans="1:14">
      <c r="A195" t="s">
        <v>151</v>
      </c>
      <c r="B195">
        <v>1128299</v>
      </c>
      <c r="C195" s="2">
        <v>44428</v>
      </c>
      <c r="D195" t="s">
        <v>28</v>
      </c>
      <c r="E195" t="s">
        <v>169</v>
      </c>
      <c r="F195" t="s">
        <v>170</v>
      </c>
      <c r="G195" t="s">
        <v>148</v>
      </c>
      <c r="H195" s="3">
        <v>0.65</v>
      </c>
      <c r="I195">
        <v>7500</v>
      </c>
      <c r="J195" s="4">
        <v>4875</v>
      </c>
      <c r="K195" s="4">
        <v>1462.5</v>
      </c>
      <c r="L195" s="5">
        <v>0.3</v>
      </c>
      <c r="M195" t="s">
        <v>131</v>
      </c>
      <c r="N195" t="s">
        <v>363</v>
      </c>
    </row>
    <row r="196" spans="1:14">
      <c r="A196" t="s">
        <v>151</v>
      </c>
      <c r="B196">
        <v>1128299</v>
      </c>
      <c r="C196" s="2">
        <v>44428</v>
      </c>
      <c r="D196" t="s">
        <v>28</v>
      </c>
      <c r="E196" t="s">
        <v>169</v>
      </c>
      <c r="F196" t="s">
        <v>170</v>
      </c>
      <c r="G196" t="s">
        <v>147</v>
      </c>
      <c r="H196" s="3">
        <v>0.75</v>
      </c>
      <c r="I196">
        <v>7500</v>
      </c>
      <c r="J196" s="4">
        <v>5625</v>
      </c>
      <c r="K196" s="4">
        <v>2812.5</v>
      </c>
      <c r="L196" s="5">
        <v>0.5</v>
      </c>
      <c r="M196" t="s">
        <v>131</v>
      </c>
      <c r="N196" t="s">
        <v>363</v>
      </c>
    </row>
    <row r="197" spans="1:14">
      <c r="A197" t="s">
        <v>151</v>
      </c>
      <c r="B197">
        <v>1128299</v>
      </c>
      <c r="C197" s="2">
        <v>44428</v>
      </c>
      <c r="D197" t="s">
        <v>28</v>
      </c>
      <c r="E197" t="s">
        <v>169</v>
      </c>
      <c r="F197" t="s">
        <v>170</v>
      </c>
      <c r="G197" t="s">
        <v>144</v>
      </c>
      <c r="H197" s="3">
        <v>0.8</v>
      </c>
      <c r="I197">
        <v>7250</v>
      </c>
      <c r="J197" s="4">
        <v>5800</v>
      </c>
      <c r="K197" s="4">
        <v>870.00000000000011</v>
      </c>
      <c r="L197" s="5">
        <v>0.15000000000000002</v>
      </c>
      <c r="M197" t="s">
        <v>131</v>
      </c>
      <c r="N197" t="s">
        <v>363</v>
      </c>
    </row>
    <row r="198" spans="1:14">
      <c r="A198" t="s">
        <v>151</v>
      </c>
      <c r="B198">
        <v>1128299</v>
      </c>
      <c r="C198" s="2">
        <v>44460</v>
      </c>
      <c r="D198" t="s">
        <v>28</v>
      </c>
      <c r="E198" t="s">
        <v>169</v>
      </c>
      <c r="F198" t="s">
        <v>170</v>
      </c>
      <c r="G198" t="s">
        <v>27</v>
      </c>
      <c r="H198" s="3">
        <v>0.55000000000000004</v>
      </c>
      <c r="I198">
        <v>9250</v>
      </c>
      <c r="J198" s="4">
        <v>5087.5</v>
      </c>
      <c r="K198" s="4">
        <v>1526.2500000000002</v>
      </c>
      <c r="L198" s="5">
        <v>0.30000000000000004</v>
      </c>
      <c r="M198" t="s">
        <v>132</v>
      </c>
      <c r="N198" t="s">
        <v>363</v>
      </c>
    </row>
    <row r="199" spans="1:14">
      <c r="A199" t="s">
        <v>151</v>
      </c>
      <c r="B199">
        <v>1128299</v>
      </c>
      <c r="C199" s="2">
        <v>44460</v>
      </c>
      <c r="D199" t="s">
        <v>28</v>
      </c>
      <c r="E199" t="s">
        <v>169</v>
      </c>
      <c r="F199" t="s">
        <v>170</v>
      </c>
      <c r="G199" t="s">
        <v>145</v>
      </c>
      <c r="H199" s="3">
        <v>0.60000000000000009</v>
      </c>
      <c r="I199">
        <v>9250</v>
      </c>
      <c r="J199" s="4">
        <v>5550.0000000000009</v>
      </c>
      <c r="K199" s="4">
        <v>832.50000000000011</v>
      </c>
      <c r="L199" s="5">
        <v>0.15</v>
      </c>
      <c r="M199" t="s">
        <v>132</v>
      </c>
      <c r="N199" t="s">
        <v>363</v>
      </c>
    </row>
    <row r="200" spans="1:14">
      <c r="A200" t="s">
        <v>151</v>
      </c>
      <c r="B200">
        <v>1128299</v>
      </c>
      <c r="C200" s="2">
        <v>44460</v>
      </c>
      <c r="D200" t="s">
        <v>28</v>
      </c>
      <c r="E200" t="s">
        <v>169</v>
      </c>
      <c r="F200" t="s">
        <v>170</v>
      </c>
      <c r="G200" t="s">
        <v>146</v>
      </c>
      <c r="H200" s="3">
        <v>0.55000000000000004</v>
      </c>
      <c r="I200">
        <v>7750</v>
      </c>
      <c r="J200" s="4">
        <v>4262.5</v>
      </c>
      <c r="K200" s="4">
        <v>1278.7500000000002</v>
      </c>
      <c r="L200" s="5">
        <v>0.30000000000000004</v>
      </c>
      <c r="M200" t="s">
        <v>132</v>
      </c>
      <c r="N200" t="s">
        <v>363</v>
      </c>
    </row>
    <row r="201" spans="1:14">
      <c r="A201" t="s">
        <v>151</v>
      </c>
      <c r="B201">
        <v>1128299</v>
      </c>
      <c r="C201" s="2">
        <v>44460</v>
      </c>
      <c r="D201" t="s">
        <v>28</v>
      </c>
      <c r="E201" t="s">
        <v>169</v>
      </c>
      <c r="F201" t="s">
        <v>170</v>
      </c>
      <c r="G201" t="s">
        <v>148</v>
      </c>
      <c r="H201" s="3">
        <v>0.55000000000000004</v>
      </c>
      <c r="I201">
        <v>7250</v>
      </c>
      <c r="J201" s="4">
        <v>3987.5000000000005</v>
      </c>
      <c r="K201" s="4">
        <v>996.875</v>
      </c>
      <c r="L201" s="5">
        <v>0.24999999999999997</v>
      </c>
      <c r="M201" t="s">
        <v>132</v>
      </c>
      <c r="N201" t="s">
        <v>363</v>
      </c>
    </row>
    <row r="202" spans="1:14">
      <c r="A202" t="s">
        <v>151</v>
      </c>
      <c r="B202">
        <v>1128299</v>
      </c>
      <c r="C202" s="2">
        <v>44460</v>
      </c>
      <c r="D202" t="s">
        <v>28</v>
      </c>
      <c r="E202" t="s">
        <v>169</v>
      </c>
      <c r="F202" t="s">
        <v>170</v>
      </c>
      <c r="G202" t="s">
        <v>147</v>
      </c>
      <c r="H202" s="3">
        <v>0.65</v>
      </c>
      <c r="I202">
        <v>7250</v>
      </c>
      <c r="J202" s="4">
        <v>4712.5</v>
      </c>
      <c r="K202" s="4">
        <v>2120.6250000000005</v>
      </c>
      <c r="L202" s="5">
        <v>0.45000000000000007</v>
      </c>
      <c r="M202" t="s">
        <v>132</v>
      </c>
      <c r="N202" t="s">
        <v>363</v>
      </c>
    </row>
    <row r="203" spans="1:14">
      <c r="A203" t="s">
        <v>151</v>
      </c>
      <c r="B203">
        <v>1128299</v>
      </c>
      <c r="C203" s="2">
        <v>44460</v>
      </c>
      <c r="D203" t="s">
        <v>28</v>
      </c>
      <c r="E203" t="s">
        <v>169</v>
      </c>
      <c r="F203" t="s">
        <v>170</v>
      </c>
      <c r="G203" t="s">
        <v>144</v>
      </c>
      <c r="H203" s="3">
        <v>0.70000000000000007</v>
      </c>
      <c r="I203">
        <v>7750</v>
      </c>
      <c r="J203" s="4">
        <v>5425.0000000000009</v>
      </c>
      <c r="K203" s="4">
        <v>542.50000000000011</v>
      </c>
      <c r="L203" s="5">
        <v>0.1</v>
      </c>
      <c r="M203" t="s">
        <v>132</v>
      </c>
      <c r="N203" t="s">
        <v>363</v>
      </c>
    </row>
    <row r="204" spans="1:14">
      <c r="A204" t="s">
        <v>151</v>
      </c>
      <c r="B204">
        <v>1128299</v>
      </c>
      <c r="C204" s="2">
        <v>44489</v>
      </c>
      <c r="D204" t="s">
        <v>28</v>
      </c>
      <c r="E204" t="s">
        <v>169</v>
      </c>
      <c r="F204" t="s">
        <v>170</v>
      </c>
      <c r="G204" t="s">
        <v>27</v>
      </c>
      <c r="H204" s="3">
        <v>0.55000000000000004</v>
      </c>
      <c r="I204">
        <v>8750</v>
      </c>
      <c r="J204" s="4">
        <v>4812.5</v>
      </c>
      <c r="K204" s="4">
        <v>1443.7500000000002</v>
      </c>
      <c r="L204" s="5">
        <v>0.30000000000000004</v>
      </c>
      <c r="M204" t="s">
        <v>133</v>
      </c>
      <c r="N204" t="s">
        <v>364</v>
      </c>
    </row>
    <row r="205" spans="1:14">
      <c r="A205" t="s">
        <v>151</v>
      </c>
      <c r="B205">
        <v>1128299</v>
      </c>
      <c r="C205" s="2">
        <v>44489</v>
      </c>
      <c r="D205" t="s">
        <v>28</v>
      </c>
      <c r="E205" t="s">
        <v>169</v>
      </c>
      <c r="F205" t="s">
        <v>170</v>
      </c>
      <c r="G205" t="s">
        <v>145</v>
      </c>
      <c r="H205" s="3">
        <v>0.60000000000000009</v>
      </c>
      <c r="I205">
        <v>8750</v>
      </c>
      <c r="J205" s="4">
        <v>5250.0000000000009</v>
      </c>
      <c r="K205" s="4">
        <v>787.50000000000011</v>
      </c>
      <c r="L205" s="5">
        <v>0.15</v>
      </c>
      <c r="M205" t="s">
        <v>133</v>
      </c>
      <c r="N205" t="s">
        <v>364</v>
      </c>
    </row>
    <row r="206" spans="1:14">
      <c r="A206" t="s">
        <v>151</v>
      </c>
      <c r="B206">
        <v>1128299</v>
      </c>
      <c r="C206" s="2">
        <v>44489</v>
      </c>
      <c r="D206" t="s">
        <v>28</v>
      </c>
      <c r="E206" t="s">
        <v>169</v>
      </c>
      <c r="F206" t="s">
        <v>170</v>
      </c>
      <c r="G206" t="s">
        <v>146</v>
      </c>
      <c r="H206" s="3">
        <v>0.55000000000000004</v>
      </c>
      <c r="I206">
        <v>7000</v>
      </c>
      <c r="J206" s="4">
        <v>3850.0000000000005</v>
      </c>
      <c r="K206" s="4">
        <v>1155.0000000000002</v>
      </c>
      <c r="L206" s="5">
        <v>0.30000000000000004</v>
      </c>
      <c r="M206" t="s">
        <v>133</v>
      </c>
      <c r="N206" t="s">
        <v>364</v>
      </c>
    </row>
    <row r="207" spans="1:14">
      <c r="A207" t="s">
        <v>151</v>
      </c>
      <c r="B207">
        <v>1128299</v>
      </c>
      <c r="C207" s="2">
        <v>44489</v>
      </c>
      <c r="D207" t="s">
        <v>28</v>
      </c>
      <c r="E207" t="s">
        <v>169</v>
      </c>
      <c r="F207" t="s">
        <v>170</v>
      </c>
      <c r="G207" t="s">
        <v>148</v>
      </c>
      <c r="H207" s="3">
        <v>0.55000000000000004</v>
      </c>
      <c r="I207">
        <v>6750</v>
      </c>
      <c r="J207" s="4">
        <v>3712.5000000000005</v>
      </c>
      <c r="K207" s="4">
        <v>928.125</v>
      </c>
      <c r="L207" s="5">
        <v>0.24999999999999997</v>
      </c>
      <c r="M207" t="s">
        <v>133</v>
      </c>
      <c r="N207" t="s">
        <v>364</v>
      </c>
    </row>
    <row r="208" spans="1:14">
      <c r="A208" t="s">
        <v>151</v>
      </c>
      <c r="B208">
        <v>1128299</v>
      </c>
      <c r="C208" s="2">
        <v>44489</v>
      </c>
      <c r="D208" t="s">
        <v>28</v>
      </c>
      <c r="E208" t="s">
        <v>169</v>
      </c>
      <c r="F208" t="s">
        <v>170</v>
      </c>
      <c r="G208" t="s">
        <v>147</v>
      </c>
      <c r="H208" s="3">
        <v>0.65</v>
      </c>
      <c r="I208">
        <v>6500</v>
      </c>
      <c r="J208" s="4">
        <v>4225</v>
      </c>
      <c r="K208" s="4">
        <v>1901.2500000000002</v>
      </c>
      <c r="L208" s="5">
        <v>0.45000000000000007</v>
      </c>
      <c r="M208" t="s">
        <v>133</v>
      </c>
      <c r="N208" t="s">
        <v>364</v>
      </c>
    </row>
    <row r="209" spans="1:14">
      <c r="A209" t="s">
        <v>151</v>
      </c>
      <c r="B209">
        <v>1128299</v>
      </c>
      <c r="C209" s="2">
        <v>44489</v>
      </c>
      <c r="D209" t="s">
        <v>28</v>
      </c>
      <c r="E209" t="s">
        <v>169</v>
      </c>
      <c r="F209" t="s">
        <v>170</v>
      </c>
      <c r="G209" t="s">
        <v>144</v>
      </c>
      <c r="H209" s="3">
        <v>0.70000000000000007</v>
      </c>
      <c r="I209">
        <v>7000</v>
      </c>
      <c r="J209" s="4">
        <v>4900.0000000000009</v>
      </c>
      <c r="K209" s="4">
        <v>490.00000000000011</v>
      </c>
      <c r="L209" s="5">
        <v>0.1</v>
      </c>
      <c r="M209" t="s">
        <v>133</v>
      </c>
      <c r="N209" t="s">
        <v>364</v>
      </c>
    </row>
    <row r="210" spans="1:14">
      <c r="A210" t="s">
        <v>151</v>
      </c>
      <c r="B210">
        <v>1128299</v>
      </c>
      <c r="C210" s="2">
        <v>44520</v>
      </c>
      <c r="D210" t="s">
        <v>28</v>
      </c>
      <c r="E210" t="s">
        <v>169</v>
      </c>
      <c r="F210" t="s">
        <v>170</v>
      </c>
      <c r="G210" t="s">
        <v>27</v>
      </c>
      <c r="H210" s="3">
        <v>0.55000000000000004</v>
      </c>
      <c r="I210">
        <v>8750</v>
      </c>
      <c r="J210" s="4">
        <v>4812.5</v>
      </c>
      <c r="K210" s="4">
        <v>1443.7500000000002</v>
      </c>
      <c r="L210" s="5">
        <v>0.30000000000000004</v>
      </c>
      <c r="M210" t="s">
        <v>134</v>
      </c>
      <c r="N210" t="s">
        <v>364</v>
      </c>
    </row>
    <row r="211" spans="1:14">
      <c r="A211" t="s">
        <v>151</v>
      </c>
      <c r="B211">
        <v>1128299</v>
      </c>
      <c r="C211" s="2">
        <v>44520</v>
      </c>
      <c r="D211" t="s">
        <v>28</v>
      </c>
      <c r="E211" t="s">
        <v>169</v>
      </c>
      <c r="F211" t="s">
        <v>170</v>
      </c>
      <c r="G211" t="s">
        <v>145</v>
      </c>
      <c r="H211" s="3">
        <v>0.60000000000000009</v>
      </c>
      <c r="I211">
        <v>8750</v>
      </c>
      <c r="J211" s="4">
        <v>5250.0000000000009</v>
      </c>
      <c r="K211" s="4">
        <v>787.50000000000011</v>
      </c>
      <c r="L211" s="5">
        <v>0.15</v>
      </c>
      <c r="M211" t="s">
        <v>134</v>
      </c>
      <c r="N211" t="s">
        <v>364</v>
      </c>
    </row>
    <row r="212" spans="1:14">
      <c r="A212" t="s">
        <v>151</v>
      </c>
      <c r="B212">
        <v>1128299</v>
      </c>
      <c r="C212" s="2">
        <v>44520</v>
      </c>
      <c r="D212" t="s">
        <v>28</v>
      </c>
      <c r="E212" t="s">
        <v>169</v>
      </c>
      <c r="F212" t="s">
        <v>170</v>
      </c>
      <c r="G212" t="s">
        <v>146</v>
      </c>
      <c r="H212" s="3">
        <v>0.55000000000000004</v>
      </c>
      <c r="I212">
        <v>7250</v>
      </c>
      <c r="J212" s="4">
        <v>3987.5000000000005</v>
      </c>
      <c r="K212" s="4">
        <v>1196.2500000000002</v>
      </c>
      <c r="L212" s="5">
        <v>0.30000000000000004</v>
      </c>
      <c r="M212" t="s">
        <v>134</v>
      </c>
      <c r="N212" t="s">
        <v>364</v>
      </c>
    </row>
    <row r="213" spans="1:14">
      <c r="A213" t="s">
        <v>151</v>
      </c>
      <c r="B213">
        <v>1128299</v>
      </c>
      <c r="C213" s="2">
        <v>44520</v>
      </c>
      <c r="D213" t="s">
        <v>28</v>
      </c>
      <c r="E213" t="s">
        <v>169</v>
      </c>
      <c r="F213" t="s">
        <v>170</v>
      </c>
      <c r="G213" t="s">
        <v>148</v>
      </c>
      <c r="H213" s="3">
        <v>0.55000000000000004</v>
      </c>
      <c r="I213">
        <v>7000</v>
      </c>
      <c r="J213" s="4">
        <v>3850.0000000000005</v>
      </c>
      <c r="K213" s="4">
        <v>962.5</v>
      </c>
      <c r="L213" s="5">
        <v>0.24999999999999997</v>
      </c>
      <c r="M213" t="s">
        <v>134</v>
      </c>
      <c r="N213" t="s">
        <v>364</v>
      </c>
    </row>
    <row r="214" spans="1:14">
      <c r="A214" t="s">
        <v>151</v>
      </c>
      <c r="B214">
        <v>1128299</v>
      </c>
      <c r="C214" s="2">
        <v>44520</v>
      </c>
      <c r="D214" t="s">
        <v>28</v>
      </c>
      <c r="E214" t="s">
        <v>169</v>
      </c>
      <c r="F214" t="s">
        <v>170</v>
      </c>
      <c r="G214" t="s">
        <v>147</v>
      </c>
      <c r="H214" s="3">
        <v>0.65</v>
      </c>
      <c r="I214">
        <v>6500</v>
      </c>
      <c r="J214" s="4">
        <v>4225</v>
      </c>
      <c r="K214" s="4">
        <v>1901.2500000000002</v>
      </c>
      <c r="L214" s="5">
        <v>0.45000000000000007</v>
      </c>
      <c r="M214" t="s">
        <v>134</v>
      </c>
      <c r="N214" t="s">
        <v>364</v>
      </c>
    </row>
    <row r="215" spans="1:14">
      <c r="A215" t="s">
        <v>151</v>
      </c>
      <c r="B215">
        <v>1128299</v>
      </c>
      <c r="C215" s="2">
        <v>44520</v>
      </c>
      <c r="D215" t="s">
        <v>28</v>
      </c>
      <c r="E215" t="s">
        <v>169</v>
      </c>
      <c r="F215" t="s">
        <v>170</v>
      </c>
      <c r="G215" t="s">
        <v>144</v>
      </c>
      <c r="H215" s="3">
        <v>0.70000000000000007</v>
      </c>
      <c r="I215">
        <v>7750</v>
      </c>
      <c r="J215" s="4">
        <v>5425.0000000000009</v>
      </c>
      <c r="K215" s="4">
        <v>542.50000000000011</v>
      </c>
      <c r="L215" s="5">
        <v>0.1</v>
      </c>
      <c r="M215" t="s">
        <v>134</v>
      </c>
      <c r="N215" t="s">
        <v>364</v>
      </c>
    </row>
    <row r="216" spans="1:14">
      <c r="A216" t="s">
        <v>151</v>
      </c>
      <c r="B216">
        <v>1128299</v>
      </c>
      <c r="C216" s="2">
        <v>44549</v>
      </c>
      <c r="D216" t="s">
        <v>28</v>
      </c>
      <c r="E216" t="s">
        <v>169</v>
      </c>
      <c r="F216" t="s">
        <v>170</v>
      </c>
      <c r="G216" t="s">
        <v>27</v>
      </c>
      <c r="H216" s="3">
        <v>0.55000000000000004</v>
      </c>
      <c r="I216">
        <v>9750</v>
      </c>
      <c r="J216" s="4">
        <v>5362.5</v>
      </c>
      <c r="K216" s="4">
        <v>1608.7500000000002</v>
      </c>
      <c r="L216" s="5">
        <v>0.30000000000000004</v>
      </c>
      <c r="M216" t="s">
        <v>23</v>
      </c>
      <c r="N216" t="s">
        <v>364</v>
      </c>
    </row>
    <row r="217" spans="1:14">
      <c r="A217" t="s">
        <v>151</v>
      </c>
      <c r="B217">
        <v>1128299</v>
      </c>
      <c r="C217" s="2">
        <v>44549</v>
      </c>
      <c r="D217" t="s">
        <v>28</v>
      </c>
      <c r="E217" t="s">
        <v>169</v>
      </c>
      <c r="F217" t="s">
        <v>170</v>
      </c>
      <c r="G217" t="s">
        <v>145</v>
      </c>
      <c r="H217" s="3">
        <v>0.60000000000000009</v>
      </c>
      <c r="I217">
        <v>9750</v>
      </c>
      <c r="J217" s="4">
        <v>5850.0000000000009</v>
      </c>
      <c r="K217" s="4">
        <v>877.50000000000011</v>
      </c>
      <c r="L217" s="5">
        <v>0.15</v>
      </c>
      <c r="M217" t="s">
        <v>23</v>
      </c>
      <c r="N217" t="s">
        <v>364</v>
      </c>
    </row>
    <row r="218" spans="1:14">
      <c r="A218" t="s">
        <v>151</v>
      </c>
      <c r="B218">
        <v>1128299</v>
      </c>
      <c r="C218" s="2">
        <v>44549</v>
      </c>
      <c r="D218" t="s">
        <v>28</v>
      </c>
      <c r="E218" t="s">
        <v>169</v>
      </c>
      <c r="F218" t="s">
        <v>170</v>
      </c>
      <c r="G218" t="s">
        <v>146</v>
      </c>
      <c r="H218" s="3">
        <v>0.55000000000000004</v>
      </c>
      <c r="I218">
        <v>7750</v>
      </c>
      <c r="J218" s="4">
        <v>4262.5</v>
      </c>
      <c r="K218" s="4">
        <v>1278.7500000000002</v>
      </c>
      <c r="L218" s="5">
        <v>0.30000000000000004</v>
      </c>
      <c r="M218" t="s">
        <v>23</v>
      </c>
      <c r="N218" t="s">
        <v>364</v>
      </c>
    </row>
    <row r="219" spans="1:14">
      <c r="A219" t="s">
        <v>151</v>
      </c>
      <c r="B219">
        <v>1128299</v>
      </c>
      <c r="C219" s="2">
        <v>44549</v>
      </c>
      <c r="D219" t="s">
        <v>28</v>
      </c>
      <c r="E219" t="s">
        <v>169</v>
      </c>
      <c r="F219" t="s">
        <v>170</v>
      </c>
      <c r="G219" t="s">
        <v>148</v>
      </c>
      <c r="H219" s="3">
        <v>0.55000000000000004</v>
      </c>
      <c r="I219">
        <v>7750</v>
      </c>
      <c r="J219" s="4">
        <v>4262.5</v>
      </c>
      <c r="K219" s="4">
        <v>1065.6249999999998</v>
      </c>
      <c r="L219" s="5">
        <v>0.24999999999999997</v>
      </c>
      <c r="M219" t="s">
        <v>23</v>
      </c>
      <c r="N219" t="s">
        <v>364</v>
      </c>
    </row>
    <row r="220" spans="1:14">
      <c r="A220" t="s">
        <v>151</v>
      </c>
      <c r="B220">
        <v>1128299</v>
      </c>
      <c r="C220" s="2">
        <v>44549</v>
      </c>
      <c r="D220" t="s">
        <v>28</v>
      </c>
      <c r="E220" t="s">
        <v>169</v>
      </c>
      <c r="F220" t="s">
        <v>170</v>
      </c>
      <c r="G220" t="s">
        <v>147</v>
      </c>
      <c r="H220" s="3">
        <v>0.65</v>
      </c>
      <c r="I220">
        <v>7000</v>
      </c>
      <c r="J220" s="4">
        <v>4550</v>
      </c>
      <c r="K220" s="4">
        <v>2047.5000000000002</v>
      </c>
      <c r="L220" s="5">
        <v>0.45000000000000007</v>
      </c>
      <c r="M220" t="s">
        <v>23</v>
      </c>
      <c r="N220" t="s">
        <v>364</v>
      </c>
    </row>
    <row r="221" spans="1:14">
      <c r="A221" t="s">
        <v>151</v>
      </c>
      <c r="B221">
        <v>1128299</v>
      </c>
      <c r="C221" s="2">
        <v>44549</v>
      </c>
      <c r="D221" t="s">
        <v>28</v>
      </c>
      <c r="E221" t="s">
        <v>169</v>
      </c>
      <c r="F221" t="s">
        <v>170</v>
      </c>
      <c r="G221" t="s">
        <v>144</v>
      </c>
      <c r="H221" s="3">
        <v>0.70000000000000007</v>
      </c>
      <c r="I221">
        <v>8000</v>
      </c>
      <c r="J221" s="4">
        <v>5600.0000000000009</v>
      </c>
      <c r="K221" s="4">
        <v>560.00000000000011</v>
      </c>
      <c r="L221" s="5">
        <v>0.1</v>
      </c>
      <c r="M221" t="s">
        <v>23</v>
      </c>
      <c r="N221" t="s">
        <v>364</v>
      </c>
    </row>
    <row r="222" spans="1:14">
      <c r="A222" t="s">
        <v>153</v>
      </c>
      <c r="B222">
        <v>1189833</v>
      </c>
      <c r="C222" s="2">
        <v>44211</v>
      </c>
      <c r="D222" t="s">
        <v>28</v>
      </c>
      <c r="E222" t="s">
        <v>169</v>
      </c>
      <c r="F222" t="s">
        <v>178</v>
      </c>
      <c r="G222" t="s">
        <v>27</v>
      </c>
      <c r="H222" s="3">
        <v>0.35</v>
      </c>
      <c r="I222">
        <v>7000</v>
      </c>
      <c r="J222" s="4">
        <v>2450</v>
      </c>
      <c r="K222" s="4">
        <v>980</v>
      </c>
      <c r="L222" s="5">
        <v>0.4</v>
      </c>
      <c r="M222" t="s">
        <v>125</v>
      </c>
      <c r="N222" t="s">
        <v>361</v>
      </c>
    </row>
    <row r="223" spans="1:14">
      <c r="A223" t="s">
        <v>153</v>
      </c>
      <c r="B223">
        <v>1189833</v>
      </c>
      <c r="C223" s="2">
        <v>44211</v>
      </c>
      <c r="D223" t="s">
        <v>28</v>
      </c>
      <c r="E223" t="s">
        <v>169</v>
      </c>
      <c r="F223" t="s">
        <v>178</v>
      </c>
      <c r="G223" t="s">
        <v>145</v>
      </c>
      <c r="H223" s="3">
        <v>0.45</v>
      </c>
      <c r="I223">
        <v>7000</v>
      </c>
      <c r="J223" s="4">
        <v>3150</v>
      </c>
      <c r="K223" s="4">
        <v>787.5</v>
      </c>
      <c r="L223" s="5">
        <v>0.25</v>
      </c>
      <c r="M223" t="s">
        <v>125</v>
      </c>
      <c r="N223" t="s">
        <v>361</v>
      </c>
    </row>
    <row r="224" spans="1:14">
      <c r="A224" t="s">
        <v>153</v>
      </c>
      <c r="B224">
        <v>1189833</v>
      </c>
      <c r="C224" s="2">
        <v>44211</v>
      </c>
      <c r="D224" t="s">
        <v>28</v>
      </c>
      <c r="E224" t="s">
        <v>169</v>
      </c>
      <c r="F224" t="s">
        <v>178</v>
      </c>
      <c r="G224" t="s">
        <v>146</v>
      </c>
      <c r="H224" s="3">
        <v>0.45</v>
      </c>
      <c r="I224">
        <v>7000</v>
      </c>
      <c r="J224" s="4">
        <v>3150</v>
      </c>
      <c r="K224" s="4">
        <v>1260</v>
      </c>
      <c r="L224" s="5">
        <v>0.4</v>
      </c>
      <c r="M224" t="s">
        <v>125</v>
      </c>
      <c r="N224" t="s">
        <v>361</v>
      </c>
    </row>
    <row r="225" spans="1:14">
      <c r="A225" t="s">
        <v>153</v>
      </c>
      <c r="B225">
        <v>1189833</v>
      </c>
      <c r="C225" s="2">
        <v>44211</v>
      </c>
      <c r="D225" t="s">
        <v>28</v>
      </c>
      <c r="E225" t="s">
        <v>169</v>
      </c>
      <c r="F225" t="s">
        <v>178</v>
      </c>
      <c r="G225" t="s">
        <v>148</v>
      </c>
      <c r="H225" s="3">
        <v>0.45</v>
      </c>
      <c r="I225">
        <v>5500</v>
      </c>
      <c r="J225" s="4">
        <v>2475</v>
      </c>
      <c r="K225" s="4">
        <v>866.25</v>
      </c>
      <c r="L225" s="5">
        <v>0.35</v>
      </c>
      <c r="M225" t="s">
        <v>125</v>
      </c>
      <c r="N225" t="s">
        <v>361</v>
      </c>
    </row>
    <row r="226" spans="1:14">
      <c r="A226" t="s">
        <v>153</v>
      </c>
      <c r="B226">
        <v>1189833</v>
      </c>
      <c r="C226" s="2">
        <v>44211</v>
      </c>
      <c r="D226" t="s">
        <v>28</v>
      </c>
      <c r="E226" t="s">
        <v>169</v>
      </c>
      <c r="F226" t="s">
        <v>178</v>
      </c>
      <c r="G226" t="s">
        <v>147</v>
      </c>
      <c r="H226" s="3">
        <v>0.5</v>
      </c>
      <c r="I226">
        <v>5000</v>
      </c>
      <c r="J226" s="4">
        <v>2500</v>
      </c>
      <c r="K226" s="4">
        <v>1375</v>
      </c>
      <c r="L226" s="5">
        <v>0.55000000000000004</v>
      </c>
      <c r="M226" t="s">
        <v>125</v>
      </c>
      <c r="N226" t="s">
        <v>361</v>
      </c>
    </row>
    <row r="227" spans="1:14">
      <c r="A227" t="s">
        <v>153</v>
      </c>
      <c r="B227">
        <v>1189833</v>
      </c>
      <c r="C227" s="2">
        <v>44211</v>
      </c>
      <c r="D227" t="s">
        <v>28</v>
      </c>
      <c r="E227" t="s">
        <v>169</v>
      </c>
      <c r="F227" t="s">
        <v>178</v>
      </c>
      <c r="G227" t="s">
        <v>144</v>
      </c>
      <c r="H227" s="3">
        <v>0.45</v>
      </c>
      <c r="I227">
        <v>7000</v>
      </c>
      <c r="J227" s="4">
        <v>3150</v>
      </c>
      <c r="K227" s="4">
        <v>630</v>
      </c>
      <c r="L227" s="5">
        <v>0.2</v>
      </c>
      <c r="M227" t="s">
        <v>125</v>
      </c>
      <c r="N227" t="s">
        <v>361</v>
      </c>
    </row>
    <row r="228" spans="1:14">
      <c r="A228" t="s">
        <v>153</v>
      </c>
      <c r="B228">
        <v>1189833</v>
      </c>
      <c r="C228" s="2">
        <v>44242</v>
      </c>
      <c r="D228" t="s">
        <v>28</v>
      </c>
      <c r="E228" t="s">
        <v>169</v>
      </c>
      <c r="F228" t="s">
        <v>178</v>
      </c>
      <c r="G228" t="s">
        <v>27</v>
      </c>
      <c r="H228" s="3">
        <v>0.35</v>
      </c>
      <c r="I228">
        <v>7500</v>
      </c>
      <c r="J228" s="4">
        <v>2625</v>
      </c>
      <c r="K228" s="4">
        <v>1050</v>
      </c>
      <c r="L228" s="5">
        <v>0.4</v>
      </c>
      <c r="M228" t="s">
        <v>126</v>
      </c>
      <c r="N228" t="s">
        <v>361</v>
      </c>
    </row>
    <row r="229" spans="1:14">
      <c r="A229" t="s">
        <v>153</v>
      </c>
      <c r="B229">
        <v>1189833</v>
      </c>
      <c r="C229" s="2">
        <v>44242</v>
      </c>
      <c r="D229" t="s">
        <v>28</v>
      </c>
      <c r="E229" t="s">
        <v>169</v>
      </c>
      <c r="F229" t="s">
        <v>178</v>
      </c>
      <c r="G229" t="s">
        <v>145</v>
      </c>
      <c r="H229" s="3">
        <v>0.45</v>
      </c>
      <c r="I229">
        <v>6500</v>
      </c>
      <c r="J229" s="4">
        <v>2925</v>
      </c>
      <c r="K229" s="4">
        <v>731.25</v>
      </c>
      <c r="L229" s="5">
        <v>0.25</v>
      </c>
      <c r="M229" t="s">
        <v>126</v>
      </c>
      <c r="N229" t="s">
        <v>361</v>
      </c>
    </row>
    <row r="230" spans="1:14">
      <c r="A230" t="s">
        <v>153</v>
      </c>
      <c r="B230">
        <v>1189833</v>
      </c>
      <c r="C230" s="2">
        <v>44242</v>
      </c>
      <c r="D230" t="s">
        <v>28</v>
      </c>
      <c r="E230" t="s">
        <v>169</v>
      </c>
      <c r="F230" t="s">
        <v>178</v>
      </c>
      <c r="G230" t="s">
        <v>146</v>
      </c>
      <c r="H230" s="3">
        <v>0.45</v>
      </c>
      <c r="I230">
        <v>6750</v>
      </c>
      <c r="J230" s="4">
        <v>3037.5</v>
      </c>
      <c r="K230" s="4">
        <v>1215</v>
      </c>
      <c r="L230" s="5">
        <v>0.4</v>
      </c>
      <c r="M230" t="s">
        <v>126</v>
      </c>
      <c r="N230" t="s">
        <v>361</v>
      </c>
    </row>
    <row r="231" spans="1:14">
      <c r="A231" t="s">
        <v>153</v>
      </c>
      <c r="B231">
        <v>1189833</v>
      </c>
      <c r="C231" s="2">
        <v>44242</v>
      </c>
      <c r="D231" t="s">
        <v>28</v>
      </c>
      <c r="E231" t="s">
        <v>169</v>
      </c>
      <c r="F231" t="s">
        <v>178</v>
      </c>
      <c r="G231" t="s">
        <v>148</v>
      </c>
      <c r="H231" s="3">
        <v>0.45</v>
      </c>
      <c r="I231">
        <v>5250</v>
      </c>
      <c r="J231" s="4">
        <v>2362.5</v>
      </c>
      <c r="K231" s="4">
        <v>826.875</v>
      </c>
      <c r="L231" s="5">
        <v>0.35</v>
      </c>
      <c r="M231" t="s">
        <v>126</v>
      </c>
      <c r="N231" t="s">
        <v>361</v>
      </c>
    </row>
    <row r="232" spans="1:14">
      <c r="A232" t="s">
        <v>153</v>
      </c>
      <c r="B232">
        <v>1189833</v>
      </c>
      <c r="C232" s="2">
        <v>44242</v>
      </c>
      <c r="D232" t="s">
        <v>28</v>
      </c>
      <c r="E232" t="s">
        <v>169</v>
      </c>
      <c r="F232" t="s">
        <v>178</v>
      </c>
      <c r="G232" t="s">
        <v>147</v>
      </c>
      <c r="H232" s="3">
        <v>0.5</v>
      </c>
      <c r="I232">
        <v>4500</v>
      </c>
      <c r="J232" s="4">
        <v>2250</v>
      </c>
      <c r="K232" s="4">
        <v>1237.5</v>
      </c>
      <c r="L232" s="5">
        <v>0.55000000000000004</v>
      </c>
      <c r="M232" t="s">
        <v>126</v>
      </c>
      <c r="N232" t="s">
        <v>361</v>
      </c>
    </row>
    <row r="233" spans="1:14">
      <c r="A233" t="s">
        <v>153</v>
      </c>
      <c r="B233">
        <v>1189833</v>
      </c>
      <c r="C233" s="2">
        <v>44242</v>
      </c>
      <c r="D233" t="s">
        <v>28</v>
      </c>
      <c r="E233" t="s">
        <v>169</v>
      </c>
      <c r="F233" t="s">
        <v>178</v>
      </c>
      <c r="G233" t="s">
        <v>144</v>
      </c>
      <c r="H233" s="3">
        <v>0.45</v>
      </c>
      <c r="I233">
        <v>6500</v>
      </c>
      <c r="J233" s="4">
        <v>2925</v>
      </c>
      <c r="K233" s="4">
        <v>585</v>
      </c>
      <c r="L233" s="5">
        <v>0.2</v>
      </c>
      <c r="M233" t="s">
        <v>126</v>
      </c>
      <c r="N233" t="s">
        <v>361</v>
      </c>
    </row>
    <row r="234" spans="1:14">
      <c r="A234" t="s">
        <v>153</v>
      </c>
      <c r="B234">
        <v>1189833</v>
      </c>
      <c r="C234" s="2">
        <v>44269</v>
      </c>
      <c r="D234" t="s">
        <v>28</v>
      </c>
      <c r="E234" t="s">
        <v>169</v>
      </c>
      <c r="F234" t="s">
        <v>178</v>
      </c>
      <c r="G234" t="s">
        <v>27</v>
      </c>
      <c r="H234" s="3">
        <v>0.35</v>
      </c>
      <c r="I234">
        <v>8000</v>
      </c>
      <c r="J234" s="4">
        <v>2800</v>
      </c>
      <c r="K234" s="4">
        <v>1120</v>
      </c>
      <c r="L234" s="5">
        <v>0.4</v>
      </c>
      <c r="M234" t="s">
        <v>24</v>
      </c>
      <c r="N234" t="s">
        <v>361</v>
      </c>
    </row>
    <row r="235" spans="1:14">
      <c r="A235" t="s">
        <v>153</v>
      </c>
      <c r="B235">
        <v>1189833</v>
      </c>
      <c r="C235" s="2">
        <v>44269</v>
      </c>
      <c r="D235" t="s">
        <v>28</v>
      </c>
      <c r="E235" t="s">
        <v>169</v>
      </c>
      <c r="F235" t="s">
        <v>178</v>
      </c>
      <c r="G235" t="s">
        <v>145</v>
      </c>
      <c r="H235" s="3">
        <v>0.45</v>
      </c>
      <c r="I235">
        <v>6500</v>
      </c>
      <c r="J235" s="4">
        <v>2925</v>
      </c>
      <c r="K235" s="4">
        <v>731.25</v>
      </c>
      <c r="L235" s="5">
        <v>0.25</v>
      </c>
      <c r="M235" t="s">
        <v>24</v>
      </c>
      <c r="N235" t="s">
        <v>361</v>
      </c>
    </row>
    <row r="236" spans="1:14">
      <c r="A236" t="s">
        <v>153</v>
      </c>
      <c r="B236">
        <v>1189833</v>
      </c>
      <c r="C236" s="2">
        <v>44269</v>
      </c>
      <c r="D236" t="s">
        <v>28</v>
      </c>
      <c r="E236" t="s">
        <v>169</v>
      </c>
      <c r="F236" t="s">
        <v>178</v>
      </c>
      <c r="G236" t="s">
        <v>146</v>
      </c>
      <c r="H236" s="3">
        <v>0.45</v>
      </c>
      <c r="I236">
        <v>6500</v>
      </c>
      <c r="J236" s="4">
        <v>2925</v>
      </c>
      <c r="K236" s="4">
        <v>1170</v>
      </c>
      <c r="L236" s="5">
        <v>0.4</v>
      </c>
      <c r="M236" t="s">
        <v>24</v>
      </c>
      <c r="N236" t="s">
        <v>361</v>
      </c>
    </row>
    <row r="237" spans="1:14">
      <c r="A237" t="s">
        <v>153</v>
      </c>
      <c r="B237">
        <v>1189833</v>
      </c>
      <c r="C237" s="2">
        <v>44269</v>
      </c>
      <c r="D237" t="s">
        <v>28</v>
      </c>
      <c r="E237" t="s">
        <v>169</v>
      </c>
      <c r="F237" t="s">
        <v>178</v>
      </c>
      <c r="G237" t="s">
        <v>148</v>
      </c>
      <c r="H237" s="3">
        <v>0.45</v>
      </c>
      <c r="I237">
        <v>5500</v>
      </c>
      <c r="J237" s="4">
        <v>2475</v>
      </c>
      <c r="K237" s="4">
        <v>866.25</v>
      </c>
      <c r="L237" s="5">
        <v>0.35</v>
      </c>
      <c r="M237" t="s">
        <v>24</v>
      </c>
      <c r="N237" t="s">
        <v>361</v>
      </c>
    </row>
    <row r="238" spans="1:14">
      <c r="A238" t="s">
        <v>153</v>
      </c>
      <c r="B238">
        <v>1189833</v>
      </c>
      <c r="C238" s="2">
        <v>44269</v>
      </c>
      <c r="D238" t="s">
        <v>28</v>
      </c>
      <c r="E238" t="s">
        <v>169</v>
      </c>
      <c r="F238" t="s">
        <v>178</v>
      </c>
      <c r="G238" t="s">
        <v>147</v>
      </c>
      <c r="H238" s="3">
        <v>0.5</v>
      </c>
      <c r="I238">
        <v>4250</v>
      </c>
      <c r="J238" s="4">
        <v>2125</v>
      </c>
      <c r="K238" s="4">
        <v>1168.75</v>
      </c>
      <c r="L238" s="5">
        <v>0.55000000000000004</v>
      </c>
      <c r="M238" t="s">
        <v>24</v>
      </c>
      <c r="N238" t="s">
        <v>361</v>
      </c>
    </row>
    <row r="239" spans="1:14">
      <c r="A239" t="s">
        <v>153</v>
      </c>
      <c r="B239">
        <v>1189833</v>
      </c>
      <c r="C239" s="2">
        <v>44269</v>
      </c>
      <c r="D239" t="s">
        <v>28</v>
      </c>
      <c r="E239" t="s">
        <v>169</v>
      </c>
      <c r="F239" t="s">
        <v>178</v>
      </c>
      <c r="G239" t="s">
        <v>144</v>
      </c>
      <c r="H239" s="3">
        <v>0.45</v>
      </c>
      <c r="I239">
        <v>6250</v>
      </c>
      <c r="J239" s="4">
        <v>2812.5</v>
      </c>
      <c r="K239" s="4">
        <v>562.5</v>
      </c>
      <c r="L239" s="5">
        <v>0.2</v>
      </c>
      <c r="M239" t="s">
        <v>24</v>
      </c>
      <c r="N239" t="s">
        <v>361</v>
      </c>
    </row>
    <row r="240" spans="1:14">
      <c r="A240" t="s">
        <v>153</v>
      </c>
      <c r="B240">
        <v>1189833</v>
      </c>
      <c r="C240" s="2">
        <v>44301</v>
      </c>
      <c r="D240" t="s">
        <v>28</v>
      </c>
      <c r="E240" t="s">
        <v>169</v>
      </c>
      <c r="F240" t="s">
        <v>178</v>
      </c>
      <c r="G240" t="s">
        <v>27</v>
      </c>
      <c r="H240" s="3">
        <v>0.45</v>
      </c>
      <c r="I240">
        <v>8000</v>
      </c>
      <c r="J240" s="4">
        <v>3600</v>
      </c>
      <c r="K240" s="4">
        <v>1440</v>
      </c>
      <c r="L240" s="5">
        <v>0.4</v>
      </c>
      <c r="M240" t="s">
        <v>127</v>
      </c>
      <c r="N240" t="s">
        <v>362</v>
      </c>
    </row>
    <row r="241" spans="1:14">
      <c r="A241" t="s">
        <v>153</v>
      </c>
      <c r="B241">
        <v>1189833</v>
      </c>
      <c r="C241" s="2">
        <v>44301</v>
      </c>
      <c r="D241" t="s">
        <v>28</v>
      </c>
      <c r="E241" t="s">
        <v>169</v>
      </c>
      <c r="F241" t="s">
        <v>178</v>
      </c>
      <c r="G241" t="s">
        <v>145</v>
      </c>
      <c r="H241" s="3">
        <v>0.5</v>
      </c>
      <c r="I241">
        <v>6000</v>
      </c>
      <c r="J241" s="4">
        <v>3000</v>
      </c>
      <c r="K241" s="4">
        <v>750</v>
      </c>
      <c r="L241" s="5">
        <v>0.25</v>
      </c>
      <c r="M241" t="s">
        <v>127</v>
      </c>
      <c r="N241" t="s">
        <v>362</v>
      </c>
    </row>
    <row r="242" spans="1:14">
      <c r="A242" t="s">
        <v>153</v>
      </c>
      <c r="B242">
        <v>1189833</v>
      </c>
      <c r="C242" s="2">
        <v>44301</v>
      </c>
      <c r="D242" t="s">
        <v>28</v>
      </c>
      <c r="E242" t="s">
        <v>169</v>
      </c>
      <c r="F242" t="s">
        <v>178</v>
      </c>
      <c r="G242" t="s">
        <v>146</v>
      </c>
      <c r="H242" s="3">
        <v>0.5</v>
      </c>
      <c r="I242">
        <v>6250</v>
      </c>
      <c r="J242" s="4">
        <v>3125</v>
      </c>
      <c r="K242" s="4">
        <v>1250</v>
      </c>
      <c r="L242" s="5">
        <v>0.4</v>
      </c>
      <c r="M242" t="s">
        <v>127</v>
      </c>
      <c r="N242" t="s">
        <v>362</v>
      </c>
    </row>
    <row r="243" spans="1:14">
      <c r="A243" t="s">
        <v>153</v>
      </c>
      <c r="B243">
        <v>1189833</v>
      </c>
      <c r="C243" s="2">
        <v>44301</v>
      </c>
      <c r="D243" t="s">
        <v>28</v>
      </c>
      <c r="E243" t="s">
        <v>169</v>
      </c>
      <c r="F243" t="s">
        <v>178</v>
      </c>
      <c r="G243" t="s">
        <v>148</v>
      </c>
      <c r="H243" s="3">
        <v>0.45</v>
      </c>
      <c r="I243">
        <v>5250</v>
      </c>
      <c r="J243" s="4">
        <v>2362.5</v>
      </c>
      <c r="K243" s="4">
        <v>826.875</v>
      </c>
      <c r="L243" s="5">
        <v>0.35</v>
      </c>
      <c r="M243" t="s">
        <v>127</v>
      </c>
      <c r="N243" t="s">
        <v>362</v>
      </c>
    </row>
    <row r="244" spans="1:14">
      <c r="A244" t="s">
        <v>153</v>
      </c>
      <c r="B244">
        <v>1189833</v>
      </c>
      <c r="C244" s="2">
        <v>44301</v>
      </c>
      <c r="D244" t="s">
        <v>28</v>
      </c>
      <c r="E244" t="s">
        <v>169</v>
      </c>
      <c r="F244" t="s">
        <v>178</v>
      </c>
      <c r="G244" t="s">
        <v>147</v>
      </c>
      <c r="H244" s="3">
        <v>0.5</v>
      </c>
      <c r="I244">
        <v>4250</v>
      </c>
      <c r="J244" s="4">
        <v>2125</v>
      </c>
      <c r="K244" s="4">
        <v>1168.75</v>
      </c>
      <c r="L244" s="5">
        <v>0.55000000000000004</v>
      </c>
      <c r="M244" t="s">
        <v>127</v>
      </c>
      <c r="N244" t="s">
        <v>362</v>
      </c>
    </row>
    <row r="245" spans="1:14">
      <c r="A245" t="s">
        <v>153</v>
      </c>
      <c r="B245">
        <v>1189833</v>
      </c>
      <c r="C245" s="2">
        <v>44301</v>
      </c>
      <c r="D245" t="s">
        <v>28</v>
      </c>
      <c r="E245" t="s">
        <v>169</v>
      </c>
      <c r="F245" t="s">
        <v>178</v>
      </c>
      <c r="G245" t="s">
        <v>144</v>
      </c>
      <c r="H245" s="3">
        <v>0.65</v>
      </c>
      <c r="I245">
        <v>6000</v>
      </c>
      <c r="J245" s="4">
        <v>3900</v>
      </c>
      <c r="K245" s="4">
        <v>780</v>
      </c>
      <c r="L245" s="5">
        <v>0.2</v>
      </c>
      <c r="M245" t="s">
        <v>127</v>
      </c>
      <c r="N245" t="s">
        <v>362</v>
      </c>
    </row>
    <row r="246" spans="1:14">
      <c r="A246" t="s">
        <v>153</v>
      </c>
      <c r="B246">
        <v>1189833</v>
      </c>
      <c r="C246" s="2">
        <v>44332</v>
      </c>
      <c r="D246" t="s">
        <v>28</v>
      </c>
      <c r="E246" t="s">
        <v>169</v>
      </c>
      <c r="F246" t="s">
        <v>178</v>
      </c>
      <c r="G246" t="s">
        <v>27</v>
      </c>
      <c r="H246" s="3">
        <v>0.45</v>
      </c>
      <c r="I246">
        <v>8000</v>
      </c>
      <c r="J246" s="4">
        <v>3600</v>
      </c>
      <c r="K246" s="4">
        <v>1440</v>
      </c>
      <c r="L246" s="5">
        <v>0.4</v>
      </c>
      <c r="M246" t="s">
        <v>128</v>
      </c>
      <c r="N246" t="s">
        <v>362</v>
      </c>
    </row>
    <row r="247" spans="1:14">
      <c r="A247" t="s">
        <v>153</v>
      </c>
      <c r="B247">
        <v>1189833</v>
      </c>
      <c r="C247" s="2">
        <v>44332</v>
      </c>
      <c r="D247" t="s">
        <v>28</v>
      </c>
      <c r="E247" t="s">
        <v>169</v>
      </c>
      <c r="F247" t="s">
        <v>178</v>
      </c>
      <c r="G247" t="s">
        <v>145</v>
      </c>
      <c r="H247" s="3">
        <v>0.5</v>
      </c>
      <c r="I247">
        <v>6500</v>
      </c>
      <c r="J247" s="4">
        <v>3250</v>
      </c>
      <c r="K247" s="4">
        <v>812.5</v>
      </c>
      <c r="L247" s="5">
        <v>0.25</v>
      </c>
      <c r="M247" t="s">
        <v>128</v>
      </c>
      <c r="N247" t="s">
        <v>362</v>
      </c>
    </row>
    <row r="248" spans="1:14">
      <c r="A248" t="s">
        <v>153</v>
      </c>
      <c r="B248">
        <v>1189833</v>
      </c>
      <c r="C248" s="2">
        <v>44332</v>
      </c>
      <c r="D248" t="s">
        <v>28</v>
      </c>
      <c r="E248" t="s">
        <v>169</v>
      </c>
      <c r="F248" t="s">
        <v>178</v>
      </c>
      <c r="G248" t="s">
        <v>146</v>
      </c>
      <c r="H248" s="3">
        <v>0.5</v>
      </c>
      <c r="I248">
        <v>6500</v>
      </c>
      <c r="J248" s="4">
        <v>3250</v>
      </c>
      <c r="K248" s="4">
        <v>1300</v>
      </c>
      <c r="L248" s="5">
        <v>0.4</v>
      </c>
      <c r="M248" t="s">
        <v>128</v>
      </c>
      <c r="N248" t="s">
        <v>362</v>
      </c>
    </row>
    <row r="249" spans="1:14">
      <c r="A249" t="s">
        <v>153</v>
      </c>
      <c r="B249">
        <v>1189833</v>
      </c>
      <c r="C249" s="2">
        <v>44332</v>
      </c>
      <c r="D249" t="s">
        <v>28</v>
      </c>
      <c r="E249" t="s">
        <v>169</v>
      </c>
      <c r="F249" t="s">
        <v>178</v>
      </c>
      <c r="G249" t="s">
        <v>148</v>
      </c>
      <c r="H249" s="3">
        <v>0.45</v>
      </c>
      <c r="I249">
        <v>5500</v>
      </c>
      <c r="J249" s="4">
        <v>2475</v>
      </c>
      <c r="K249" s="4">
        <v>866.25</v>
      </c>
      <c r="L249" s="5">
        <v>0.35</v>
      </c>
      <c r="M249" t="s">
        <v>128</v>
      </c>
      <c r="N249" t="s">
        <v>362</v>
      </c>
    </row>
    <row r="250" spans="1:14">
      <c r="A250" t="s">
        <v>153</v>
      </c>
      <c r="B250">
        <v>1189833</v>
      </c>
      <c r="C250" s="2">
        <v>44332</v>
      </c>
      <c r="D250" t="s">
        <v>28</v>
      </c>
      <c r="E250" t="s">
        <v>169</v>
      </c>
      <c r="F250" t="s">
        <v>178</v>
      </c>
      <c r="G250" t="s">
        <v>147</v>
      </c>
      <c r="H250" s="3">
        <v>0.5</v>
      </c>
      <c r="I250">
        <v>4500</v>
      </c>
      <c r="J250" s="4">
        <v>2250</v>
      </c>
      <c r="K250" s="4">
        <v>1237.5</v>
      </c>
      <c r="L250" s="5">
        <v>0.55000000000000004</v>
      </c>
      <c r="M250" t="s">
        <v>128</v>
      </c>
      <c r="N250" t="s">
        <v>362</v>
      </c>
    </row>
    <row r="251" spans="1:14">
      <c r="A251" t="s">
        <v>153</v>
      </c>
      <c r="B251">
        <v>1189833</v>
      </c>
      <c r="C251" s="2">
        <v>44332</v>
      </c>
      <c r="D251" t="s">
        <v>28</v>
      </c>
      <c r="E251" t="s">
        <v>169</v>
      </c>
      <c r="F251" t="s">
        <v>178</v>
      </c>
      <c r="G251" t="s">
        <v>144</v>
      </c>
      <c r="H251" s="3">
        <v>0.65</v>
      </c>
      <c r="I251">
        <v>6250</v>
      </c>
      <c r="J251" s="4">
        <v>4062.5</v>
      </c>
      <c r="K251" s="4">
        <v>812.5</v>
      </c>
      <c r="L251" s="5">
        <v>0.2</v>
      </c>
      <c r="M251" t="s">
        <v>128</v>
      </c>
      <c r="N251" t="s">
        <v>362</v>
      </c>
    </row>
    <row r="252" spans="1:14">
      <c r="A252" t="s">
        <v>153</v>
      </c>
      <c r="B252">
        <v>1189833</v>
      </c>
      <c r="C252" s="2">
        <v>44362</v>
      </c>
      <c r="D252" t="s">
        <v>28</v>
      </c>
      <c r="E252" t="s">
        <v>169</v>
      </c>
      <c r="F252" t="s">
        <v>178</v>
      </c>
      <c r="G252" t="s">
        <v>27</v>
      </c>
      <c r="H252" s="3">
        <v>0.45</v>
      </c>
      <c r="I252">
        <v>9000</v>
      </c>
      <c r="J252" s="4">
        <v>4050</v>
      </c>
      <c r="K252" s="4">
        <v>1620</v>
      </c>
      <c r="L252" s="5">
        <v>0.4</v>
      </c>
      <c r="M252" t="s">
        <v>129</v>
      </c>
      <c r="N252" t="s">
        <v>362</v>
      </c>
    </row>
    <row r="253" spans="1:14">
      <c r="A253" t="s">
        <v>153</v>
      </c>
      <c r="B253">
        <v>1189833</v>
      </c>
      <c r="C253" s="2">
        <v>44362</v>
      </c>
      <c r="D253" t="s">
        <v>28</v>
      </c>
      <c r="E253" t="s">
        <v>169</v>
      </c>
      <c r="F253" t="s">
        <v>178</v>
      </c>
      <c r="G253" t="s">
        <v>145</v>
      </c>
      <c r="H253" s="3">
        <v>0.5</v>
      </c>
      <c r="I253">
        <v>7500</v>
      </c>
      <c r="J253" s="4">
        <v>3750</v>
      </c>
      <c r="K253" s="4">
        <v>937.5</v>
      </c>
      <c r="L253" s="5">
        <v>0.25</v>
      </c>
      <c r="M253" t="s">
        <v>129</v>
      </c>
      <c r="N253" t="s">
        <v>362</v>
      </c>
    </row>
    <row r="254" spans="1:14">
      <c r="A254" t="s">
        <v>153</v>
      </c>
      <c r="B254">
        <v>1189833</v>
      </c>
      <c r="C254" s="2">
        <v>44362</v>
      </c>
      <c r="D254" t="s">
        <v>28</v>
      </c>
      <c r="E254" t="s">
        <v>169</v>
      </c>
      <c r="F254" t="s">
        <v>178</v>
      </c>
      <c r="G254" t="s">
        <v>146</v>
      </c>
      <c r="H254" s="3">
        <v>0.5</v>
      </c>
      <c r="I254">
        <v>7500</v>
      </c>
      <c r="J254" s="4">
        <v>3750</v>
      </c>
      <c r="K254" s="4">
        <v>1500</v>
      </c>
      <c r="L254" s="5">
        <v>0.4</v>
      </c>
      <c r="M254" t="s">
        <v>129</v>
      </c>
      <c r="N254" t="s">
        <v>362</v>
      </c>
    </row>
    <row r="255" spans="1:14">
      <c r="A255" t="s">
        <v>153</v>
      </c>
      <c r="B255">
        <v>1189833</v>
      </c>
      <c r="C255" s="2">
        <v>44362</v>
      </c>
      <c r="D255" t="s">
        <v>28</v>
      </c>
      <c r="E255" t="s">
        <v>169</v>
      </c>
      <c r="F255" t="s">
        <v>178</v>
      </c>
      <c r="G255" t="s">
        <v>148</v>
      </c>
      <c r="H255" s="3">
        <v>0.45</v>
      </c>
      <c r="I255">
        <v>6250</v>
      </c>
      <c r="J255" s="4">
        <v>2812.5</v>
      </c>
      <c r="K255" s="4">
        <v>984.37499999999989</v>
      </c>
      <c r="L255" s="5">
        <v>0.35</v>
      </c>
      <c r="M255" t="s">
        <v>129</v>
      </c>
      <c r="N255" t="s">
        <v>362</v>
      </c>
    </row>
    <row r="256" spans="1:14">
      <c r="A256" t="s">
        <v>153</v>
      </c>
      <c r="B256">
        <v>1189833</v>
      </c>
      <c r="C256" s="2">
        <v>44362</v>
      </c>
      <c r="D256" t="s">
        <v>28</v>
      </c>
      <c r="E256" t="s">
        <v>169</v>
      </c>
      <c r="F256" t="s">
        <v>178</v>
      </c>
      <c r="G256" t="s">
        <v>147</v>
      </c>
      <c r="H256" s="3">
        <v>0.5</v>
      </c>
      <c r="I256">
        <v>5000</v>
      </c>
      <c r="J256" s="4">
        <v>2500</v>
      </c>
      <c r="K256" s="4">
        <v>1375</v>
      </c>
      <c r="L256" s="5">
        <v>0.55000000000000004</v>
      </c>
      <c r="M256" t="s">
        <v>129</v>
      </c>
      <c r="N256" t="s">
        <v>362</v>
      </c>
    </row>
    <row r="257" spans="1:14">
      <c r="A257" t="s">
        <v>153</v>
      </c>
      <c r="B257">
        <v>1189833</v>
      </c>
      <c r="C257" s="2">
        <v>44362</v>
      </c>
      <c r="D257" t="s">
        <v>28</v>
      </c>
      <c r="E257" t="s">
        <v>169</v>
      </c>
      <c r="F257" t="s">
        <v>178</v>
      </c>
      <c r="G257" t="s">
        <v>144</v>
      </c>
      <c r="H257" s="3">
        <v>0.65</v>
      </c>
      <c r="I257">
        <v>8000</v>
      </c>
      <c r="J257" s="4">
        <v>5200</v>
      </c>
      <c r="K257" s="4">
        <v>1040</v>
      </c>
      <c r="L257" s="5">
        <v>0.2</v>
      </c>
      <c r="M257" t="s">
        <v>129</v>
      </c>
      <c r="N257" t="s">
        <v>362</v>
      </c>
    </row>
    <row r="258" spans="1:14">
      <c r="A258" t="s">
        <v>153</v>
      </c>
      <c r="B258">
        <v>1189833</v>
      </c>
      <c r="C258" s="2">
        <v>44391</v>
      </c>
      <c r="D258" t="s">
        <v>28</v>
      </c>
      <c r="E258" t="s">
        <v>169</v>
      </c>
      <c r="F258" t="s">
        <v>178</v>
      </c>
      <c r="G258" t="s">
        <v>27</v>
      </c>
      <c r="H258" s="3">
        <v>0.45</v>
      </c>
      <c r="I258">
        <v>9500</v>
      </c>
      <c r="J258" s="4">
        <v>4275</v>
      </c>
      <c r="K258" s="4">
        <v>1710</v>
      </c>
      <c r="L258" s="5">
        <v>0.4</v>
      </c>
      <c r="M258" t="s">
        <v>130</v>
      </c>
      <c r="N258" t="s">
        <v>363</v>
      </c>
    </row>
    <row r="259" spans="1:14">
      <c r="A259" t="s">
        <v>153</v>
      </c>
      <c r="B259">
        <v>1189833</v>
      </c>
      <c r="C259" s="2">
        <v>44391</v>
      </c>
      <c r="D259" t="s">
        <v>28</v>
      </c>
      <c r="E259" t="s">
        <v>169</v>
      </c>
      <c r="F259" t="s">
        <v>178</v>
      </c>
      <c r="G259" t="s">
        <v>145</v>
      </c>
      <c r="H259" s="3">
        <v>0.5</v>
      </c>
      <c r="I259">
        <v>8000</v>
      </c>
      <c r="J259" s="4">
        <v>4000</v>
      </c>
      <c r="K259" s="4">
        <v>1000</v>
      </c>
      <c r="L259" s="5">
        <v>0.25</v>
      </c>
      <c r="M259" t="s">
        <v>130</v>
      </c>
      <c r="N259" t="s">
        <v>363</v>
      </c>
    </row>
    <row r="260" spans="1:14">
      <c r="A260" t="s">
        <v>153</v>
      </c>
      <c r="B260">
        <v>1189833</v>
      </c>
      <c r="C260" s="2">
        <v>44391</v>
      </c>
      <c r="D260" t="s">
        <v>28</v>
      </c>
      <c r="E260" t="s">
        <v>169</v>
      </c>
      <c r="F260" t="s">
        <v>178</v>
      </c>
      <c r="G260" t="s">
        <v>146</v>
      </c>
      <c r="H260" s="3">
        <v>0.5</v>
      </c>
      <c r="I260">
        <v>7500</v>
      </c>
      <c r="J260" s="4">
        <v>3750</v>
      </c>
      <c r="K260" s="4">
        <v>1500</v>
      </c>
      <c r="L260" s="5">
        <v>0.4</v>
      </c>
      <c r="M260" t="s">
        <v>130</v>
      </c>
      <c r="N260" t="s">
        <v>363</v>
      </c>
    </row>
    <row r="261" spans="1:14">
      <c r="A261" t="s">
        <v>153</v>
      </c>
      <c r="B261">
        <v>1189833</v>
      </c>
      <c r="C261" s="2">
        <v>44391</v>
      </c>
      <c r="D261" t="s">
        <v>28</v>
      </c>
      <c r="E261" t="s">
        <v>169</v>
      </c>
      <c r="F261" t="s">
        <v>178</v>
      </c>
      <c r="G261" t="s">
        <v>148</v>
      </c>
      <c r="H261" s="3">
        <v>0.45</v>
      </c>
      <c r="I261">
        <v>6500</v>
      </c>
      <c r="J261" s="4">
        <v>2925</v>
      </c>
      <c r="K261" s="4">
        <v>1023.7499999999999</v>
      </c>
      <c r="L261" s="5">
        <v>0.35</v>
      </c>
      <c r="M261" t="s">
        <v>130</v>
      </c>
      <c r="N261" t="s">
        <v>363</v>
      </c>
    </row>
    <row r="262" spans="1:14">
      <c r="A262" t="s">
        <v>153</v>
      </c>
      <c r="B262">
        <v>1189833</v>
      </c>
      <c r="C262" s="2">
        <v>44391</v>
      </c>
      <c r="D262" t="s">
        <v>28</v>
      </c>
      <c r="E262" t="s">
        <v>169</v>
      </c>
      <c r="F262" t="s">
        <v>178</v>
      </c>
      <c r="G262" t="s">
        <v>147</v>
      </c>
      <c r="H262" s="3">
        <v>0.5</v>
      </c>
      <c r="I262">
        <v>7000</v>
      </c>
      <c r="J262" s="4">
        <v>3500</v>
      </c>
      <c r="K262" s="4">
        <v>1925.0000000000002</v>
      </c>
      <c r="L262" s="5">
        <v>0.55000000000000004</v>
      </c>
      <c r="M262" t="s">
        <v>130</v>
      </c>
      <c r="N262" t="s">
        <v>363</v>
      </c>
    </row>
    <row r="263" spans="1:14">
      <c r="A263" t="s">
        <v>153</v>
      </c>
      <c r="B263">
        <v>1189833</v>
      </c>
      <c r="C263" s="2">
        <v>44391</v>
      </c>
      <c r="D263" t="s">
        <v>28</v>
      </c>
      <c r="E263" t="s">
        <v>169</v>
      </c>
      <c r="F263" t="s">
        <v>178</v>
      </c>
      <c r="G263" t="s">
        <v>144</v>
      </c>
      <c r="H263" s="3">
        <v>0.65</v>
      </c>
      <c r="I263">
        <v>7000</v>
      </c>
      <c r="J263" s="4">
        <v>4550</v>
      </c>
      <c r="K263" s="4">
        <v>910</v>
      </c>
      <c r="L263" s="5">
        <v>0.2</v>
      </c>
      <c r="M263" t="s">
        <v>130</v>
      </c>
      <c r="N263" t="s">
        <v>363</v>
      </c>
    </row>
    <row r="264" spans="1:14">
      <c r="A264" t="s">
        <v>153</v>
      </c>
      <c r="B264">
        <v>1189833</v>
      </c>
      <c r="C264" s="2">
        <v>44423</v>
      </c>
      <c r="D264" t="s">
        <v>28</v>
      </c>
      <c r="E264" t="s">
        <v>169</v>
      </c>
      <c r="F264" t="s">
        <v>178</v>
      </c>
      <c r="G264" t="s">
        <v>27</v>
      </c>
      <c r="H264" s="3">
        <v>0.5</v>
      </c>
      <c r="I264">
        <v>9000</v>
      </c>
      <c r="J264" s="4">
        <v>4500</v>
      </c>
      <c r="K264" s="4">
        <v>1800</v>
      </c>
      <c r="L264" s="5">
        <v>0.4</v>
      </c>
      <c r="M264" t="s">
        <v>131</v>
      </c>
      <c r="N264" t="s">
        <v>363</v>
      </c>
    </row>
    <row r="265" spans="1:14">
      <c r="A265" t="s">
        <v>153</v>
      </c>
      <c r="B265">
        <v>1189833</v>
      </c>
      <c r="C265" s="2">
        <v>44423</v>
      </c>
      <c r="D265" t="s">
        <v>28</v>
      </c>
      <c r="E265" t="s">
        <v>169</v>
      </c>
      <c r="F265" t="s">
        <v>178</v>
      </c>
      <c r="G265" t="s">
        <v>145</v>
      </c>
      <c r="H265" s="3">
        <v>0.55000000000000004</v>
      </c>
      <c r="I265">
        <v>8500</v>
      </c>
      <c r="J265" s="4">
        <v>4675</v>
      </c>
      <c r="K265" s="4">
        <v>1168.75</v>
      </c>
      <c r="L265" s="5">
        <v>0.25</v>
      </c>
      <c r="M265" t="s">
        <v>131</v>
      </c>
      <c r="N265" t="s">
        <v>363</v>
      </c>
    </row>
    <row r="266" spans="1:14">
      <c r="A266" t="s">
        <v>153</v>
      </c>
      <c r="B266">
        <v>1189833</v>
      </c>
      <c r="C266" s="2">
        <v>44423</v>
      </c>
      <c r="D266" t="s">
        <v>28</v>
      </c>
      <c r="E266" t="s">
        <v>169</v>
      </c>
      <c r="F266" t="s">
        <v>178</v>
      </c>
      <c r="G266" t="s">
        <v>146</v>
      </c>
      <c r="H266" s="3">
        <v>0.5</v>
      </c>
      <c r="I266">
        <v>7250</v>
      </c>
      <c r="J266" s="4">
        <v>3625</v>
      </c>
      <c r="K266" s="4">
        <v>1450</v>
      </c>
      <c r="L266" s="5">
        <v>0.4</v>
      </c>
      <c r="M266" t="s">
        <v>131</v>
      </c>
      <c r="N266" t="s">
        <v>363</v>
      </c>
    </row>
    <row r="267" spans="1:14">
      <c r="A267" t="s">
        <v>153</v>
      </c>
      <c r="B267">
        <v>1189833</v>
      </c>
      <c r="C267" s="2">
        <v>44423</v>
      </c>
      <c r="D267" t="s">
        <v>28</v>
      </c>
      <c r="E267" t="s">
        <v>169</v>
      </c>
      <c r="F267" t="s">
        <v>178</v>
      </c>
      <c r="G267" t="s">
        <v>148</v>
      </c>
      <c r="H267" s="3">
        <v>0.5</v>
      </c>
      <c r="I267">
        <v>6750</v>
      </c>
      <c r="J267" s="4">
        <v>3375</v>
      </c>
      <c r="K267" s="4">
        <v>1181.25</v>
      </c>
      <c r="L267" s="5">
        <v>0.35</v>
      </c>
      <c r="M267" t="s">
        <v>131</v>
      </c>
      <c r="N267" t="s">
        <v>363</v>
      </c>
    </row>
    <row r="268" spans="1:14">
      <c r="A268" t="s">
        <v>153</v>
      </c>
      <c r="B268">
        <v>1189833</v>
      </c>
      <c r="C268" s="2">
        <v>44423</v>
      </c>
      <c r="D268" t="s">
        <v>28</v>
      </c>
      <c r="E268" t="s">
        <v>169</v>
      </c>
      <c r="F268" t="s">
        <v>178</v>
      </c>
      <c r="G268" t="s">
        <v>147</v>
      </c>
      <c r="H268" s="3">
        <v>0.6</v>
      </c>
      <c r="I268">
        <v>6750</v>
      </c>
      <c r="J268" s="4">
        <v>4050</v>
      </c>
      <c r="K268" s="4">
        <v>2227.5</v>
      </c>
      <c r="L268" s="5">
        <v>0.55000000000000004</v>
      </c>
      <c r="M268" t="s">
        <v>131</v>
      </c>
      <c r="N268" t="s">
        <v>363</v>
      </c>
    </row>
    <row r="269" spans="1:14">
      <c r="A269" t="s">
        <v>153</v>
      </c>
      <c r="B269">
        <v>1189833</v>
      </c>
      <c r="C269" s="2">
        <v>44423</v>
      </c>
      <c r="D269" t="s">
        <v>28</v>
      </c>
      <c r="E269" t="s">
        <v>169</v>
      </c>
      <c r="F269" t="s">
        <v>178</v>
      </c>
      <c r="G269" t="s">
        <v>144</v>
      </c>
      <c r="H269" s="3">
        <v>0.65</v>
      </c>
      <c r="I269">
        <v>6500</v>
      </c>
      <c r="J269" s="4">
        <v>4225</v>
      </c>
      <c r="K269" s="4">
        <v>845</v>
      </c>
      <c r="L269" s="5">
        <v>0.2</v>
      </c>
      <c r="M269" t="s">
        <v>131</v>
      </c>
      <c r="N269" t="s">
        <v>363</v>
      </c>
    </row>
    <row r="270" spans="1:14">
      <c r="A270" t="s">
        <v>153</v>
      </c>
      <c r="B270">
        <v>1189833</v>
      </c>
      <c r="C270" s="2">
        <v>44455</v>
      </c>
      <c r="D270" t="s">
        <v>28</v>
      </c>
      <c r="E270" t="s">
        <v>169</v>
      </c>
      <c r="F270" t="s">
        <v>178</v>
      </c>
      <c r="G270" t="s">
        <v>27</v>
      </c>
      <c r="H270" s="3">
        <v>0.5</v>
      </c>
      <c r="I270">
        <v>8500</v>
      </c>
      <c r="J270" s="4">
        <v>4250</v>
      </c>
      <c r="K270" s="4">
        <v>1700</v>
      </c>
      <c r="L270" s="5">
        <v>0.4</v>
      </c>
      <c r="M270" t="s">
        <v>132</v>
      </c>
      <c r="N270" t="s">
        <v>363</v>
      </c>
    </row>
    <row r="271" spans="1:14">
      <c r="A271" t="s">
        <v>153</v>
      </c>
      <c r="B271">
        <v>1189833</v>
      </c>
      <c r="C271" s="2">
        <v>44455</v>
      </c>
      <c r="D271" t="s">
        <v>28</v>
      </c>
      <c r="E271" t="s">
        <v>169</v>
      </c>
      <c r="F271" t="s">
        <v>178</v>
      </c>
      <c r="G271" t="s">
        <v>145</v>
      </c>
      <c r="H271" s="3">
        <v>0.55000000000000004</v>
      </c>
      <c r="I271">
        <v>8500</v>
      </c>
      <c r="J271" s="4">
        <v>4675</v>
      </c>
      <c r="K271" s="4">
        <v>1168.75</v>
      </c>
      <c r="L271" s="5">
        <v>0.25</v>
      </c>
      <c r="M271" t="s">
        <v>132</v>
      </c>
      <c r="N271" t="s">
        <v>363</v>
      </c>
    </row>
    <row r="272" spans="1:14">
      <c r="A272" t="s">
        <v>153</v>
      </c>
      <c r="B272">
        <v>1189833</v>
      </c>
      <c r="C272" s="2">
        <v>44455</v>
      </c>
      <c r="D272" t="s">
        <v>28</v>
      </c>
      <c r="E272" t="s">
        <v>169</v>
      </c>
      <c r="F272" t="s">
        <v>178</v>
      </c>
      <c r="G272" t="s">
        <v>146</v>
      </c>
      <c r="H272" s="3">
        <v>0.5</v>
      </c>
      <c r="I272">
        <v>7000</v>
      </c>
      <c r="J272" s="4">
        <v>3500</v>
      </c>
      <c r="K272" s="4">
        <v>1400</v>
      </c>
      <c r="L272" s="5">
        <v>0.4</v>
      </c>
      <c r="M272" t="s">
        <v>132</v>
      </c>
      <c r="N272" t="s">
        <v>363</v>
      </c>
    </row>
    <row r="273" spans="1:14">
      <c r="A273" t="s">
        <v>153</v>
      </c>
      <c r="B273">
        <v>1189833</v>
      </c>
      <c r="C273" s="2">
        <v>44455</v>
      </c>
      <c r="D273" t="s">
        <v>28</v>
      </c>
      <c r="E273" t="s">
        <v>169</v>
      </c>
      <c r="F273" t="s">
        <v>178</v>
      </c>
      <c r="G273" t="s">
        <v>148</v>
      </c>
      <c r="H273" s="3">
        <v>0.5</v>
      </c>
      <c r="I273">
        <v>6500</v>
      </c>
      <c r="J273" s="4">
        <v>3250</v>
      </c>
      <c r="K273" s="4">
        <v>1137.5</v>
      </c>
      <c r="L273" s="5">
        <v>0.35</v>
      </c>
      <c r="M273" t="s">
        <v>132</v>
      </c>
      <c r="N273" t="s">
        <v>363</v>
      </c>
    </row>
    <row r="274" spans="1:14">
      <c r="A274" t="s">
        <v>153</v>
      </c>
      <c r="B274">
        <v>1189833</v>
      </c>
      <c r="C274" s="2">
        <v>44455</v>
      </c>
      <c r="D274" t="s">
        <v>28</v>
      </c>
      <c r="E274" t="s">
        <v>169</v>
      </c>
      <c r="F274" t="s">
        <v>178</v>
      </c>
      <c r="G274" t="s">
        <v>147</v>
      </c>
      <c r="H274" s="3">
        <v>0.6</v>
      </c>
      <c r="I274">
        <v>6500</v>
      </c>
      <c r="J274" s="4">
        <v>3900</v>
      </c>
      <c r="K274" s="4">
        <v>2145</v>
      </c>
      <c r="L274" s="5">
        <v>0.55000000000000004</v>
      </c>
      <c r="M274" t="s">
        <v>132</v>
      </c>
      <c r="N274" t="s">
        <v>363</v>
      </c>
    </row>
    <row r="275" spans="1:14">
      <c r="A275" t="s">
        <v>153</v>
      </c>
      <c r="B275">
        <v>1189833</v>
      </c>
      <c r="C275" s="2">
        <v>44455</v>
      </c>
      <c r="D275" t="s">
        <v>28</v>
      </c>
      <c r="E275" t="s">
        <v>169</v>
      </c>
      <c r="F275" t="s">
        <v>178</v>
      </c>
      <c r="G275" t="s">
        <v>144</v>
      </c>
      <c r="H275" s="3">
        <v>0.65</v>
      </c>
      <c r="I275">
        <v>7000</v>
      </c>
      <c r="J275" s="4">
        <v>4550</v>
      </c>
      <c r="K275" s="4">
        <v>910</v>
      </c>
      <c r="L275" s="5">
        <v>0.2</v>
      </c>
      <c r="M275" t="s">
        <v>132</v>
      </c>
      <c r="N275" t="s">
        <v>363</v>
      </c>
    </row>
    <row r="276" spans="1:14">
      <c r="A276" t="s">
        <v>153</v>
      </c>
      <c r="B276">
        <v>1189833</v>
      </c>
      <c r="C276" s="2">
        <v>44484</v>
      </c>
      <c r="D276" t="s">
        <v>28</v>
      </c>
      <c r="E276" t="s">
        <v>169</v>
      </c>
      <c r="F276" t="s">
        <v>178</v>
      </c>
      <c r="G276" t="s">
        <v>27</v>
      </c>
      <c r="H276" s="3">
        <v>0.5</v>
      </c>
      <c r="I276">
        <v>8000</v>
      </c>
      <c r="J276" s="4">
        <v>4000</v>
      </c>
      <c r="K276" s="4">
        <v>1600</v>
      </c>
      <c r="L276" s="5">
        <v>0.4</v>
      </c>
      <c r="M276" t="s">
        <v>133</v>
      </c>
      <c r="N276" t="s">
        <v>364</v>
      </c>
    </row>
    <row r="277" spans="1:14">
      <c r="A277" t="s">
        <v>153</v>
      </c>
      <c r="B277">
        <v>1189833</v>
      </c>
      <c r="C277" s="2">
        <v>44484</v>
      </c>
      <c r="D277" t="s">
        <v>28</v>
      </c>
      <c r="E277" t="s">
        <v>169</v>
      </c>
      <c r="F277" t="s">
        <v>178</v>
      </c>
      <c r="G277" t="s">
        <v>145</v>
      </c>
      <c r="H277" s="3">
        <v>0.55000000000000004</v>
      </c>
      <c r="I277">
        <v>8000</v>
      </c>
      <c r="J277" s="4">
        <v>4400</v>
      </c>
      <c r="K277" s="4">
        <v>1100</v>
      </c>
      <c r="L277" s="5">
        <v>0.25</v>
      </c>
      <c r="M277" t="s">
        <v>133</v>
      </c>
      <c r="N277" t="s">
        <v>364</v>
      </c>
    </row>
    <row r="278" spans="1:14">
      <c r="A278" t="s">
        <v>153</v>
      </c>
      <c r="B278">
        <v>1189833</v>
      </c>
      <c r="C278" s="2">
        <v>44484</v>
      </c>
      <c r="D278" t="s">
        <v>28</v>
      </c>
      <c r="E278" t="s">
        <v>169</v>
      </c>
      <c r="F278" t="s">
        <v>178</v>
      </c>
      <c r="G278" t="s">
        <v>146</v>
      </c>
      <c r="H278" s="3">
        <v>0.5</v>
      </c>
      <c r="I278">
        <v>6500</v>
      </c>
      <c r="J278" s="4">
        <v>3250</v>
      </c>
      <c r="K278" s="4">
        <v>1300</v>
      </c>
      <c r="L278" s="5">
        <v>0.4</v>
      </c>
      <c r="M278" t="s">
        <v>133</v>
      </c>
      <c r="N278" t="s">
        <v>364</v>
      </c>
    </row>
    <row r="279" spans="1:14">
      <c r="A279" t="s">
        <v>153</v>
      </c>
      <c r="B279">
        <v>1189833</v>
      </c>
      <c r="C279" s="2">
        <v>44484</v>
      </c>
      <c r="D279" t="s">
        <v>28</v>
      </c>
      <c r="E279" t="s">
        <v>169</v>
      </c>
      <c r="F279" t="s">
        <v>178</v>
      </c>
      <c r="G279" t="s">
        <v>148</v>
      </c>
      <c r="H279" s="3">
        <v>0.5</v>
      </c>
      <c r="I279">
        <v>6250</v>
      </c>
      <c r="J279" s="4">
        <v>3125</v>
      </c>
      <c r="K279" s="4">
        <v>1093.75</v>
      </c>
      <c r="L279" s="5">
        <v>0.35</v>
      </c>
      <c r="M279" t="s">
        <v>133</v>
      </c>
      <c r="N279" t="s">
        <v>364</v>
      </c>
    </row>
    <row r="280" spans="1:14">
      <c r="A280" t="s">
        <v>153</v>
      </c>
      <c r="B280">
        <v>1189833</v>
      </c>
      <c r="C280" s="2">
        <v>44484</v>
      </c>
      <c r="D280" t="s">
        <v>28</v>
      </c>
      <c r="E280" t="s">
        <v>169</v>
      </c>
      <c r="F280" t="s">
        <v>178</v>
      </c>
      <c r="G280" t="s">
        <v>147</v>
      </c>
      <c r="H280" s="3">
        <v>0.6</v>
      </c>
      <c r="I280">
        <v>6000</v>
      </c>
      <c r="J280" s="4">
        <v>3600</v>
      </c>
      <c r="K280" s="4">
        <v>1980.0000000000002</v>
      </c>
      <c r="L280" s="5">
        <v>0.55000000000000004</v>
      </c>
      <c r="M280" t="s">
        <v>133</v>
      </c>
      <c r="N280" t="s">
        <v>364</v>
      </c>
    </row>
    <row r="281" spans="1:14">
      <c r="A281" t="s">
        <v>153</v>
      </c>
      <c r="B281">
        <v>1189833</v>
      </c>
      <c r="C281" s="2">
        <v>44484</v>
      </c>
      <c r="D281" t="s">
        <v>28</v>
      </c>
      <c r="E281" t="s">
        <v>169</v>
      </c>
      <c r="F281" t="s">
        <v>178</v>
      </c>
      <c r="G281" t="s">
        <v>144</v>
      </c>
      <c r="H281" s="3">
        <v>0.65</v>
      </c>
      <c r="I281">
        <v>6500</v>
      </c>
      <c r="J281" s="4">
        <v>4225</v>
      </c>
      <c r="K281" s="4">
        <v>845</v>
      </c>
      <c r="L281" s="5">
        <v>0.2</v>
      </c>
      <c r="M281" t="s">
        <v>133</v>
      </c>
      <c r="N281" t="s">
        <v>364</v>
      </c>
    </row>
    <row r="282" spans="1:14">
      <c r="A282" t="s">
        <v>153</v>
      </c>
      <c r="B282">
        <v>1189833</v>
      </c>
      <c r="C282" s="2">
        <v>44515</v>
      </c>
      <c r="D282" t="s">
        <v>28</v>
      </c>
      <c r="E282" t="s">
        <v>169</v>
      </c>
      <c r="F282" t="s">
        <v>178</v>
      </c>
      <c r="G282" t="s">
        <v>27</v>
      </c>
      <c r="H282" s="3">
        <v>0.5</v>
      </c>
      <c r="I282">
        <v>8250</v>
      </c>
      <c r="J282" s="4">
        <v>4125</v>
      </c>
      <c r="K282" s="4">
        <v>1650</v>
      </c>
      <c r="L282" s="5">
        <v>0.4</v>
      </c>
      <c r="M282" t="s">
        <v>134</v>
      </c>
      <c r="N282" t="s">
        <v>364</v>
      </c>
    </row>
    <row r="283" spans="1:14">
      <c r="A283" t="s">
        <v>153</v>
      </c>
      <c r="B283">
        <v>1189833</v>
      </c>
      <c r="C283" s="2">
        <v>44515</v>
      </c>
      <c r="D283" t="s">
        <v>28</v>
      </c>
      <c r="E283" t="s">
        <v>169</v>
      </c>
      <c r="F283" t="s">
        <v>178</v>
      </c>
      <c r="G283" t="s">
        <v>145</v>
      </c>
      <c r="H283" s="3">
        <v>0.55000000000000004</v>
      </c>
      <c r="I283">
        <v>8250</v>
      </c>
      <c r="J283" s="4">
        <v>4537.5</v>
      </c>
      <c r="K283" s="4">
        <v>1134.375</v>
      </c>
      <c r="L283" s="5">
        <v>0.25</v>
      </c>
      <c r="M283" t="s">
        <v>134</v>
      </c>
      <c r="N283" t="s">
        <v>364</v>
      </c>
    </row>
    <row r="284" spans="1:14">
      <c r="A284" t="s">
        <v>153</v>
      </c>
      <c r="B284">
        <v>1189833</v>
      </c>
      <c r="C284" s="2">
        <v>44515</v>
      </c>
      <c r="D284" t="s">
        <v>28</v>
      </c>
      <c r="E284" t="s">
        <v>169</v>
      </c>
      <c r="F284" t="s">
        <v>178</v>
      </c>
      <c r="G284" t="s">
        <v>146</v>
      </c>
      <c r="H284" s="3">
        <v>0.5</v>
      </c>
      <c r="I284">
        <v>6750</v>
      </c>
      <c r="J284" s="4">
        <v>3375</v>
      </c>
      <c r="K284" s="4">
        <v>1350</v>
      </c>
      <c r="L284" s="5">
        <v>0.4</v>
      </c>
      <c r="M284" t="s">
        <v>134</v>
      </c>
      <c r="N284" t="s">
        <v>364</v>
      </c>
    </row>
    <row r="285" spans="1:14">
      <c r="A285" t="s">
        <v>153</v>
      </c>
      <c r="B285">
        <v>1189833</v>
      </c>
      <c r="C285" s="2">
        <v>44515</v>
      </c>
      <c r="D285" t="s">
        <v>28</v>
      </c>
      <c r="E285" t="s">
        <v>169</v>
      </c>
      <c r="F285" t="s">
        <v>178</v>
      </c>
      <c r="G285" t="s">
        <v>148</v>
      </c>
      <c r="H285" s="3">
        <v>0.5</v>
      </c>
      <c r="I285">
        <v>6500</v>
      </c>
      <c r="J285" s="4">
        <v>3250</v>
      </c>
      <c r="K285" s="4">
        <v>1137.5</v>
      </c>
      <c r="L285" s="5">
        <v>0.35</v>
      </c>
      <c r="M285" t="s">
        <v>134</v>
      </c>
      <c r="N285" t="s">
        <v>364</v>
      </c>
    </row>
    <row r="286" spans="1:14">
      <c r="A286" t="s">
        <v>153</v>
      </c>
      <c r="B286">
        <v>1189833</v>
      </c>
      <c r="C286" s="2">
        <v>44515</v>
      </c>
      <c r="D286" t="s">
        <v>28</v>
      </c>
      <c r="E286" t="s">
        <v>169</v>
      </c>
      <c r="F286" t="s">
        <v>178</v>
      </c>
      <c r="G286" t="s">
        <v>147</v>
      </c>
      <c r="H286" s="3">
        <v>0.6</v>
      </c>
      <c r="I286">
        <v>6000</v>
      </c>
      <c r="J286" s="4">
        <v>3600</v>
      </c>
      <c r="K286" s="4">
        <v>1980.0000000000002</v>
      </c>
      <c r="L286" s="5">
        <v>0.55000000000000004</v>
      </c>
      <c r="M286" t="s">
        <v>134</v>
      </c>
      <c r="N286" t="s">
        <v>364</v>
      </c>
    </row>
    <row r="287" spans="1:14">
      <c r="A287" t="s">
        <v>153</v>
      </c>
      <c r="B287">
        <v>1189833</v>
      </c>
      <c r="C287" s="2">
        <v>44515</v>
      </c>
      <c r="D287" t="s">
        <v>28</v>
      </c>
      <c r="E287" t="s">
        <v>169</v>
      </c>
      <c r="F287" t="s">
        <v>178</v>
      </c>
      <c r="G287" t="s">
        <v>144</v>
      </c>
      <c r="H287" s="3">
        <v>0.65</v>
      </c>
      <c r="I287">
        <v>7000</v>
      </c>
      <c r="J287" s="4">
        <v>4550</v>
      </c>
      <c r="K287" s="4">
        <v>910</v>
      </c>
      <c r="L287" s="5">
        <v>0.2</v>
      </c>
      <c r="M287" t="s">
        <v>134</v>
      </c>
      <c r="N287" t="s">
        <v>364</v>
      </c>
    </row>
    <row r="288" spans="1:14">
      <c r="A288" t="s">
        <v>153</v>
      </c>
      <c r="B288">
        <v>1189833</v>
      </c>
      <c r="C288" s="2">
        <v>44544</v>
      </c>
      <c r="D288" t="s">
        <v>28</v>
      </c>
      <c r="E288" t="s">
        <v>169</v>
      </c>
      <c r="F288" t="s">
        <v>178</v>
      </c>
      <c r="G288" t="s">
        <v>27</v>
      </c>
      <c r="H288" s="3">
        <v>0.5</v>
      </c>
      <c r="I288">
        <v>9000</v>
      </c>
      <c r="J288" s="4">
        <v>4500</v>
      </c>
      <c r="K288" s="4">
        <v>1800</v>
      </c>
      <c r="L288" s="5">
        <v>0.4</v>
      </c>
      <c r="M288" t="s">
        <v>23</v>
      </c>
      <c r="N288" t="s">
        <v>364</v>
      </c>
    </row>
    <row r="289" spans="1:14">
      <c r="A289" t="s">
        <v>153</v>
      </c>
      <c r="B289">
        <v>1189833</v>
      </c>
      <c r="C289" s="2">
        <v>44544</v>
      </c>
      <c r="D289" t="s">
        <v>28</v>
      </c>
      <c r="E289" t="s">
        <v>169</v>
      </c>
      <c r="F289" t="s">
        <v>178</v>
      </c>
      <c r="G289" t="s">
        <v>145</v>
      </c>
      <c r="H289" s="3">
        <v>0.55000000000000004</v>
      </c>
      <c r="I289">
        <v>9000</v>
      </c>
      <c r="J289" s="4">
        <v>4950</v>
      </c>
      <c r="K289" s="4">
        <v>1237.5</v>
      </c>
      <c r="L289" s="5">
        <v>0.25</v>
      </c>
      <c r="M289" t="s">
        <v>23</v>
      </c>
      <c r="N289" t="s">
        <v>364</v>
      </c>
    </row>
    <row r="290" spans="1:14">
      <c r="A290" t="s">
        <v>153</v>
      </c>
      <c r="B290">
        <v>1189833</v>
      </c>
      <c r="C290" s="2">
        <v>44544</v>
      </c>
      <c r="D290" t="s">
        <v>28</v>
      </c>
      <c r="E290" t="s">
        <v>169</v>
      </c>
      <c r="F290" t="s">
        <v>178</v>
      </c>
      <c r="G290" t="s">
        <v>146</v>
      </c>
      <c r="H290" s="3">
        <v>0.5</v>
      </c>
      <c r="I290">
        <v>7000</v>
      </c>
      <c r="J290" s="4">
        <v>3500</v>
      </c>
      <c r="K290" s="4">
        <v>1400</v>
      </c>
      <c r="L290" s="5">
        <v>0.4</v>
      </c>
      <c r="M290" t="s">
        <v>23</v>
      </c>
      <c r="N290" t="s">
        <v>364</v>
      </c>
    </row>
    <row r="291" spans="1:14">
      <c r="A291" t="s">
        <v>153</v>
      </c>
      <c r="B291">
        <v>1189833</v>
      </c>
      <c r="C291" s="2">
        <v>44544</v>
      </c>
      <c r="D291" t="s">
        <v>28</v>
      </c>
      <c r="E291" t="s">
        <v>169</v>
      </c>
      <c r="F291" t="s">
        <v>178</v>
      </c>
      <c r="G291" t="s">
        <v>148</v>
      </c>
      <c r="H291" s="3">
        <v>0.5</v>
      </c>
      <c r="I291">
        <v>7000</v>
      </c>
      <c r="J291" s="4">
        <v>3500</v>
      </c>
      <c r="K291" s="4">
        <v>1225</v>
      </c>
      <c r="L291" s="5">
        <v>0.35</v>
      </c>
      <c r="M291" t="s">
        <v>23</v>
      </c>
      <c r="N291" t="s">
        <v>364</v>
      </c>
    </row>
    <row r="292" spans="1:14">
      <c r="A292" t="s">
        <v>153</v>
      </c>
      <c r="B292">
        <v>1189833</v>
      </c>
      <c r="C292" s="2">
        <v>44544</v>
      </c>
      <c r="D292" t="s">
        <v>28</v>
      </c>
      <c r="E292" t="s">
        <v>169</v>
      </c>
      <c r="F292" t="s">
        <v>178</v>
      </c>
      <c r="G292" t="s">
        <v>147</v>
      </c>
      <c r="H292" s="3">
        <v>0.6</v>
      </c>
      <c r="I292">
        <v>6250</v>
      </c>
      <c r="J292" s="4">
        <v>3750</v>
      </c>
      <c r="K292" s="4">
        <v>2062.5</v>
      </c>
      <c r="L292" s="5">
        <v>0.55000000000000004</v>
      </c>
      <c r="M292" t="s">
        <v>23</v>
      </c>
      <c r="N292" t="s">
        <v>364</v>
      </c>
    </row>
    <row r="293" spans="1:14">
      <c r="A293" t="s">
        <v>153</v>
      </c>
      <c r="B293">
        <v>1189833</v>
      </c>
      <c r="C293" s="2">
        <v>44544</v>
      </c>
      <c r="D293" t="s">
        <v>28</v>
      </c>
      <c r="E293" t="s">
        <v>169</v>
      </c>
      <c r="F293" t="s">
        <v>178</v>
      </c>
      <c r="G293" t="s">
        <v>144</v>
      </c>
      <c r="H293" s="3">
        <v>0.65</v>
      </c>
      <c r="I293">
        <v>7250</v>
      </c>
      <c r="J293" s="4">
        <v>4712.5</v>
      </c>
      <c r="K293" s="4">
        <v>942.5</v>
      </c>
      <c r="L293" s="5">
        <v>0.2</v>
      </c>
      <c r="M293" t="s">
        <v>23</v>
      </c>
      <c r="N293" t="s">
        <v>364</v>
      </c>
    </row>
    <row r="294" spans="1:14">
      <c r="A294" t="s">
        <v>29</v>
      </c>
      <c r="B294">
        <v>1185732</v>
      </c>
      <c r="C294" s="2">
        <v>44211</v>
      </c>
      <c r="D294" t="s">
        <v>140</v>
      </c>
      <c r="E294" t="s">
        <v>243</v>
      </c>
      <c r="F294" t="s">
        <v>252</v>
      </c>
      <c r="G294" t="s">
        <v>27</v>
      </c>
      <c r="H294" s="3">
        <v>0.45</v>
      </c>
      <c r="I294">
        <v>4750</v>
      </c>
      <c r="J294" s="4">
        <v>2137.5</v>
      </c>
      <c r="K294" s="4">
        <v>855</v>
      </c>
      <c r="L294" s="5">
        <v>0.4</v>
      </c>
      <c r="M294" t="s">
        <v>125</v>
      </c>
      <c r="N294" t="s">
        <v>361</v>
      </c>
    </row>
    <row r="295" spans="1:14">
      <c r="A295" t="s">
        <v>29</v>
      </c>
      <c r="B295">
        <v>1185732</v>
      </c>
      <c r="C295" s="2">
        <v>44211</v>
      </c>
      <c r="D295" t="s">
        <v>140</v>
      </c>
      <c r="E295" t="s">
        <v>243</v>
      </c>
      <c r="F295" t="s">
        <v>252</v>
      </c>
      <c r="G295" t="s">
        <v>145</v>
      </c>
      <c r="H295" s="3">
        <v>0.45</v>
      </c>
      <c r="I295">
        <v>2750</v>
      </c>
      <c r="J295" s="4">
        <v>1237.5</v>
      </c>
      <c r="K295" s="4">
        <v>433.125</v>
      </c>
      <c r="L295" s="5">
        <v>0.35</v>
      </c>
      <c r="M295" t="s">
        <v>125</v>
      </c>
      <c r="N295" t="s">
        <v>361</v>
      </c>
    </row>
    <row r="296" spans="1:14">
      <c r="A296" t="s">
        <v>29</v>
      </c>
      <c r="B296">
        <v>1185732</v>
      </c>
      <c r="C296" s="2">
        <v>44211</v>
      </c>
      <c r="D296" t="s">
        <v>140</v>
      </c>
      <c r="E296" t="s">
        <v>243</v>
      </c>
      <c r="F296" t="s">
        <v>252</v>
      </c>
      <c r="G296" t="s">
        <v>146</v>
      </c>
      <c r="H296" s="3">
        <v>0.35000000000000003</v>
      </c>
      <c r="I296">
        <v>2750</v>
      </c>
      <c r="J296" s="4">
        <v>962.50000000000011</v>
      </c>
      <c r="K296" s="4">
        <v>336.875</v>
      </c>
      <c r="L296" s="5">
        <v>0.35</v>
      </c>
      <c r="M296" t="s">
        <v>125</v>
      </c>
      <c r="N296" t="s">
        <v>361</v>
      </c>
    </row>
    <row r="297" spans="1:14">
      <c r="A297" t="s">
        <v>29</v>
      </c>
      <c r="B297">
        <v>1185732</v>
      </c>
      <c r="C297" s="2">
        <v>44211</v>
      </c>
      <c r="D297" t="s">
        <v>140</v>
      </c>
      <c r="E297" t="s">
        <v>243</v>
      </c>
      <c r="F297" t="s">
        <v>252</v>
      </c>
      <c r="G297" t="s">
        <v>148</v>
      </c>
      <c r="H297" s="3">
        <v>0.4</v>
      </c>
      <c r="I297">
        <v>1250</v>
      </c>
      <c r="J297" s="4">
        <v>500</v>
      </c>
      <c r="K297" s="4">
        <v>200</v>
      </c>
      <c r="L297" s="5">
        <v>0.4</v>
      </c>
      <c r="M297" t="s">
        <v>125</v>
      </c>
      <c r="N297" t="s">
        <v>361</v>
      </c>
    </row>
    <row r="298" spans="1:14">
      <c r="A298" t="s">
        <v>29</v>
      </c>
      <c r="B298">
        <v>1185732</v>
      </c>
      <c r="C298" s="2">
        <v>44211</v>
      </c>
      <c r="D298" t="s">
        <v>140</v>
      </c>
      <c r="E298" t="s">
        <v>243</v>
      </c>
      <c r="F298" t="s">
        <v>252</v>
      </c>
      <c r="G298" t="s">
        <v>147</v>
      </c>
      <c r="H298" s="3">
        <v>0.54999999999999993</v>
      </c>
      <c r="I298">
        <v>1750</v>
      </c>
      <c r="J298" s="4">
        <v>962.49999999999989</v>
      </c>
      <c r="K298" s="4">
        <v>336.87499999999994</v>
      </c>
      <c r="L298" s="5">
        <v>0.35</v>
      </c>
      <c r="M298" t="s">
        <v>125</v>
      </c>
      <c r="N298" t="s">
        <v>361</v>
      </c>
    </row>
    <row r="299" spans="1:14">
      <c r="A299" t="s">
        <v>29</v>
      </c>
      <c r="B299">
        <v>1185732</v>
      </c>
      <c r="C299" s="2">
        <v>44211</v>
      </c>
      <c r="D299" t="s">
        <v>140</v>
      </c>
      <c r="E299" t="s">
        <v>243</v>
      </c>
      <c r="F299" t="s">
        <v>252</v>
      </c>
      <c r="G299" t="s">
        <v>144</v>
      </c>
      <c r="H299" s="3">
        <v>0.45</v>
      </c>
      <c r="I299">
        <v>2750</v>
      </c>
      <c r="J299" s="4">
        <v>1237.5</v>
      </c>
      <c r="K299" s="4">
        <v>618.75</v>
      </c>
      <c r="L299" s="5">
        <v>0.5</v>
      </c>
      <c r="M299" t="s">
        <v>125</v>
      </c>
      <c r="N299" t="s">
        <v>361</v>
      </c>
    </row>
    <row r="300" spans="1:14">
      <c r="A300" t="s">
        <v>29</v>
      </c>
      <c r="B300">
        <v>1185732</v>
      </c>
      <c r="C300" s="2">
        <v>44242</v>
      </c>
      <c r="D300" t="s">
        <v>140</v>
      </c>
      <c r="E300" t="s">
        <v>243</v>
      </c>
      <c r="F300" t="s">
        <v>252</v>
      </c>
      <c r="G300" t="s">
        <v>27</v>
      </c>
      <c r="H300" s="3">
        <v>0.45</v>
      </c>
      <c r="I300">
        <v>5250</v>
      </c>
      <c r="J300" s="4">
        <v>2362.5</v>
      </c>
      <c r="K300" s="4">
        <v>945</v>
      </c>
      <c r="L300" s="5">
        <v>0.4</v>
      </c>
      <c r="M300" t="s">
        <v>126</v>
      </c>
      <c r="N300" t="s">
        <v>361</v>
      </c>
    </row>
    <row r="301" spans="1:14">
      <c r="A301" t="s">
        <v>29</v>
      </c>
      <c r="B301">
        <v>1185732</v>
      </c>
      <c r="C301" s="2">
        <v>44242</v>
      </c>
      <c r="D301" t="s">
        <v>140</v>
      </c>
      <c r="E301" t="s">
        <v>243</v>
      </c>
      <c r="F301" t="s">
        <v>252</v>
      </c>
      <c r="G301" t="s">
        <v>145</v>
      </c>
      <c r="H301" s="3">
        <v>0.45</v>
      </c>
      <c r="I301">
        <v>1750</v>
      </c>
      <c r="J301" s="4">
        <v>787.5</v>
      </c>
      <c r="K301" s="4">
        <v>275.625</v>
      </c>
      <c r="L301" s="5">
        <v>0.35</v>
      </c>
      <c r="M301" t="s">
        <v>126</v>
      </c>
      <c r="N301" t="s">
        <v>361</v>
      </c>
    </row>
    <row r="302" spans="1:14">
      <c r="A302" t="s">
        <v>29</v>
      </c>
      <c r="B302">
        <v>1185732</v>
      </c>
      <c r="C302" s="2">
        <v>44242</v>
      </c>
      <c r="D302" t="s">
        <v>140</v>
      </c>
      <c r="E302" t="s">
        <v>243</v>
      </c>
      <c r="F302" t="s">
        <v>252</v>
      </c>
      <c r="G302" t="s">
        <v>146</v>
      </c>
      <c r="H302" s="3">
        <v>0.35000000000000003</v>
      </c>
      <c r="I302">
        <v>2250</v>
      </c>
      <c r="J302" s="4">
        <v>787.50000000000011</v>
      </c>
      <c r="K302" s="4">
        <v>275.625</v>
      </c>
      <c r="L302" s="5">
        <v>0.35</v>
      </c>
      <c r="M302" t="s">
        <v>126</v>
      </c>
      <c r="N302" t="s">
        <v>361</v>
      </c>
    </row>
    <row r="303" spans="1:14">
      <c r="A303" t="s">
        <v>29</v>
      </c>
      <c r="B303">
        <v>1185732</v>
      </c>
      <c r="C303" s="2">
        <v>44242</v>
      </c>
      <c r="D303" t="s">
        <v>140</v>
      </c>
      <c r="E303" t="s">
        <v>243</v>
      </c>
      <c r="F303" t="s">
        <v>252</v>
      </c>
      <c r="G303" t="s">
        <v>148</v>
      </c>
      <c r="H303" s="3">
        <v>0.4</v>
      </c>
      <c r="I303">
        <v>1000</v>
      </c>
      <c r="J303" s="4">
        <v>400</v>
      </c>
      <c r="K303" s="4">
        <v>160</v>
      </c>
      <c r="L303" s="5">
        <v>0.4</v>
      </c>
      <c r="M303" t="s">
        <v>126</v>
      </c>
      <c r="N303" t="s">
        <v>361</v>
      </c>
    </row>
    <row r="304" spans="1:14">
      <c r="A304" t="s">
        <v>29</v>
      </c>
      <c r="B304">
        <v>1185732</v>
      </c>
      <c r="C304" s="2">
        <v>44242</v>
      </c>
      <c r="D304" t="s">
        <v>140</v>
      </c>
      <c r="E304" t="s">
        <v>243</v>
      </c>
      <c r="F304" t="s">
        <v>252</v>
      </c>
      <c r="G304" t="s">
        <v>147</v>
      </c>
      <c r="H304" s="3">
        <v>0.54999999999999993</v>
      </c>
      <c r="I304">
        <v>1750</v>
      </c>
      <c r="J304" s="4">
        <v>962.49999999999989</v>
      </c>
      <c r="K304" s="4">
        <v>336.87499999999994</v>
      </c>
      <c r="L304" s="5">
        <v>0.35</v>
      </c>
      <c r="M304" t="s">
        <v>126</v>
      </c>
      <c r="N304" t="s">
        <v>361</v>
      </c>
    </row>
    <row r="305" spans="1:14">
      <c r="A305" t="s">
        <v>29</v>
      </c>
      <c r="B305">
        <v>1185732</v>
      </c>
      <c r="C305" s="2">
        <v>44242</v>
      </c>
      <c r="D305" t="s">
        <v>140</v>
      </c>
      <c r="E305" t="s">
        <v>243</v>
      </c>
      <c r="F305" t="s">
        <v>252</v>
      </c>
      <c r="G305" t="s">
        <v>144</v>
      </c>
      <c r="H305" s="3">
        <v>0.45</v>
      </c>
      <c r="I305">
        <v>2750</v>
      </c>
      <c r="J305" s="4">
        <v>1237.5</v>
      </c>
      <c r="K305" s="4">
        <v>618.75</v>
      </c>
      <c r="L305" s="5">
        <v>0.5</v>
      </c>
      <c r="M305" t="s">
        <v>126</v>
      </c>
      <c r="N305" t="s">
        <v>361</v>
      </c>
    </row>
    <row r="306" spans="1:14">
      <c r="A306" t="s">
        <v>29</v>
      </c>
      <c r="B306">
        <v>1185732</v>
      </c>
      <c r="C306" s="2">
        <v>44269</v>
      </c>
      <c r="D306" t="s">
        <v>140</v>
      </c>
      <c r="E306" t="s">
        <v>243</v>
      </c>
      <c r="F306" t="s">
        <v>252</v>
      </c>
      <c r="G306" t="s">
        <v>27</v>
      </c>
      <c r="H306" s="3">
        <v>0.5</v>
      </c>
      <c r="I306">
        <v>4950</v>
      </c>
      <c r="J306" s="4">
        <v>2475</v>
      </c>
      <c r="K306" s="4">
        <v>990</v>
      </c>
      <c r="L306" s="5">
        <v>0.4</v>
      </c>
      <c r="M306" t="s">
        <v>24</v>
      </c>
      <c r="N306" t="s">
        <v>361</v>
      </c>
    </row>
    <row r="307" spans="1:14">
      <c r="A307" t="s">
        <v>29</v>
      </c>
      <c r="B307">
        <v>1185732</v>
      </c>
      <c r="C307" s="2">
        <v>44269</v>
      </c>
      <c r="D307" t="s">
        <v>140</v>
      </c>
      <c r="E307" t="s">
        <v>243</v>
      </c>
      <c r="F307" t="s">
        <v>252</v>
      </c>
      <c r="G307" t="s">
        <v>145</v>
      </c>
      <c r="H307" s="3">
        <v>0.5</v>
      </c>
      <c r="I307">
        <v>2000</v>
      </c>
      <c r="J307" s="4">
        <v>1000</v>
      </c>
      <c r="K307" s="4">
        <v>350</v>
      </c>
      <c r="L307" s="5">
        <v>0.35</v>
      </c>
      <c r="M307" t="s">
        <v>24</v>
      </c>
      <c r="N307" t="s">
        <v>361</v>
      </c>
    </row>
    <row r="308" spans="1:14">
      <c r="A308" t="s">
        <v>29</v>
      </c>
      <c r="B308">
        <v>1185732</v>
      </c>
      <c r="C308" s="2">
        <v>44269</v>
      </c>
      <c r="D308" t="s">
        <v>140</v>
      </c>
      <c r="E308" t="s">
        <v>243</v>
      </c>
      <c r="F308" t="s">
        <v>252</v>
      </c>
      <c r="G308" t="s">
        <v>146</v>
      </c>
      <c r="H308" s="3">
        <v>0.4</v>
      </c>
      <c r="I308">
        <v>2250</v>
      </c>
      <c r="J308" s="4">
        <v>900</v>
      </c>
      <c r="K308" s="4">
        <v>315</v>
      </c>
      <c r="L308" s="5">
        <v>0.35</v>
      </c>
      <c r="M308" t="s">
        <v>24</v>
      </c>
      <c r="N308" t="s">
        <v>361</v>
      </c>
    </row>
    <row r="309" spans="1:14">
      <c r="A309" t="s">
        <v>29</v>
      </c>
      <c r="B309">
        <v>1185732</v>
      </c>
      <c r="C309" s="2">
        <v>44269</v>
      </c>
      <c r="D309" t="s">
        <v>140</v>
      </c>
      <c r="E309" t="s">
        <v>243</v>
      </c>
      <c r="F309" t="s">
        <v>252</v>
      </c>
      <c r="G309" t="s">
        <v>148</v>
      </c>
      <c r="H309" s="3">
        <v>0.45</v>
      </c>
      <c r="I309">
        <v>750</v>
      </c>
      <c r="J309" s="4">
        <v>337.5</v>
      </c>
      <c r="K309" s="4">
        <v>135</v>
      </c>
      <c r="L309" s="5">
        <v>0.4</v>
      </c>
      <c r="M309" t="s">
        <v>24</v>
      </c>
      <c r="N309" t="s">
        <v>361</v>
      </c>
    </row>
    <row r="310" spans="1:14">
      <c r="A310" t="s">
        <v>29</v>
      </c>
      <c r="B310">
        <v>1185732</v>
      </c>
      <c r="C310" s="2">
        <v>44269</v>
      </c>
      <c r="D310" t="s">
        <v>140</v>
      </c>
      <c r="E310" t="s">
        <v>243</v>
      </c>
      <c r="F310" t="s">
        <v>252</v>
      </c>
      <c r="G310" t="s">
        <v>147</v>
      </c>
      <c r="H310" s="3">
        <v>0.6</v>
      </c>
      <c r="I310">
        <v>1250</v>
      </c>
      <c r="J310" s="4">
        <v>750</v>
      </c>
      <c r="K310" s="4">
        <v>262.5</v>
      </c>
      <c r="L310" s="5">
        <v>0.35</v>
      </c>
      <c r="M310" t="s">
        <v>24</v>
      </c>
      <c r="N310" t="s">
        <v>361</v>
      </c>
    </row>
    <row r="311" spans="1:14">
      <c r="A311" t="s">
        <v>29</v>
      </c>
      <c r="B311">
        <v>1185732</v>
      </c>
      <c r="C311" s="2">
        <v>44269</v>
      </c>
      <c r="D311" t="s">
        <v>140</v>
      </c>
      <c r="E311" t="s">
        <v>243</v>
      </c>
      <c r="F311" t="s">
        <v>252</v>
      </c>
      <c r="G311" t="s">
        <v>144</v>
      </c>
      <c r="H311" s="3">
        <v>0.5</v>
      </c>
      <c r="I311">
        <v>2250</v>
      </c>
      <c r="J311" s="4">
        <v>1125</v>
      </c>
      <c r="K311" s="4">
        <v>562.5</v>
      </c>
      <c r="L311" s="5">
        <v>0.5</v>
      </c>
      <c r="M311" t="s">
        <v>24</v>
      </c>
      <c r="N311" t="s">
        <v>361</v>
      </c>
    </row>
    <row r="312" spans="1:14">
      <c r="A312" t="s">
        <v>29</v>
      </c>
      <c r="B312">
        <v>1185732</v>
      </c>
      <c r="C312" s="2">
        <v>44301</v>
      </c>
      <c r="D312" t="s">
        <v>140</v>
      </c>
      <c r="E312" t="s">
        <v>243</v>
      </c>
      <c r="F312" t="s">
        <v>252</v>
      </c>
      <c r="G312" t="s">
        <v>27</v>
      </c>
      <c r="H312" s="3">
        <v>0.5</v>
      </c>
      <c r="I312">
        <v>4500</v>
      </c>
      <c r="J312" s="4">
        <v>2250</v>
      </c>
      <c r="K312" s="4">
        <v>900</v>
      </c>
      <c r="L312" s="5">
        <v>0.4</v>
      </c>
      <c r="M312" t="s">
        <v>127</v>
      </c>
      <c r="N312" t="s">
        <v>362</v>
      </c>
    </row>
    <row r="313" spans="1:14">
      <c r="A313" t="s">
        <v>29</v>
      </c>
      <c r="B313">
        <v>1185732</v>
      </c>
      <c r="C313" s="2">
        <v>44301</v>
      </c>
      <c r="D313" t="s">
        <v>140</v>
      </c>
      <c r="E313" t="s">
        <v>243</v>
      </c>
      <c r="F313" t="s">
        <v>252</v>
      </c>
      <c r="G313" t="s">
        <v>145</v>
      </c>
      <c r="H313" s="3">
        <v>0.5</v>
      </c>
      <c r="I313">
        <v>1500</v>
      </c>
      <c r="J313" s="4">
        <v>750</v>
      </c>
      <c r="K313" s="4">
        <v>262.5</v>
      </c>
      <c r="L313" s="5">
        <v>0.35</v>
      </c>
      <c r="M313" t="s">
        <v>127</v>
      </c>
      <c r="N313" t="s">
        <v>362</v>
      </c>
    </row>
    <row r="314" spans="1:14">
      <c r="A314" t="s">
        <v>29</v>
      </c>
      <c r="B314">
        <v>1185732</v>
      </c>
      <c r="C314" s="2">
        <v>44301</v>
      </c>
      <c r="D314" t="s">
        <v>140</v>
      </c>
      <c r="E314" t="s">
        <v>243</v>
      </c>
      <c r="F314" t="s">
        <v>252</v>
      </c>
      <c r="G314" t="s">
        <v>146</v>
      </c>
      <c r="H314" s="3">
        <v>0.4</v>
      </c>
      <c r="I314">
        <v>1500</v>
      </c>
      <c r="J314" s="4">
        <v>600</v>
      </c>
      <c r="K314" s="4">
        <v>210</v>
      </c>
      <c r="L314" s="5">
        <v>0.35</v>
      </c>
      <c r="M314" t="s">
        <v>127</v>
      </c>
      <c r="N314" t="s">
        <v>362</v>
      </c>
    </row>
    <row r="315" spans="1:14">
      <c r="A315" t="s">
        <v>29</v>
      </c>
      <c r="B315">
        <v>1185732</v>
      </c>
      <c r="C315" s="2">
        <v>44301</v>
      </c>
      <c r="D315" t="s">
        <v>140</v>
      </c>
      <c r="E315" t="s">
        <v>243</v>
      </c>
      <c r="F315" t="s">
        <v>252</v>
      </c>
      <c r="G315" t="s">
        <v>148</v>
      </c>
      <c r="H315" s="3">
        <v>0.45</v>
      </c>
      <c r="I315">
        <v>750</v>
      </c>
      <c r="J315" s="4">
        <v>337.5</v>
      </c>
      <c r="K315" s="4">
        <v>135</v>
      </c>
      <c r="L315" s="5">
        <v>0.4</v>
      </c>
      <c r="M315" t="s">
        <v>127</v>
      </c>
      <c r="N315" t="s">
        <v>362</v>
      </c>
    </row>
    <row r="316" spans="1:14">
      <c r="A316" t="s">
        <v>29</v>
      </c>
      <c r="B316">
        <v>1185732</v>
      </c>
      <c r="C316" s="2">
        <v>44301</v>
      </c>
      <c r="D316" t="s">
        <v>140</v>
      </c>
      <c r="E316" t="s">
        <v>243</v>
      </c>
      <c r="F316" t="s">
        <v>252</v>
      </c>
      <c r="G316" t="s">
        <v>147</v>
      </c>
      <c r="H316" s="3">
        <v>0.6</v>
      </c>
      <c r="I316">
        <v>1000</v>
      </c>
      <c r="J316" s="4">
        <v>600</v>
      </c>
      <c r="K316" s="4">
        <v>210</v>
      </c>
      <c r="L316" s="5">
        <v>0.35</v>
      </c>
      <c r="M316" t="s">
        <v>127</v>
      </c>
      <c r="N316" t="s">
        <v>362</v>
      </c>
    </row>
    <row r="317" spans="1:14">
      <c r="A317" t="s">
        <v>29</v>
      </c>
      <c r="B317">
        <v>1185732</v>
      </c>
      <c r="C317" s="2">
        <v>44301</v>
      </c>
      <c r="D317" t="s">
        <v>140</v>
      </c>
      <c r="E317" t="s">
        <v>243</v>
      </c>
      <c r="F317" t="s">
        <v>252</v>
      </c>
      <c r="G317" t="s">
        <v>144</v>
      </c>
      <c r="H317" s="3">
        <v>0.5</v>
      </c>
      <c r="I317">
        <v>2250</v>
      </c>
      <c r="J317" s="4">
        <v>1125</v>
      </c>
      <c r="K317" s="4">
        <v>562.5</v>
      </c>
      <c r="L317" s="5">
        <v>0.5</v>
      </c>
      <c r="M317" t="s">
        <v>127</v>
      </c>
      <c r="N317" t="s">
        <v>362</v>
      </c>
    </row>
    <row r="318" spans="1:14">
      <c r="A318" t="s">
        <v>29</v>
      </c>
      <c r="B318">
        <v>1185732</v>
      </c>
      <c r="C318" s="2">
        <v>44332</v>
      </c>
      <c r="D318" t="s">
        <v>140</v>
      </c>
      <c r="E318" t="s">
        <v>243</v>
      </c>
      <c r="F318" t="s">
        <v>252</v>
      </c>
      <c r="G318" t="s">
        <v>27</v>
      </c>
      <c r="H318" s="3">
        <v>0.6</v>
      </c>
      <c r="I318">
        <v>4950</v>
      </c>
      <c r="J318" s="4">
        <v>2970</v>
      </c>
      <c r="K318" s="4">
        <v>1188</v>
      </c>
      <c r="L318" s="5">
        <v>0.4</v>
      </c>
      <c r="M318" t="s">
        <v>128</v>
      </c>
      <c r="N318" t="s">
        <v>362</v>
      </c>
    </row>
    <row r="319" spans="1:14">
      <c r="A319" t="s">
        <v>29</v>
      </c>
      <c r="B319">
        <v>1185732</v>
      </c>
      <c r="C319" s="2">
        <v>44332</v>
      </c>
      <c r="D319" t="s">
        <v>140</v>
      </c>
      <c r="E319" t="s">
        <v>243</v>
      </c>
      <c r="F319" t="s">
        <v>252</v>
      </c>
      <c r="G319" t="s">
        <v>145</v>
      </c>
      <c r="H319" s="3">
        <v>0.55000000000000004</v>
      </c>
      <c r="I319">
        <v>2000</v>
      </c>
      <c r="J319" s="4">
        <v>1100</v>
      </c>
      <c r="K319" s="4">
        <v>385</v>
      </c>
      <c r="L319" s="5">
        <v>0.35</v>
      </c>
      <c r="M319" t="s">
        <v>128</v>
      </c>
      <c r="N319" t="s">
        <v>362</v>
      </c>
    </row>
    <row r="320" spans="1:14">
      <c r="A320" t="s">
        <v>29</v>
      </c>
      <c r="B320">
        <v>1185732</v>
      </c>
      <c r="C320" s="2">
        <v>44332</v>
      </c>
      <c r="D320" t="s">
        <v>140</v>
      </c>
      <c r="E320" t="s">
        <v>243</v>
      </c>
      <c r="F320" t="s">
        <v>252</v>
      </c>
      <c r="G320" t="s">
        <v>146</v>
      </c>
      <c r="H320" s="3">
        <v>0.5</v>
      </c>
      <c r="I320">
        <v>1750</v>
      </c>
      <c r="J320" s="4">
        <v>875</v>
      </c>
      <c r="K320" s="4">
        <v>306.25</v>
      </c>
      <c r="L320" s="5">
        <v>0.35</v>
      </c>
      <c r="M320" t="s">
        <v>128</v>
      </c>
      <c r="N320" t="s">
        <v>362</v>
      </c>
    </row>
    <row r="321" spans="1:14">
      <c r="A321" t="s">
        <v>29</v>
      </c>
      <c r="B321">
        <v>1185732</v>
      </c>
      <c r="C321" s="2">
        <v>44332</v>
      </c>
      <c r="D321" t="s">
        <v>140</v>
      </c>
      <c r="E321" t="s">
        <v>243</v>
      </c>
      <c r="F321" t="s">
        <v>252</v>
      </c>
      <c r="G321" t="s">
        <v>148</v>
      </c>
      <c r="H321" s="3">
        <v>0.5</v>
      </c>
      <c r="I321">
        <v>1000</v>
      </c>
      <c r="J321" s="4">
        <v>500</v>
      </c>
      <c r="K321" s="4">
        <v>200</v>
      </c>
      <c r="L321" s="5">
        <v>0.4</v>
      </c>
      <c r="M321" t="s">
        <v>128</v>
      </c>
      <c r="N321" t="s">
        <v>362</v>
      </c>
    </row>
    <row r="322" spans="1:14">
      <c r="A322" t="s">
        <v>29</v>
      </c>
      <c r="B322">
        <v>1185732</v>
      </c>
      <c r="C322" s="2">
        <v>44332</v>
      </c>
      <c r="D322" t="s">
        <v>140</v>
      </c>
      <c r="E322" t="s">
        <v>243</v>
      </c>
      <c r="F322" t="s">
        <v>252</v>
      </c>
      <c r="G322" t="s">
        <v>147</v>
      </c>
      <c r="H322" s="3">
        <v>0.6</v>
      </c>
      <c r="I322">
        <v>1250</v>
      </c>
      <c r="J322" s="4">
        <v>750</v>
      </c>
      <c r="K322" s="4">
        <v>262.5</v>
      </c>
      <c r="L322" s="5">
        <v>0.35</v>
      </c>
      <c r="M322" t="s">
        <v>128</v>
      </c>
      <c r="N322" t="s">
        <v>362</v>
      </c>
    </row>
    <row r="323" spans="1:14">
      <c r="A323" t="s">
        <v>29</v>
      </c>
      <c r="B323">
        <v>1185732</v>
      </c>
      <c r="C323" s="2">
        <v>44332</v>
      </c>
      <c r="D323" t="s">
        <v>140</v>
      </c>
      <c r="E323" t="s">
        <v>243</v>
      </c>
      <c r="F323" t="s">
        <v>252</v>
      </c>
      <c r="G323" t="s">
        <v>144</v>
      </c>
      <c r="H323" s="3">
        <v>0.65</v>
      </c>
      <c r="I323">
        <v>2500</v>
      </c>
      <c r="J323" s="4">
        <v>1625</v>
      </c>
      <c r="K323" s="4">
        <v>812.5</v>
      </c>
      <c r="L323" s="5">
        <v>0.5</v>
      </c>
      <c r="M323" t="s">
        <v>128</v>
      </c>
      <c r="N323" t="s">
        <v>362</v>
      </c>
    </row>
    <row r="324" spans="1:14">
      <c r="A324" t="s">
        <v>29</v>
      </c>
      <c r="B324">
        <v>1185732</v>
      </c>
      <c r="C324" s="2">
        <v>44362</v>
      </c>
      <c r="D324" t="s">
        <v>140</v>
      </c>
      <c r="E324" t="s">
        <v>243</v>
      </c>
      <c r="F324" t="s">
        <v>252</v>
      </c>
      <c r="G324" t="s">
        <v>27</v>
      </c>
      <c r="H324" s="3">
        <v>0.5</v>
      </c>
      <c r="I324">
        <v>5000</v>
      </c>
      <c r="J324" s="4">
        <v>2500</v>
      </c>
      <c r="K324" s="4">
        <v>1000</v>
      </c>
      <c r="L324" s="5">
        <v>0.4</v>
      </c>
      <c r="M324" t="s">
        <v>129</v>
      </c>
      <c r="N324" t="s">
        <v>362</v>
      </c>
    </row>
    <row r="325" spans="1:14">
      <c r="A325" t="s">
        <v>29</v>
      </c>
      <c r="B325">
        <v>1185732</v>
      </c>
      <c r="C325" s="2">
        <v>44362</v>
      </c>
      <c r="D325" t="s">
        <v>140</v>
      </c>
      <c r="E325" t="s">
        <v>243</v>
      </c>
      <c r="F325" t="s">
        <v>252</v>
      </c>
      <c r="G325" t="s">
        <v>145</v>
      </c>
      <c r="H325" s="3">
        <v>0.45000000000000007</v>
      </c>
      <c r="I325">
        <v>2500</v>
      </c>
      <c r="J325" s="4">
        <v>1125.0000000000002</v>
      </c>
      <c r="K325" s="4">
        <v>393.75000000000006</v>
      </c>
      <c r="L325" s="5">
        <v>0.35</v>
      </c>
      <c r="M325" t="s">
        <v>129</v>
      </c>
      <c r="N325" t="s">
        <v>362</v>
      </c>
    </row>
    <row r="326" spans="1:14">
      <c r="A326" t="s">
        <v>29</v>
      </c>
      <c r="B326">
        <v>1185732</v>
      </c>
      <c r="C326" s="2">
        <v>44362</v>
      </c>
      <c r="D326" t="s">
        <v>140</v>
      </c>
      <c r="E326" t="s">
        <v>243</v>
      </c>
      <c r="F326" t="s">
        <v>252</v>
      </c>
      <c r="G326" t="s">
        <v>146</v>
      </c>
      <c r="H326" s="3">
        <v>0.4</v>
      </c>
      <c r="I326">
        <v>2000</v>
      </c>
      <c r="J326" s="4">
        <v>800</v>
      </c>
      <c r="K326" s="4">
        <v>280</v>
      </c>
      <c r="L326" s="5">
        <v>0.35</v>
      </c>
      <c r="M326" t="s">
        <v>129</v>
      </c>
      <c r="N326" t="s">
        <v>362</v>
      </c>
    </row>
    <row r="327" spans="1:14">
      <c r="A327" t="s">
        <v>29</v>
      </c>
      <c r="B327">
        <v>1185732</v>
      </c>
      <c r="C327" s="2">
        <v>44362</v>
      </c>
      <c r="D327" t="s">
        <v>140</v>
      </c>
      <c r="E327" t="s">
        <v>243</v>
      </c>
      <c r="F327" t="s">
        <v>252</v>
      </c>
      <c r="G327" t="s">
        <v>148</v>
      </c>
      <c r="H327" s="3">
        <v>0.4</v>
      </c>
      <c r="I327">
        <v>1750</v>
      </c>
      <c r="J327" s="4">
        <v>700</v>
      </c>
      <c r="K327" s="4">
        <v>280</v>
      </c>
      <c r="L327" s="5">
        <v>0.4</v>
      </c>
      <c r="M327" t="s">
        <v>129</v>
      </c>
      <c r="N327" t="s">
        <v>362</v>
      </c>
    </row>
    <row r="328" spans="1:14">
      <c r="A328" t="s">
        <v>29</v>
      </c>
      <c r="B328">
        <v>1185732</v>
      </c>
      <c r="C328" s="2">
        <v>44362</v>
      </c>
      <c r="D328" t="s">
        <v>140</v>
      </c>
      <c r="E328" t="s">
        <v>243</v>
      </c>
      <c r="F328" t="s">
        <v>252</v>
      </c>
      <c r="G328" t="s">
        <v>147</v>
      </c>
      <c r="H328" s="3">
        <v>0.5</v>
      </c>
      <c r="I328">
        <v>1750</v>
      </c>
      <c r="J328" s="4">
        <v>875</v>
      </c>
      <c r="K328" s="4">
        <v>306.25</v>
      </c>
      <c r="L328" s="5">
        <v>0.35</v>
      </c>
      <c r="M328" t="s">
        <v>129</v>
      </c>
      <c r="N328" t="s">
        <v>362</v>
      </c>
    </row>
    <row r="329" spans="1:14">
      <c r="A329" t="s">
        <v>29</v>
      </c>
      <c r="B329">
        <v>1185732</v>
      </c>
      <c r="C329" s="2">
        <v>44362</v>
      </c>
      <c r="D329" t="s">
        <v>140</v>
      </c>
      <c r="E329" t="s">
        <v>243</v>
      </c>
      <c r="F329" t="s">
        <v>252</v>
      </c>
      <c r="G329" t="s">
        <v>144</v>
      </c>
      <c r="H329" s="3">
        <v>0.55000000000000004</v>
      </c>
      <c r="I329">
        <v>3500</v>
      </c>
      <c r="J329" s="4">
        <v>1925.0000000000002</v>
      </c>
      <c r="K329" s="4">
        <v>962.50000000000011</v>
      </c>
      <c r="L329" s="5">
        <v>0.5</v>
      </c>
      <c r="M329" t="s">
        <v>129</v>
      </c>
      <c r="N329" t="s">
        <v>362</v>
      </c>
    </row>
    <row r="330" spans="1:14">
      <c r="A330" t="s">
        <v>29</v>
      </c>
      <c r="B330">
        <v>1185732</v>
      </c>
      <c r="C330" s="2">
        <v>44391</v>
      </c>
      <c r="D330" t="s">
        <v>140</v>
      </c>
      <c r="E330" t="s">
        <v>243</v>
      </c>
      <c r="F330" t="s">
        <v>252</v>
      </c>
      <c r="G330" t="s">
        <v>27</v>
      </c>
      <c r="H330" s="3">
        <v>0.5</v>
      </c>
      <c r="I330">
        <v>5750</v>
      </c>
      <c r="J330" s="4">
        <v>2875</v>
      </c>
      <c r="K330" s="4">
        <v>1150</v>
      </c>
      <c r="L330" s="5">
        <v>0.4</v>
      </c>
      <c r="M330" t="s">
        <v>130</v>
      </c>
      <c r="N330" t="s">
        <v>363</v>
      </c>
    </row>
    <row r="331" spans="1:14">
      <c r="A331" t="s">
        <v>29</v>
      </c>
      <c r="B331">
        <v>1185732</v>
      </c>
      <c r="C331" s="2">
        <v>44391</v>
      </c>
      <c r="D331" t="s">
        <v>140</v>
      </c>
      <c r="E331" t="s">
        <v>243</v>
      </c>
      <c r="F331" t="s">
        <v>252</v>
      </c>
      <c r="G331" t="s">
        <v>145</v>
      </c>
      <c r="H331" s="3">
        <v>0.45000000000000007</v>
      </c>
      <c r="I331">
        <v>3250</v>
      </c>
      <c r="J331" s="4">
        <v>1462.5000000000002</v>
      </c>
      <c r="K331" s="4">
        <v>511.87500000000006</v>
      </c>
      <c r="L331" s="5">
        <v>0.35</v>
      </c>
      <c r="M331" t="s">
        <v>130</v>
      </c>
      <c r="N331" t="s">
        <v>363</v>
      </c>
    </row>
    <row r="332" spans="1:14">
      <c r="A332" t="s">
        <v>29</v>
      </c>
      <c r="B332">
        <v>1185732</v>
      </c>
      <c r="C332" s="2">
        <v>44391</v>
      </c>
      <c r="D332" t="s">
        <v>140</v>
      </c>
      <c r="E332" t="s">
        <v>243</v>
      </c>
      <c r="F332" t="s">
        <v>252</v>
      </c>
      <c r="G332" t="s">
        <v>146</v>
      </c>
      <c r="H332" s="3">
        <v>0.4</v>
      </c>
      <c r="I332">
        <v>2500</v>
      </c>
      <c r="J332" s="4">
        <v>1000</v>
      </c>
      <c r="K332" s="4">
        <v>350</v>
      </c>
      <c r="L332" s="5">
        <v>0.35</v>
      </c>
      <c r="M332" t="s">
        <v>130</v>
      </c>
      <c r="N332" t="s">
        <v>363</v>
      </c>
    </row>
    <row r="333" spans="1:14">
      <c r="A333" t="s">
        <v>29</v>
      </c>
      <c r="B333">
        <v>1185732</v>
      </c>
      <c r="C333" s="2">
        <v>44391</v>
      </c>
      <c r="D333" t="s">
        <v>140</v>
      </c>
      <c r="E333" t="s">
        <v>243</v>
      </c>
      <c r="F333" t="s">
        <v>252</v>
      </c>
      <c r="G333" t="s">
        <v>148</v>
      </c>
      <c r="H333" s="3">
        <v>0.4</v>
      </c>
      <c r="I333">
        <v>2000</v>
      </c>
      <c r="J333" s="4">
        <v>800</v>
      </c>
      <c r="K333" s="4">
        <v>320</v>
      </c>
      <c r="L333" s="5">
        <v>0.4</v>
      </c>
      <c r="M333" t="s">
        <v>130</v>
      </c>
      <c r="N333" t="s">
        <v>363</v>
      </c>
    </row>
    <row r="334" spans="1:14">
      <c r="A334" t="s">
        <v>29</v>
      </c>
      <c r="B334">
        <v>1185732</v>
      </c>
      <c r="C334" s="2">
        <v>44391</v>
      </c>
      <c r="D334" t="s">
        <v>140</v>
      </c>
      <c r="E334" t="s">
        <v>243</v>
      </c>
      <c r="F334" t="s">
        <v>252</v>
      </c>
      <c r="G334" t="s">
        <v>147</v>
      </c>
      <c r="H334" s="3">
        <v>0.5</v>
      </c>
      <c r="I334">
        <v>2250</v>
      </c>
      <c r="J334" s="4">
        <v>1125</v>
      </c>
      <c r="K334" s="4">
        <v>393.75</v>
      </c>
      <c r="L334" s="5">
        <v>0.35</v>
      </c>
      <c r="M334" t="s">
        <v>130</v>
      </c>
      <c r="N334" t="s">
        <v>363</v>
      </c>
    </row>
    <row r="335" spans="1:14">
      <c r="A335" t="s">
        <v>29</v>
      </c>
      <c r="B335">
        <v>1185732</v>
      </c>
      <c r="C335" s="2">
        <v>44391</v>
      </c>
      <c r="D335" t="s">
        <v>140</v>
      </c>
      <c r="E335" t="s">
        <v>243</v>
      </c>
      <c r="F335" t="s">
        <v>252</v>
      </c>
      <c r="G335" t="s">
        <v>144</v>
      </c>
      <c r="H335" s="3">
        <v>0.55000000000000004</v>
      </c>
      <c r="I335">
        <v>4000</v>
      </c>
      <c r="J335" s="4">
        <v>2200</v>
      </c>
      <c r="K335" s="4">
        <v>1100</v>
      </c>
      <c r="L335" s="5">
        <v>0.5</v>
      </c>
      <c r="M335" t="s">
        <v>130</v>
      </c>
      <c r="N335" t="s">
        <v>363</v>
      </c>
    </row>
    <row r="336" spans="1:14">
      <c r="A336" t="s">
        <v>29</v>
      </c>
      <c r="B336">
        <v>1185732</v>
      </c>
      <c r="C336" s="2">
        <v>44423</v>
      </c>
      <c r="D336" t="s">
        <v>140</v>
      </c>
      <c r="E336" t="s">
        <v>243</v>
      </c>
      <c r="F336" t="s">
        <v>252</v>
      </c>
      <c r="G336" t="s">
        <v>27</v>
      </c>
      <c r="H336" s="3">
        <v>0.5</v>
      </c>
      <c r="I336">
        <v>5500</v>
      </c>
      <c r="J336" s="4">
        <v>2750</v>
      </c>
      <c r="K336" s="4">
        <v>1100</v>
      </c>
      <c r="L336" s="5">
        <v>0.4</v>
      </c>
      <c r="M336" t="s">
        <v>131</v>
      </c>
      <c r="N336" t="s">
        <v>363</v>
      </c>
    </row>
    <row r="337" spans="1:14">
      <c r="A337" t="s">
        <v>29</v>
      </c>
      <c r="B337">
        <v>1185732</v>
      </c>
      <c r="C337" s="2">
        <v>44423</v>
      </c>
      <c r="D337" t="s">
        <v>140</v>
      </c>
      <c r="E337" t="s">
        <v>243</v>
      </c>
      <c r="F337" t="s">
        <v>252</v>
      </c>
      <c r="G337" t="s">
        <v>145</v>
      </c>
      <c r="H337" s="3">
        <v>0.45000000000000007</v>
      </c>
      <c r="I337">
        <v>3250</v>
      </c>
      <c r="J337" s="4">
        <v>1462.5000000000002</v>
      </c>
      <c r="K337" s="4">
        <v>511.87500000000006</v>
      </c>
      <c r="L337" s="5">
        <v>0.35</v>
      </c>
      <c r="M337" t="s">
        <v>131</v>
      </c>
      <c r="N337" t="s">
        <v>363</v>
      </c>
    </row>
    <row r="338" spans="1:14">
      <c r="A338" t="s">
        <v>29</v>
      </c>
      <c r="B338">
        <v>1185732</v>
      </c>
      <c r="C338" s="2">
        <v>44423</v>
      </c>
      <c r="D338" t="s">
        <v>140</v>
      </c>
      <c r="E338" t="s">
        <v>243</v>
      </c>
      <c r="F338" t="s">
        <v>252</v>
      </c>
      <c r="G338" t="s">
        <v>146</v>
      </c>
      <c r="H338" s="3">
        <v>0.4</v>
      </c>
      <c r="I338">
        <v>2500</v>
      </c>
      <c r="J338" s="4">
        <v>1000</v>
      </c>
      <c r="K338" s="4">
        <v>350</v>
      </c>
      <c r="L338" s="5">
        <v>0.35</v>
      </c>
      <c r="M338" t="s">
        <v>131</v>
      </c>
      <c r="N338" t="s">
        <v>363</v>
      </c>
    </row>
    <row r="339" spans="1:14">
      <c r="A339" t="s">
        <v>29</v>
      </c>
      <c r="B339">
        <v>1185732</v>
      </c>
      <c r="C339" s="2">
        <v>44423</v>
      </c>
      <c r="D339" t="s">
        <v>140</v>
      </c>
      <c r="E339" t="s">
        <v>243</v>
      </c>
      <c r="F339" t="s">
        <v>252</v>
      </c>
      <c r="G339" t="s">
        <v>148</v>
      </c>
      <c r="H339" s="3">
        <v>0.4</v>
      </c>
      <c r="I339">
        <v>2250</v>
      </c>
      <c r="J339" s="4">
        <v>900</v>
      </c>
      <c r="K339" s="4">
        <v>360</v>
      </c>
      <c r="L339" s="5">
        <v>0.4</v>
      </c>
      <c r="M339" t="s">
        <v>131</v>
      </c>
      <c r="N339" t="s">
        <v>363</v>
      </c>
    </row>
    <row r="340" spans="1:14">
      <c r="A340" t="s">
        <v>29</v>
      </c>
      <c r="B340">
        <v>1185732</v>
      </c>
      <c r="C340" s="2">
        <v>44423</v>
      </c>
      <c r="D340" t="s">
        <v>140</v>
      </c>
      <c r="E340" t="s">
        <v>243</v>
      </c>
      <c r="F340" t="s">
        <v>252</v>
      </c>
      <c r="G340" t="s">
        <v>147</v>
      </c>
      <c r="H340" s="3">
        <v>0.5</v>
      </c>
      <c r="I340">
        <v>2000</v>
      </c>
      <c r="J340" s="4">
        <v>1000</v>
      </c>
      <c r="K340" s="4">
        <v>350</v>
      </c>
      <c r="L340" s="5">
        <v>0.35</v>
      </c>
      <c r="M340" t="s">
        <v>131</v>
      </c>
      <c r="N340" t="s">
        <v>363</v>
      </c>
    </row>
    <row r="341" spans="1:14">
      <c r="A341" t="s">
        <v>29</v>
      </c>
      <c r="B341">
        <v>1185732</v>
      </c>
      <c r="C341" s="2">
        <v>44423</v>
      </c>
      <c r="D341" t="s">
        <v>140</v>
      </c>
      <c r="E341" t="s">
        <v>243</v>
      </c>
      <c r="F341" t="s">
        <v>252</v>
      </c>
      <c r="G341" t="s">
        <v>144</v>
      </c>
      <c r="H341" s="3">
        <v>0.55000000000000004</v>
      </c>
      <c r="I341">
        <v>3750</v>
      </c>
      <c r="J341" s="4">
        <v>2062.5</v>
      </c>
      <c r="K341" s="4">
        <v>1031.25</v>
      </c>
      <c r="L341" s="5">
        <v>0.5</v>
      </c>
      <c r="M341" t="s">
        <v>131</v>
      </c>
      <c r="N341" t="s">
        <v>363</v>
      </c>
    </row>
    <row r="342" spans="1:14">
      <c r="A342" t="s">
        <v>29</v>
      </c>
      <c r="B342">
        <v>1185732</v>
      </c>
      <c r="C342" s="2">
        <v>44455</v>
      </c>
      <c r="D342" t="s">
        <v>140</v>
      </c>
      <c r="E342" t="s">
        <v>243</v>
      </c>
      <c r="F342" t="s">
        <v>252</v>
      </c>
      <c r="G342" t="s">
        <v>27</v>
      </c>
      <c r="H342" s="3">
        <v>0.5</v>
      </c>
      <c r="I342">
        <v>5000</v>
      </c>
      <c r="J342" s="4">
        <v>2500</v>
      </c>
      <c r="K342" s="4">
        <v>1000</v>
      </c>
      <c r="L342" s="5">
        <v>0.4</v>
      </c>
      <c r="M342" t="s">
        <v>132</v>
      </c>
      <c r="N342" t="s">
        <v>363</v>
      </c>
    </row>
    <row r="343" spans="1:14">
      <c r="A343" t="s">
        <v>29</v>
      </c>
      <c r="B343">
        <v>1185732</v>
      </c>
      <c r="C343" s="2">
        <v>44455</v>
      </c>
      <c r="D343" t="s">
        <v>140</v>
      </c>
      <c r="E343" t="s">
        <v>243</v>
      </c>
      <c r="F343" t="s">
        <v>252</v>
      </c>
      <c r="G343" t="s">
        <v>145</v>
      </c>
      <c r="H343" s="3">
        <v>0.45000000000000007</v>
      </c>
      <c r="I343">
        <v>3000</v>
      </c>
      <c r="J343" s="4">
        <v>1350.0000000000002</v>
      </c>
      <c r="K343" s="4">
        <v>472.50000000000006</v>
      </c>
      <c r="L343" s="5">
        <v>0.35</v>
      </c>
      <c r="M343" t="s">
        <v>132</v>
      </c>
      <c r="N343" t="s">
        <v>363</v>
      </c>
    </row>
    <row r="344" spans="1:14">
      <c r="A344" t="s">
        <v>29</v>
      </c>
      <c r="B344">
        <v>1185732</v>
      </c>
      <c r="C344" s="2">
        <v>44455</v>
      </c>
      <c r="D344" t="s">
        <v>140</v>
      </c>
      <c r="E344" t="s">
        <v>243</v>
      </c>
      <c r="F344" t="s">
        <v>252</v>
      </c>
      <c r="G344" t="s">
        <v>146</v>
      </c>
      <c r="H344" s="3">
        <v>0.4</v>
      </c>
      <c r="I344">
        <v>2000</v>
      </c>
      <c r="J344" s="4">
        <v>800</v>
      </c>
      <c r="K344" s="4">
        <v>280</v>
      </c>
      <c r="L344" s="5">
        <v>0.35</v>
      </c>
      <c r="M344" t="s">
        <v>132</v>
      </c>
      <c r="N344" t="s">
        <v>363</v>
      </c>
    </row>
    <row r="345" spans="1:14">
      <c r="A345" t="s">
        <v>29</v>
      </c>
      <c r="B345">
        <v>1185732</v>
      </c>
      <c r="C345" s="2">
        <v>44455</v>
      </c>
      <c r="D345" t="s">
        <v>140</v>
      </c>
      <c r="E345" t="s">
        <v>243</v>
      </c>
      <c r="F345" t="s">
        <v>252</v>
      </c>
      <c r="G345" t="s">
        <v>148</v>
      </c>
      <c r="H345" s="3">
        <v>0.4</v>
      </c>
      <c r="I345">
        <v>1750</v>
      </c>
      <c r="J345" s="4">
        <v>700</v>
      </c>
      <c r="K345" s="4">
        <v>280</v>
      </c>
      <c r="L345" s="5">
        <v>0.4</v>
      </c>
      <c r="M345" t="s">
        <v>132</v>
      </c>
      <c r="N345" t="s">
        <v>363</v>
      </c>
    </row>
    <row r="346" spans="1:14">
      <c r="A346" t="s">
        <v>29</v>
      </c>
      <c r="B346">
        <v>1185732</v>
      </c>
      <c r="C346" s="2">
        <v>44455</v>
      </c>
      <c r="D346" t="s">
        <v>140</v>
      </c>
      <c r="E346" t="s">
        <v>243</v>
      </c>
      <c r="F346" t="s">
        <v>252</v>
      </c>
      <c r="G346" t="s">
        <v>147</v>
      </c>
      <c r="H346" s="3">
        <v>0.5</v>
      </c>
      <c r="I346">
        <v>1750</v>
      </c>
      <c r="J346" s="4">
        <v>875</v>
      </c>
      <c r="K346" s="4">
        <v>306.25</v>
      </c>
      <c r="L346" s="5">
        <v>0.35</v>
      </c>
      <c r="M346" t="s">
        <v>132</v>
      </c>
      <c r="N346" t="s">
        <v>363</v>
      </c>
    </row>
    <row r="347" spans="1:14">
      <c r="A347" t="s">
        <v>29</v>
      </c>
      <c r="B347">
        <v>1185732</v>
      </c>
      <c r="C347" s="2">
        <v>44455</v>
      </c>
      <c r="D347" t="s">
        <v>140</v>
      </c>
      <c r="E347" t="s">
        <v>243</v>
      </c>
      <c r="F347" t="s">
        <v>252</v>
      </c>
      <c r="G347" t="s">
        <v>144</v>
      </c>
      <c r="H347" s="3">
        <v>0.55000000000000004</v>
      </c>
      <c r="I347">
        <v>2500</v>
      </c>
      <c r="J347" s="4">
        <v>1375</v>
      </c>
      <c r="K347" s="4">
        <v>687.5</v>
      </c>
      <c r="L347" s="5">
        <v>0.5</v>
      </c>
      <c r="M347" t="s">
        <v>132</v>
      </c>
      <c r="N347" t="s">
        <v>363</v>
      </c>
    </row>
    <row r="348" spans="1:14">
      <c r="A348" t="s">
        <v>29</v>
      </c>
      <c r="B348">
        <v>1185732</v>
      </c>
      <c r="C348" s="2">
        <v>44484</v>
      </c>
      <c r="D348" t="s">
        <v>140</v>
      </c>
      <c r="E348" t="s">
        <v>243</v>
      </c>
      <c r="F348" t="s">
        <v>252</v>
      </c>
      <c r="G348" t="s">
        <v>27</v>
      </c>
      <c r="H348" s="3">
        <v>0.6</v>
      </c>
      <c r="I348">
        <v>4250</v>
      </c>
      <c r="J348" s="4">
        <v>2550</v>
      </c>
      <c r="K348" s="4">
        <v>1020</v>
      </c>
      <c r="L348" s="5">
        <v>0.4</v>
      </c>
      <c r="M348" t="s">
        <v>133</v>
      </c>
      <c r="N348" t="s">
        <v>364</v>
      </c>
    </row>
    <row r="349" spans="1:14">
      <c r="A349" t="s">
        <v>29</v>
      </c>
      <c r="B349">
        <v>1185732</v>
      </c>
      <c r="C349" s="2">
        <v>44484</v>
      </c>
      <c r="D349" t="s">
        <v>140</v>
      </c>
      <c r="E349" t="s">
        <v>243</v>
      </c>
      <c r="F349" t="s">
        <v>252</v>
      </c>
      <c r="G349" t="s">
        <v>145</v>
      </c>
      <c r="H349" s="3">
        <v>0.5</v>
      </c>
      <c r="I349">
        <v>2500</v>
      </c>
      <c r="J349" s="4">
        <v>1250</v>
      </c>
      <c r="K349" s="4">
        <v>437.5</v>
      </c>
      <c r="L349" s="5">
        <v>0.35</v>
      </c>
      <c r="M349" t="s">
        <v>133</v>
      </c>
      <c r="N349" t="s">
        <v>364</v>
      </c>
    </row>
    <row r="350" spans="1:14">
      <c r="A350" t="s">
        <v>29</v>
      </c>
      <c r="B350">
        <v>1185732</v>
      </c>
      <c r="C350" s="2">
        <v>44484</v>
      </c>
      <c r="D350" t="s">
        <v>140</v>
      </c>
      <c r="E350" t="s">
        <v>243</v>
      </c>
      <c r="F350" t="s">
        <v>252</v>
      </c>
      <c r="G350" t="s">
        <v>146</v>
      </c>
      <c r="H350" s="3">
        <v>0.5</v>
      </c>
      <c r="I350">
        <v>1500</v>
      </c>
      <c r="J350" s="4">
        <v>750</v>
      </c>
      <c r="K350" s="4">
        <v>262.5</v>
      </c>
      <c r="L350" s="5">
        <v>0.35</v>
      </c>
      <c r="M350" t="s">
        <v>133</v>
      </c>
      <c r="N350" t="s">
        <v>364</v>
      </c>
    </row>
    <row r="351" spans="1:14">
      <c r="A351" t="s">
        <v>29</v>
      </c>
      <c r="B351">
        <v>1185732</v>
      </c>
      <c r="C351" s="2">
        <v>44484</v>
      </c>
      <c r="D351" t="s">
        <v>140</v>
      </c>
      <c r="E351" t="s">
        <v>243</v>
      </c>
      <c r="F351" t="s">
        <v>252</v>
      </c>
      <c r="G351" t="s">
        <v>148</v>
      </c>
      <c r="H351" s="3">
        <v>0.5</v>
      </c>
      <c r="I351">
        <v>1250</v>
      </c>
      <c r="J351" s="4">
        <v>625</v>
      </c>
      <c r="K351" s="4">
        <v>250</v>
      </c>
      <c r="L351" s="5">
        <v>0.4</v>
      </c>
      <c r="M351" t="s">
        <v>133</v>
      </c>
      <c r="N351" t="s">
        <v>364</v>
      </c>
    </row>
    <row r="352" spans="1:14">
      <c r="A352" t="s">
        <v>29</v>
      </c>
      <c r="B352">
        <v>1185732</v>
      </c>
      <c r="C352" s="2">
        <v>44484</v>
      </c>
      <c r="D352" t="s">
        <v>140</v>
      </c>
      <c r="E352" t="s">
        <v>243</v>
      </c>
      <c r="F352" t="s">
        <v>252</v>
      </c>
      <c r="G352" t="s">
        <v>147</v>
      </c>
      <c r="H352" s="3">
        <v>0.6</v>
      </c>
      <c r="I352">
        <v>1250</v>
      </c>
      <c r="J352" s="4">
        <v>750</v>
      </c>
      <c r="K352" s="4">
        <v>262.5</v>
      </c>
      <c r="L352" s="5">
        <v>0.35</v>
      </c>
      <c r="M352" t="s">
        <v>133</v>
      </c>
      <c r="N352" t="s">
        <v>364</v>
      </c>
    </row>
    <row r="353" spans="1:14">
      <c r="A353" t="s">
        <v>29</v>
      </c>
      <c r="B353">
        <v>1185732</v>
      </c>
      <c r="C353" s="2">
        <v>44484</v>
      </c>
      <c r="D353" t="s">
        <v>140</v>
      </c>
      <c r="E353" t="s">
        <v>243</v>
      </c>
      <c r="F353" t="s">
        <v>252</v>
      </c>
      <c r="G353" t="s">
        <v>144</v>
      </c>
      <c r="H353" s="3">
        <v>0.64999999999999991</v>
      </c>
      <c r="I353">
        <v>2500</v>
      </c>
      <c r="J353" s="4">
        <v>1624.9999999999998</v>
      </c>
      <c r="K353" s="4">
        <v>812.49999999999989</v>
      </c>
      <c r="L353" s="5">
        <v>0.5</v>
      </c>
      <c r="M353" t="s">
        <v>133</v>
      </c>
      <c r="N353" t="s">
        <v>364</v>
      </c>
    </row>
    <row r="354" spans="1:14">
      <c r="A354" t="s">
        <v>29</v>
      </c>
      <c r="B354">
        <v>1185732</v>
      </c>
      <c r="C354" s="2">
        <v>44515</v>
      </c>
      <c r="D354" t="s">
        <v>140</v>
      </c>
      <c r="E354" t="s">
        <v>243</v>
      </c>
      <c r="F354" t="s">
        <v>252</v>
      </c>
      <c r="G354" t="s">
        <v>27</v>
      </c>
      <c r="H354" s="3">
        <v>0.6</v>
      </c>
      <c r="I354">
        <v>4000</v>
      </c>
      <c r="J354" s="4">
        <v>2400</v>
      </c>
      <c r="K354" s="4">
        <v>960</v>
      </c>
      <c r="L354" s="5">
        <v>0.4</v>
      </c>
      <c r="M354" t="s">
        <v>134</v>
      </c>
      <c r="N354" t="s">
        <v>364</v>
      </c>
    </row>
    <row r="355" spans="1:14">
      <c r="A355" t="s">
        <v>29</v>
      </c>
      <c r="B355">
        <v>1185732</v>
      </c>
      <c r="C355" s="2">
        <v>44515</v>
      </c>
      <c r="D355" t="s">
        <v>140</v>
      </c>
      <c r="E355" t="s">
        <v>243</v>
      </c>
      <c r="F355" t="s">
        <v>252</v>
      </c>
      <c r="G355" t="s">
        <v>145</v>
      </c>
      <c r="H355" s="3">
        <v>0.5</v>
      </c>
      <c r="I355">
        <v>2500</v>
      </c>
      <c r="J355" s="4">
        <v>1250</v>
      </c>
      <c r="K355" s="4">
        <v>437.5</v>
      </c>
      <c r="L355" s="5">
        <v>0.35</v>
      </c>
      <c r="M355" t="s">
        <v>134</v>
      </c>
      <c r="N355" t="s">
        <v>364</v>
      </c>
    </row>
    <row r="356" spans="1:14">
      <c r="A356" t="s">
        <v>29</v>
      </c>
      <c r="B356">
        <v>1185732</v>
      </c>
      <c r="C356" s="2">
        <v>44515</v>
      </c>
      <c r="D356" t="s">
        <v>140</v>
      </c>
      <c r="E356" t="s">
        <v>243</v>
      </c>
      <c r="F356" t="s">
        <v>252</v>
      </c>
      <c r="G356" t="s">
        <v>146</v>
      </c>
      <c r="H356" s="3">
        <v>0.5</v>
      </c>
      <c r="I356">
        <v>1950</v>
      </c>
      <c r="J356" s="4">
        <v>975</v>
      </c>
      <c r="K356" s="4">
        <v>341.25</v>
      </c>
      <c r="L356" s="5">
        <v>0.35</v>
      </c>
      <c r="M356" t="s">
        <v>134</v>
      </c>
      <c r="N356" t="s">
        <v>364</v>
      </c>
    </row>
    <row r="357" spans="1:14">
      <c r="A357" t="s">
        <v>29</v>
      </c>
      <c r="B357">
        <v>1185732</v>
      </c>
      <c r="C357" s="2">
        <v>44515</v>
      </c>
      <c r="D357" t="s">
        <v>140</v>
      </c>
      <c r="E357" t="s">
        <v>243</v>
      </c>
      <c r="F357" t="s">
        <v>252</v>
      </c>
      <c r="G357" t="s">
        <v>148</v>
      </c>
      <c r="H357" s="3">
        <v>0.5</v>
      </c>
      <c r="I357">
        <v>1750</v>
      </c>
      <c r="J357" s="4">
        <v>875</v>
      </c>
      <c r="K357" s="4">
        <v>350</v>
      </c>
      <c r="L357" s="5">
        <v>0.4</v>
      </c>
      <c r="M357" t="s">
        <v>134</v>
      </c>
      <c r="N357" t="s">
        <v>364</v>
      </c>
    </row>
    <row r="358" spans="1:14">
      <c r="A358" t="s">
        <v>29</v>
      </c>
      <c r="B358">
        <v>1185732</v>
      </c>
      <c r="C358" s="2">
        <v>44515</v>
      </c>
      <c r="D358" t="s">
        <v>140</v>
      </c>
      <c r="E358" t="s">
        <v>243</v>
      </c>
      <c r="F358" t="s">
        <v>252</v>
      </c>
      <c r="G358" t="s">
        <v>147</v>
      </c>
      <c r="H358" s="3">
        <v>0.6</v>
      </c>
      <c r="I358">
        <v>1500</v>
      </c>
      <c r="J358" s="4">
        <v>900</v>
      </c>
      <c r="K358" s="4">
        <v>315</v>
      </c>
      <c r="L358" s="5">
        <v>0.35</v>
      </c>
      <c r="M358" t="s">
        <v>134</v>
      </c>
      <c r="N358" t="s">
        <v>364</v>
      </c>
    </row>
    <row r="359" spans="1:14">
      <c r="A359" t="s">
        <v>29</v>
      </c>
      <c r="B359">
        <v>1185732</v>
      </c>
      <c r="C359" s="2">
        <v>44515</v>
      </c>
      <c r="D359" t="s">
        <v>140</v>
      </c>
      <c r="E359" t="s">
        <v>243</v>
      </c>
      <c r="F359" t="s">
        <v>252</v>
      </c>
      <c r="G359" t="s">
        <v>144</v>
      </c>
      <c r="H359" s="3">
        <v>0.64999999999999991</v>
      </c>
      <c r="I359">
        <v>2500</v>
      </c>
      <c r="J359" s="4">
        <v>1624.9999999999998</v>
      </c>
      <c r="K359" s="4">
        <v>812.49999999999989</v>
      </c>
      <c r="L359" s="5">
        <v>0.5</v>
      </c>
      <c r="M359" t="s">
        <v>134</v>
      </c>
      <c r="N359" t="s">
        <v>364</v>
      </c>
    </row>
    <row r="360" spans="1:14">
      <c r="A360" t="s">
        <v>29</v>
      </c>
      <c r="B360">
        <v>1185732</v>
      </c>
      <c r="C360" s="2">
        <v>44544</v>
      </c>
      <c r="D360" t="s">
        <v>140</v>
      </c>
      <c r="E360" t="s">
        <v>243</v>
      </c>
      <c r="F360" t="s">
        <v>252</v>
      </c>
      <c r="G360" t="s">
        <v>27</v>
      </c>
      <c r="H360" s="3">
        <v>0.6</v>
      </c>
      <c r="I360">
        <v>5000</v>
      </c>
      <c r="J360" s="4">
        <v>3000</v>
      </c>
      <c r="K360" s="4">
        <v>1200</v>
      </c>
      <c r="L360" s="5">
        <v>0.4</v>
      </c>
      <c r="M360" t="s">
        <v>23</v>
      </c>
      <c r="N360" t="s">
        <v>364</v>
      </c>
    </row>
    <row r="361" spans="1:14">
      <c r="A361" t="s">
        <v>29</v>
      </c>
      <c r="B361">
        <v>1185732</v>
      </c>
      <c r="C361" s="2">
        <v>44544</v>
      </c>
      <c r="D361" t="s">
        <v>140</v>
      </c>
      <c r="E361" t="s">
        <v>243</v>
      </c>
      <c r="F361" t="s">
        <v>252</v>
      </c>
      <c r="G361" t="s">
        <v>145</v>
      </c>
      <c r="H361" s="3">
        <v>0.5</v>
      </c>
      <c r="I361">
        <v>3000</v>
      </c>
      <c r="J361" s="4">
        <v>1500</v>
      </c>
      <c r="K361" s="4">
        <v>525</v>
      </c>
      <c r="L361" s="5">
        <v>0.35</v>
      </c>
      <c r="M361" t="s">
        <v>23</v>
      </c>
      <c r="N361" t="s">
        <v>364</v>
      </c>
    </row>
    <row r="362" spans="1:14">
      <c r="A362" t="s">
        <v>29</v>
      </c>
      <c r="B362">
        <v>1185732</v>
      </c>
      <c r="C362" s="2">
        <v>44544</v>
      </c>
      <c r="D362" t="s">
        <v>140</v>
      </c>
      <c r="E362" t="s">
        <v>243</v>
      </c>
      <c r="F362" t="s">
        <v>252</v>
      </c>
      <c r="G362" t="s">
        <v>146</v>
      </c>
      <c r="H362" s="3">
        <v>0.5</v>
      </c>
      <c r="I362">
        <v>2500</v>
      </c>
      <c r="J362" s="4">
        <v>1250</v>
      </c>
      <c r="K362" s="4">
        <v>437.5</v>
      </c>
      <c r="L362" s="5">
        <v>0.35</v>
      </c>
      <c r="M362" t="s">
        <v>23</v>
      </c>
      <c r="N362" t="s">
        <v>364</v>
      </c>
    </row>
    <row r="363" spans="1:14">
      <c r="A363" t="s">
        <v>29</v>
      </c>
      <c r="B363">
        <v>1185732</v>
      </c>
      <c r="C363" s="2">
        <v>44544</v>
      </c>
      <c r="D363" t="s">
        <v>140</v>
      </c>
      <c r="E363" t="s">
        <v>243</v>
      </c>
      <c r="F363" t="s">
        <v>252</v>
      </c>
      <c r="G363" t="s">
        <v>148</v>
      </c>
      <c r="H363" s="3">
        <v>0.5</v>
      </c>
      <c r="I363">
        <v>2000</v>
      </c>
      <c r="J363" s="4">
        <v>1000</v>
      </c>
      <c r="K363" s="4">
        <v>400</v>
      </c>
      <c r="L363" s="5">
        <v>0.4</v>
      </c>
      <c r="M363" t="s">
        <v>23</v>
      </c>
      <c r="N363" t="s">
        <v>364</v>
      </c>
    </row>
    <row r="364" spans="1:14">
      <c r="A364" t="s">
        <v>29</v>
      </c>
      <c r="B364">
        <v>1185732</v>
      </c>
      <c r="C364" s="2">
        <v>44544</v>
      </c>
      <c r="D364" t="s">
        <v>140</v>
      </c>
      <c r="E364" t="s">
        <v>243</v>
      </c>
      <c r="F364" t="s">
        <v>252</v>
      </c>
      <c r="G364" t="s">
        <v>147</v>
      </c>
      <c r="H364" s="3">
        <v>0.6</v>
      </c>
      <c r="I364">
        <v>2000</v>
      </c>
      <c r="J364" s="4">
        <v>1200</v>
      </c>
      <c r="K364" s="4">
        <v>420</v>
      </c>
      <c r="L364" s="5">
        <v>0.35</v>
      </c>
      <c r="M364" t="s">
        <v>23</v>
      </c>
      <c r="N364" t="s">
        <v>364</v>
      </c>
    </row>
    <row r="365" spans="1:14">
      <c r="A365" t="s">
        <v>29</v>
      </c>
      <c r="B365">
        <v>1185732</v>
      </c>
      <c r="C365" s="2">
        <v>44544</v>
      </c>
      <c r="D365" t="s">
        <v>140</v>
      </c>
      <c r="E365" t="s">
        <v>243</v>
      </c>
      <c r="F365" t="s">
        <v>252</v>
      </c>
      <c r="G365" t="s">
        <v>144</v>
      </c>
      <c r="H365" s="3">
        <v>0.64999999999999991</v>
      </c>
      <c r="I365">
        <v>3000</v>
      </c>
      <c r="J365" s="4">
        <v>1949.9999999999998</v>
      </c>
      <c r="K365" s="4">
        <v>974.99999999999989</v>
      </c>
      <c r="L365" s="5">
        <v>0.5</v>
      </c>
      <c r="M365" t="s">
        <v>23</v>
      </c>
      <c r="N365" t="s">
        <v>364</v>
      </c>
    </row>
    <row r="366" spans="1:14">
      <c r="A366" t="s">
        <v>152</v>
      </c>
      <c r="B366">
        <v>1197831</v>
      </c>
      <c r="C366" s="2">
        <v>44198</v>
      </c>
      <c r="D366" t="s">
        <v>139</v>
      </c>
      <c r="E366" t="s">
        <v>173</v>
      </c>
      <c r="F366" t="s">
        <v>194</v>
      </c>
      <c r="G366" t="s">
        <v>27</v>
      </c>
      <c r="H366" s="3">
        <v>0.2</v>
      </c>
      <c r="I366">
        <v>7250</v>
      </c>
      <c r="J366" s="4">
        <v>1450</v>
      </c>
      <c r="K366" s="4">
        <v>435</v>
      </c>
      <c r="L366" s="5">
        <v>0.3</v>
      </c>
      <c r="M366" t="s">
        <v>125</v>
      </c>
      <c r="N366" t="s">
        <v>361</v>
      </c>
    </row>
    <row r="367" spans="1:14">
      <c r="A367" t="s">
        <v>152</v>
      </c>
      <c r="B367">
        <v>1197831</v>
      </c>
      <c r="C367" s="2">
        <v>44198</v>
      </c>
      <c r="D367" t="s">
        <v>139</v>
      </c>
      <c r="E367" t="s">
        <v>173</v>
      </c>
      <c r="F367" t="s">
        <v>194</v>
      </c>
      <c r="G367" t="s">
        <v>145</v>
      </c>
      <c r="H367" s="3">
        <v>0.3</v>
      </c>
      <c r="I367">
        <v>7250</v>
      </c>
      <c r="J367" s="4">
        <v>2175</v>
      </c>
      <c r="K367" s="4">
        <v>652.5</v>
      </c>
      <c r="L367" s="5">
        <v>0.3</v>
      </c>
      <c r="M367" t="s">
        <v>125</v>
      </c>
      <c r="N367" t="s">
        <v>361</v>
      </c>
    </row>
    <row r="368" spans="1:14">
      <c r="A368" t="s">
        <v>152</v>
      </c>
      <c r="B368">
        <v>1197831</v>
      </c>
      <c r="C368" s="2">
        <v>44198</v>
      </c>
      <c r="D368" t="s">
        <v>139</v>
      </c>
      <c r="E368" t="s">
        <v>173</v>
      </c>
      <c r="F368" t="s">
        <v>194</v>
      </c>
      <c r="G368" t="s">
        <v>146</v>
      </c>
      <c r="H368" s="3">
        <v>0.3</v>
      </c>
      <c r="I368">
        <v>5250</v>
      </c>
      <c r="J368" s="4">
        <v>1575</v>
      </c>
      <c r="K368" s="4">
        <v>472.5</v>
      </c>
      <c r="L368" s="5">
        <v>0.3</v>
      </c>
      <c r="M368" t="s">
        <v>125</v>
      </c>
      <c r="N368" t="s">
        <v>361</v>
      </c>
    </row>
    <row r="369" spans="1:14">
      <c r="A369" t="s">
        <v>152</v>
      </c>
      <c r="B369">
        <v>1197831</v>
      </c>
      <c r="C369" s="2">
        <v>44198</v>
      </c>
      <c r="D369" t="s">
        <v>139</v>
      </c>
      <c r="E369" t="s">
        <v>173</v>
      </c>
      <c r="F369" t="s">
        <v>194</v>
      </c>
      <c r="G369" t="s">
        <v>148</v>
      </c>
      <c r="H369" s="3">
        <v>0.35</v>
      </c>
      <c r="I369">
        <v>5250</v>
      </c>
      <c r="J369" s="4">
        <v>1837.4999999999998</v>
      </c>
      <c r="K369" s="4">
        <v>735</v>
      </c>
      <c r="L369" s="5">
        <v>0.4</v>
      </c>
      <c r="M369" t="s">
        <v>125</v>
      </c>
      <c r="N369" t="s">
        <v>361</v>
      </c>
    </row>
    <row r="370" spans="1:14">
      <c r="A370" t="s">
        <v>152</v>
      </c>
      <c r="B370">
        <v>1197831</v>
      </c>
      <c r="C370" s="2">
        <v>44198</v>
      </c>
      <c r="D370" t="s">
        <v>139</v>
      </c>
      <c r="E370" t="s">
        <v>173</v>
      </c>
      <c r="F370" t="s">
        <v>194</v>
      </c>
      <c r="G370" t="s">
        <v>147</v>
      </c>
      <c r="H370" s="3">
        <v>0.4</v>
      </c>
      <c r="I370">
        <v>3750</v>
      </c>
      <c r="J370" s="4">
        <v>1500</v>
      </c>
      <c r="K370" s="4">
        <v>375</v>
      </c>
      <c r="L370" s="5">
        <v>0.25</v>
      </c>
      <c r="M370" t="s">
        <v>125</v>
      </c>
      <c r="N370" t="s">
        <v>361</v>
      </c>
    </row>
    <row r="371" spans="1:14">
      <c r="A371" t="s">
        <v>152</v>
      </c>
      <c r="B371">
        <v>1197831</v>
      </c>
      <c r="C371" s="2">
        <v>44198</v>
      </c>
      <c r="D371" t="s">
        <v>139</v>
      </c>
      <c r="E371" t="s">
        <v>173</v>
      </c>
      <c r="F371" t="s">
        <v>194</v>
      </c>
      <c r="G371" t="s">
        <v>144</v>
      </c>
      <c r="H371" s="3">
        <v>0.35</v>
      </c>
      <c r="I371">
        <v>5250</v>
      </c>
      <c r="J371" s="4">
        <v>1837.4999999999998</v>
      </c>
      <c r="K371" s="4">
        <v>826.87499999999989</v>
      </c>
      <c r="L371" s="5">
        <v>0.45</v>
      </c>
      <c r="M371" t="s">
        <v>125</v>
      </c>
      <c r="N371" t="s">
        <v>361</v>
      </c>
    </row>
    <row r="372" spans="1:14">
      <c r="A372" t="s">
        <v>152</v>
      </c>
      <c r="B372">
        <v>1197831</v>
      </c>
      <c r="C372" s="2">
        <v>44228</v>
      </c>
      <c r="D372" t="s">
        <v>139</v>
      </c>
      <c r="E372" t="s">
        <v>173</v>
      </c>
      <c r="F372" t="s">
        <v>194</v>
      </c>
      <c r="G372" t="s">
        <v>27</v>
      </c>
      <c r="H372" s="3">
        <v>0.25</v>
      </c>
      <c r="I372">
        <v>6750</v>
      </c>
      <c r="J372" s="4">
        <v>1687.5</v>
      </c>
      <c r="K372" s="4">
        <v>506.25</v>
      </c>
      <c r="L372" s="5">
        <v>0.3</v>
      </c>
      <c r="M372" t="s">
        <v>126</v>
      </c>
      <c r="N372" t="s">
        <v>361</v>
      </c>
    </row>
    <row r="373" spans="1:14">
      <c r="A373" t="s">
        <v>152</v>
      </c>
      <c r="B373">
        <v>1197831</v>
      </c>
      <c r="C373" s="2">
        <v>44228</v>
      </c>
      <c r="D373" t="s">
        <v>139</v>
      </c>
      <c r="E373" t="s">
        <v>173</v>
      </c>
      <c r="F373" t="s">
        <v>194</v>
      </c>
      <c r="G373" t="s">
        <v>145</v>
      </c>
      <c r="H373" s="3">
        <v>0.35</v>
      </c>
      <c r="I373">
        <v>6500</v>
      </c>
      <c r="J373" s="4">
        <v>2275</v>
      </c>
      <c r="K373" s="4">
        <v>682.5</v>
      </c>
      <c r="L373" s="5">
        <v>0.3</v>
      </c>
      <c r="M373" t="s">
        <v>126</v>
      </c>
      <c r="N373" t="s">
        <v>361</v>
      </c>
    </row>
    <row r="374" spans="1:14">
      <c r="A374" t="s">
        <v>152</v>
      </c>
      <c r="B374">
        <v>1197831</v>
      </c>
      <c r="C374" s="2">
        <v>44228</v>
      </c>
      <c r="D374" t="s">
        <v>139</v>
      </c>
      <c r="E374" t="s">
        <v>173</v>
      </c>
      <c r="F374" t="s">
        <v>194</v>
      </c>
      <c r="G374" t="s">
        <v>146</v>
      </c>
      <c r="H374" s="3">
        <v>0.35</v>
      </c>
      <c r="I374">
        <v>4750</v>
      </c>
      <c r="J374" s="4">
        <v>1662.5</v>
      </c>
      <c r="K374" s="4">
        <v>498.75</v>
      </c>
      <c r="L374" s="5">
        <v>0.3</v>
      </c>
      <c r="M374" t="s">
        <v>126</v>
      </c>
      <c r="N374" t="s">
        <v>361</v>
      </c>
    </row>
    <row r="375" spans="1:14">
      <c r="A375" t="s">
        <v>152</v>
      </c>
      <c r="B375">
        <v>1197831</v>
      </c>
      <c r="C375" s="2">
        <v>44228</v>
      </c>
      <c r="D375" t="s">
        <v>139</v>
      </c>
      <c r="E375" t="s">
        <v>173</v>
      </c>
      <c r="F375" t="s">
        <v>194</v>
      </c>
      <c r="G375" t="s">
        <v>148</v>
      </c>
      <c r="H375" s="3">
        <v>0.35</v>
      </c>
      <c r="I375">
        <v>4250</v>
      </c>
      <c r="J375" s="4">
        <v>1487.5</v>
      </c>
      <c r="K375" s="4">
        <v>595</v>
      </c>
      <c r="L375" s="5">
        <v>0.4</v>
      </c>
      <c r="M375" t="s">
        <v>126</v>
      </c>
      <c r="N375" t="s">
        <v>361</v>
      </c>
    </row>
    <row r="376" spans="1:14">
      <c r="A376" t="s">
        <v>152</v>
      </c>
      <c r="B376">
        <v>1197831</v>
      </c>
      <c r="C376" s="2">
        <v>44228</v>
      </c>
      <c r="D376" t="s">
        <v>139</v>
      </c>
      <c r="E376" t="s">
        <v>173</v>
      </c>
      <c r="F376" t="s">
        <v>194</v>
      </c>
      <c r="G376" t="s">
        <v>147</v>
      </c>
      <c r="H376" s="3">
        <v>0.4</v>
      </c>
      <c r="I376">
        <v>3000</v>
      </c>
      <c r="J376" s="4">
        <v>1200</v>
      </c>
      <c r="K376" s="4">
        <v>300</v>
      </c>
      <c r="L376" s="5">
        <v>0.25</v>
      </c>
      <c r="M376" t="s">
        <v>126</v>
      </c>
      <c r="N376" t="s">
        <v>361</v>
      </c>
    </row>
    <row r="377" spans="1:14">
      <c r="A377" t="s">
        <v>152</v>
      </c>
      <c r="B377">
        <v>1197831</v>
      </c>
      <c r="C377" s="2">
        <v>44228</v>
      </c>
      <c r="D377" t="s">
        <v>139</v>
      </c>
      <c r="E377" t="s">
        <v>173</v>
      </c>
      <c r="F377" t="s">
        <v>194</v>
      </c>
      <c r="G377" t="s">
        <v>144</v>
      </c>
      <c r="H377" s="3">
        <v>0.35</v>
      </c>
      <c r="I377">
        <v>5000</v>
      </c>
      <c r="J377" s="4">
        <v>1750</v>
      </c>
      <c r="K377" s="4">
        <v>787.5</v>
      </c>
      <c r="L377" s="5">
        <v>0.45</v>
      </c>
      <c r="M377" t="s">
        <v>126</v>
      </c>
      <c r="N377" t="s">
        <v>361</v>
      </c>
    </row>
    <row r="378" spans="1:14">
      <c r="A378" t="s">
        <v>152</v>
      </c>
      <c r="B378">
        <v>1197831</v>
      </c>
      <c r="C378" s="2">
        <v>44258</v>
      </c>
      <c r="D378" t="s">
        <v>139</v>
      </c>
      <c r="E378" t="s">
        <v>173</v>
      </c>
      <c r="F378" t="s">
        <v>194</v>
      </c>
      <c r="G378" t="s">
        <v>27</v>
      </c>
      <c r="H378" s="3">
        <v>0.3</v>
      </c>
      <c r="I378">
        <v>6750</v>
      </c>
      <c r="J378" s="4">
        <v>2025</v>
      </c>
      <c r="K378" s="4">
        <v>708.75</v>
      </c>
      <c r="L378" s="5">
        <v>0.35</v>
      </c>
      <c r="M378" t="s">
        <v>24</v>
      </c>
      <c r="N378" t="s">
        <v>361</v>
      </c>
    </row>
    <row r="379" spans="1:14">
      <c r="A379" t="s">
        <v>152</v>
      </c>
      <c r="B379">
        <v>1197831</v>
      </c>
      <c r="C379" s="2">
        <v>44258</v>
      </c>
      <c r="D379" t="s">
        <v>139</v>
      </c>
      <c r="E379" t="s">
        <v>173</v>
      </c>
      <c r="F379" t="s">
        <v>194</v>
      </c>
      <c r="G379" t="s">
        <v>145</v>
      </c>
      <c r="H379" s="3">
        <v>0.4</v>
      </c>
      <c r="I379">
        <v>6750</v>
      </c>
      <c r="J379" s="4">
        <v>2700</v>
      </c>
      <c r="K379" s="4">
        <v>944.99999999999989</v>
      </c>
      <c r="L379" s="5">
        <v>0.35</v>
      </c>
      <c r="M379" t="s">
        <v>24</v>
      </c>
      <c r="N379" t="s">
        <v>361</v>
      </c>
    </row>
    <row r="380" spans="1:14">
      <c r="A380" t="s">
        <v>152</v>
      </c>
      <c r="B380">
        <v>1197831</v>
      </c>
      <c r="C380" s="2">
        <v>44258</v>
      </c>
      <c r="D380" t="s">
        <v>139</v>
      </c>
      <c r="E380" t="s">
        <v>173</v>
      </c>
      <c r="F380" t="s">
        <v>194</v>
      </c>
      <c r="G380" t="s">
        <v>146</v>
      </c>
      <c r="H380" s="3">
        <v>0.3</v>
      </c>
      <c r="I380">
        <v>5000</v>
      </c>
      <c r="J380" s="4">
        <v>1500</v>
      </c>
      <c r="K380" s="4">
        <v>525</v>
      </c>
      <c r="L380" s="5">
        <v>0.35</v>
      </c>
      <c r="M380" t="s">
        <v>24</v>
      </c>
      <c r="N380" t="s">
        <v>361</v>
      </c>
    </row>
    <row r="381" spans="1:14">
      <c r="A381" t="s">
        <v>152</v>
      </c>
      <c r="B381">
        <v>1197831</v>
      </c>
      <c r="C381" s="2">
        <v>44258</v>
      </c>
      <c r="D381" t="s">
        <v>139</v>
      </c>
      <c r="E381" t="s">
        <v>173</v>
      </c>
      <c r="F381" t="s">
        <v>194</v>
      </c>
      <c r="G381" t="s">
        <v>148</v>
      </c>
      <c r="H381" s="3">
        <v>0.35000000000000003</v>
      </c>
      <c r="I381">
        <v>4000</v>
      </c>
      <c r="J381" s="4">
        <v>1400.0000000000002</v>
      </c>
      <c r="K381" s="4">
        <v>630.00000000000011</v>
      </c>
      <c r="L381" s="5">
        <v>0.45</v>
      </c>
      <c r="M381" t="s">
        <v>24</v>
      </c>
      <c r="N381" t="s">
        <v>361</v>
      </c>
    </row>
    <row r="382" spans="1:14">
      <c r="A382" t="s">
        <v>152</v>
      </c>
      <c r="B382">
        <v>1197831</v>
      </c>
      <c r="C382" s="2">
        <v>44258</v>
      </c>
      <c r="D382" t="s">
        <v>139</v>
      </c>
      <c r="E382" t="s">
        <v>173</v>
      </c>
      <c r="F382" t="s">
        <v>194</v>
      </c>
      <c r="G382" t="s">
        <v>147</v>
      </c>
      <c r="H382" s="3">
        <v>0.4</v>
      </c>
      <c r="I382">
        <v>3000</v>
      </c>
      <c r="J382" s="4">
        <v>1200</v>
      </c>
      <c r="K382" s="4">
        <v>360</v>
      </c>
      <c r="L382" s="5">
        <v>0.3</v>
      </c>
      <c r="M382" t="s">
        <v>24</v>
      </c>
      <c r="N382" t="s">
        <v>361</v>
      </c>
    </row>
    <row r="383" spans="1:14">
      <c r="A383" t="s">
        <v>152</v>
      </c>
      <c r="B383">
        <v>1197831</v>
      </c>
      <c r="C383" s="2">
        <v>44258</v>
      </c>
      <c r="D383" t="s">
        <v>139</v>
      </c>
      <c r="E383" t="s">
        <v>173</v>
      </c>
      <c r="F383" t="s">
        <v>194</v>
      </c>
      <c r="G383" t="s">
        <v>144</v>
      </c>
      <c r="H383" s="3">
        <v>0.35000000000000003</v>
      </c>
      <c r="I383">
        <v>4500</v>
      </c>
      <c r="J383" s="4">
        <v>1575.0000000000002</v>
      </c>
      <c r="K383" s="4">
        <v>787.50000000000011</v>
      </c>
      <c r="L383" s="5">
        <v>0.5</v>
      </c>
      <c r="M383" t="s">
        <v>24</v>
      </c>
      <c r="N383" t="s">
        <v>361</v>
      </c>
    </row>
    <row r="384" spans="1:14">
      <c r="A384" t="s">
        <v>152</v>
      </c>
      <c r="B384">
        <v>1197831</v>
      </c>
      <c r="C384" s="2">
        <v>44288</v>
      </c>
      <c r="D384" t="s">
        <v>139</v>
      </c>
      <c r="E384" t="s">
        <v>173</v>
      </c>
      <c r="F384" t="s">
        <v>194</v>
      </c>
      <c r="G384" t="s">
        <v>27</v>
      </c>
      <c r="H384" s="3">
        <v>0.19999999999999998</v>
      </c>
      <c r="I384">
        <v>7000</v>
      </c>
      <c r="J384" s="4">
        <v>1399.9999999999998</v>
      </c>
      <c r="K384" s="4">
        <v>489.99999999999989</v>
      </c>
      <c r="L384" s="5">
        <v>0.35</v>
      </c>
      <c r="M384" t="s">
        <v>127</v>
      </c>
      <c r="N384" t="s">
        <v>362</v>
      </c>
    </row>
    <row r="385" spans="1:14">
      <c r="A385" t="s">
        <v>152</v>
      </c>
      <c r="B385">
        <v>1197831</v>
      </c>
      <c r="C385" s="2">
        <v>44288</v>
      </c>
      <c r="D385" t="s">
        <v>139</v>
      </c>
      <c r="E385" t="s">
        <v>173</v>
      </c>
      <c r="F385" t="s">
        <v>194</v>
      </c>
      <c r="G385" t="s">
        <v>145</v>
      </c>
      <c r="H385" s="3">
        <v>0.30000000000000004</v>
      </c>
      <c r="I385">
        <v>7000</v>
      </c>
      <c r="J385" s="4">
        <v>2100.0000000000005</v>
      </c>
      <c r="K385" s="4">
        <v>735.00000000000011</v>
      </c>
      <c r="L385" s="5">
        <v>0.35</v>
      </c>
      <c r="M385" t="s">
        <v>127</v>
      </c>
      <c r="N385" t="s">
        <v>362</v>
      </c>
    </row>
    <row r="386" spans="1:14">
      <c r="A386" t="s">
        <v>152</v>
      </c>
      <c r="B386">
        <v>1197831</v>
      </c>
      <c r="C386" s="2">
        <v>44288</v>
      </c>
      <c r="D386" t="s">
        <v>139</v>
      </c>
      <c r="E386" t="s">
        <v>173</v>
      </c>
      <c r="F386" t="s">
        <v>194</v>
      </c>
      <c r="G386" t="s">
        <v>146</v>
      </c>
      <c r="H386" s="3">
        <v>0.24999999999999997</v>
      </c>
      <c r="I386">
        <v>5250</v>
      </c>
      <c r="J386" s="4">
        <v>1312.4999999999998</v>
      </c>
      <c r="K386" s="4">
        <v>459.37499999999989</v>
      </c>
      <c r="L386" s="5">
        <v>0.35</v>
      </c>
      <c r="M386" t="s">
        <v>127</v>
      </c>
      <c r="N386" t="s">
        <v>362</v>
      </c>
    </row>
    <row r="387" spans="1:14">
      <c r="A387" t="s">
        <v>152</v>
      </c>
      <c r="B387">
        <v>1197831</v>
      </c>
      <c r="C387" s="2">
        <v>44288</v>
      </c>
      <c r="D387" t="s">
        <v>139</v>
      </c>
      <c r="E387" t="s">
        <v>173</v>
      </c>
      <c r="F387" t="s">
        <v>194</v>
      </c>
      <c r="G387" t="s">
        <v>148</v>
      </c>
      <c r="H387" s="3">
        <v>0.30000000000000004</v>
      </c>
      <c r="I387">
        <v>4250</v>
      </c>
      <c r="J387" s="4">
        <v>1275.0000000000002</v>
      </c>
      <c r="K387" s="4">
        <v>573.75000000000011</v>
      </c>
      <c r="L387" s="5">
        <v>0.45</v>
      </c>
      <c r="M387" t="s">
        <v>127</v>
      </c>
      <c r="N387" t="s">
        <v>362</v>
      </c>
    </row>
    <row r="388" spans="1:14">
      <c r="A388" t="s">
        <v>152</v>
      </c>
      <c r="B388">
        <v>1197831</v>
      </c>
      <c r="C388" s="2">
        <v>44288</v>
      </c>
      <c r="D388" t="s">
        <v>139</v>
      </c>
      <c r="E388" t="s">
        <v>173</v>
      </c>
      <c r="F388" t="s">
        <v>194</v>
      </c>
      <c r="G388" t="s">
        <v>147</v>
      </c>
      <c r="H388" s="3">
        <v>0.35</v>
      </c>
      <c r="I388">
        <v>3250</v>
      </c>
      <c r="J388" s="4">
        <v>1137.5</v>
      </c>
      <c r="K388" s="4">
        <v>341.25</v>
      </c>
      <c r="L388" s="5">
        <v>0.3</v>
      </c>
      <c r="M388" t="s">
        <v>127</v>
      </c>
      <c r="N388" t="s">
        <v>362</v>
      </c>
    </row>
    <row r="389" spans="1:14">
      <c r="A389" t="s">
        <v>152</v>
      </c>
      <c r="B389">
        <v>1197831</v>
      </c>
      <c r="C389" s="2">
        <v>44288</v>
      </c>
      <c r="D389" t="s">
        <v>139</v>
      </c>
      <c r="E389" t="s">
        <v>173</v>
      </c>
      <c r="F389" t="s">
        <v>194</v>
      </c>
      <c r="G389" t="s">
        <v>144</v>
      </c>
      <c r="H389" s="3">
        <v>0.30000000000000004</v>
      </c>
      <c r="I389">
        <v>6000</v>
      </c>
      <c r="J389" s="4">
        <v>1800.0000000000002</v>
      </c>
      <c r="K389" s="4">
        <v>900.00000000000011</v>
      </c>
      <c r="L389" s="5">
        <v>0.5</v>
      </c>
      <c r="M389" t="s">
        <v>127</v>
      </c>
      <c r="N389" t="s">
        <v>362</v>
      </c>
    </row>
    <row r="390" spans="1:14">
      <c r="A390" t="s">
        <v>152</v>
      </c>
      <c r="B390">
        <v>1197831</v>
      </c>
      <c r="C390" s="2">
        <v>44318</v>
      </c>
      <c r="D390" t="s">
        <v>139</v>
      </c>
      <c r="E390" t="s">
        <v>173</v>
      </c>
      <c r="F390" t="s">
        <v>194</v>
      </c>
      <c r="G390" t="s">
        <v>27</v>
      </c>
      <c r="H390" s="3">
        <v>0.19999999999999998</v>
      </c>
      <c r="I390">
        <v>7500</v>
      </c>
      <c r="J390" s="4">
        <v>1499.9999999999998</v>
      </c>
      <c r="K390" s="4">
        <v>524.99999999999989</v>
      </c>
      <c r="L390" s="5">
        <v>0.35</v>
      </c>
      <c r="M390" t="s">
        <v>128</v>
      </c>
      <c r="N390" t="s">
        <v>362</v>
      </c>
    </row>
    <row r="391" spans="1:14">
      <c r="A391" t="s">
        <v>152</v>
      </c>
      <c r="B391">
        <v>1197831</v>
      </c>
      <c r="C391" s="2">
        <v>44318</v>
      </c>
      <c r="D391" t="s">
        <v>139</v>
      </c>
      <c r="E391" t="s">
        <v>173</v>
      </c>
      <c r="F391" t="s">
        <v>194</v>
      </c>
      <c r="G391" t="s">
        <v>145</v>
      </c>
      <c r="H391" s="3">
        <v>0.30000000000000004</v>
      </c>
      <c r="I391">
        <v>7750</v>
      </c>
      <c r="J391" s="4">
        <v>2325.0000000000005</v>
      </c>
      <c r="K391" s="4">
        <v>813.75000000000011</v>
      </c>
      <c r="L391" s="5">
        <v>0.35</v>
      </c>
      <c r="M391" t="s">
        <v>128</v>
      </c>
      <c r="N391" t="s">
        <v>362</v>
      </c>
    </row>
    <row r="392" spans="1:14">
      <c r="A392" t="s">
        <v>152</v>
      </c>
      <c r="B392">
        <v>1197831</v>
      </c>
      <c r="C392" s="2">
        <v>44318</v>
      </c>
      <c r="D392" t="s">
        <v>139</v>
      </c>
      <c r="E392" t="s">
        <v>173</v>
      </c>
      <c r="F392" t="s">
        <v>194</v>
      </c>
      <c r="G392" t="s">
        <v>146</v>
      </c>
      <c r="H392" s="3">
        <v>0.24999999999999997</v>
      </c>
      <c r="I392">
        <v>6250</v>
      </c>
      <c r="J392" s="4">
        <v>1562.4999999999998</v>
      </c>
      <c r="K392" s="4">
        <v>546.87499999999989</v>
      </c>
      <c r="L392" s="5">
        <v>0.35</v>
      </c>
      <c r="M392" t="s">
        <v>128</v>
      </c>
      <c r="N392" t="s">
        <v>362</v>
      </c>
    </row>
    <row r="393" spans="1:14">
      <c r="A393" t="s">
        <v>152</v>
      </c>
      <c r="B393">
        <v>1197831</v>
      </c>
      <c r="C393" s="2">
        <v>44318</v>
      </c>
      <c r="D393" t="s">
        <v>139</v>
      </c>
      <c r="E393" t="s">
        <v>173</v>
      </c>
      <c r="F393" t="s">
        <v>194</v>
      </c>
      <c r="G393" t="s">
        <v>148</v>
      </c>
      <c r="H393" s="3">
        <v>0.35000000000000003</v>
      </c>
      <c r="I393">
        <v>5500</v>
      </c>
      <c r="J393" s="4">
        <v>1925.0000000000002</v>
      </c>
      <c r="K393" s="4">
        <v>866.25000000000011</v>
      </c>
      <c r="L393" s="5">
        <v>0.45</v>
      </c>
      <c r="M393" t="s">
        <v>128</v>
      </c>
      <c r="N393" t="s">
        <v>362</v>
      </c>
    </row>
    <row r="394" spans="1:14">
      <c r="A394" t="s">
        <v>152</v>
      </c>
      <c r="B394">
        <v>1197831</v>
      </c>
      <c r="C394" s="2">
        <v>44318</v>
      </c>
      <c r="D394" t="s">
        <v>139</v>
      </c>
      <c r="E394" t="s">
        <v>173</v>
      </c>
      <c r="F394" t="s">
        <v>194</v>
      </c>
      <c r="G394" t="s">
        <v>147</v>
      </c>
      <c r="H394" s="3">
        <v>0.5</v>
      </c>
      <c r="I394">
        <v>4500</v>
      </c>
      <c r="J394" s="4">
        <v>2250</v>
      </c>
      <c r="K394" s="4">
        <v>675</v>
      </c>
      <c r="L394" s="5">
        <v>0.3</v>
      </c>
      <c r="M394" t="s">
        <v>128</v>
      </c>
      <c r="N394" t="s">
        <v>362</v>
      </c>
    </row>
    <row r="395" spans="1:14">
      <c r="A395" t="s">
        <v>152</v>
      </c>
      <c r="B395">
        <v>1197831</v>
      </c>
      <c r="C395" s="2">
        <v>44318</v>
      </c>
      <c r="D395" t="s">
        <v>139</v>
      </c>
      <c r="E395" t="s">
        <v>173</v>
      </c>
      <c r="F395" t="s">
        <v>194</v>
      </c>
      <c r="G395" t="s">
        <v>144</v>
      </c>
      <c r="H395" s="3">
        <v>0.45</v>
      </c>
      <c r="I395">
        <v>8000</v>
      </c>
      <c r="J395" s="4">
        <v>3600</v>
      </c>
      <c r="K395" s="4">
        <v>1800</v>
      </c>
      <c r="L395" s="5">
        <v>0.5</v>
      </c>
      <c r="M395" t="s">
        <v>128</v>
      </c>
      <c r="N395" t="s">
        <v>362</v>
      </c>
    </row>
    <row r="396" spans="1:14">
      <c r="A396" t="s">
        <v>152</v>
      </c>
      <c r="B396">
        <v>1197831</v>
      </c>
      <c r="C396" s="2">
        <v>44348</v>
      </c>
      <c r="D396" t="s">
        <v>139</v>
      </c>
      <c r="E396" t="s">
        <v>173</v>
      </c>
      <c r="F396" t="s">
        <v>194</v>
      </c>
      <c r="G396" t="s">
        <v>27</v>
      </c>
      <c r="H396" s="3">
        <v>0.45</v>
      </c>
      <c r="I396">
        <v>8000</v>
      </c>
      <c r="J396" s="4">
        <v>3600</v>
      </c>
      <c r="K396" s="4">
        <v>1260</v>
      </c>
      <c r="L396" s="5">
        <v>0.35</v>
      </c>
      <c r="M396" t="s">
        <v>129</v>
      </c>
      <c r="N396" t="s">
        <v>362</v>
      </c>
    </row>
    <row r="397" spans="1:14">
      <c r="A397" t="s">
        <v>152</v>
      </c>
      <c r="B397">
        <v>1197831</v>
      </c>
      <c r="C397" s="2">
        <v>44348</v>
      </c>
      <c r="D397" t="s">
        <v>139</v>
      </c>
      <c r="E397" t="s">
        <v>173</v>
      </c>
      <c r="F397" t="s">
        <v>194</v>
      </c>
      <c r="G397" t="s">
        <v>145</v>
      </c>
      <c r="H397" s="3">
        <v>0.5</v>
      </c>
      <c r="I397">
        <v>8000</v>
      </c>
      <c r="J397" s="4">
        <v>4000</v>
      </c>
      <c r="K397" s="4">
        <v>1400</v>
      </c>
      <c r="L397" s="5">
        <v>0.35</v>
      </c>
      <c r="M397" t="s">
        <v>129</v>
      </c>
      <c r="N397" t="s">
        <v>362</v>
      </c>
    </row>
    <row r="398" spans="1:14">
      <c r="A398" t="s">
        <v>152</v>
      </c>
      <c r="B398">
        <v>1197831</v>
      </c>
      <c r="C398" s="2">
        <v>44348</v>
      </c>
      <c r="D398" t="s">
        <v>139</v>
      </c>
      <c r="E398" t="s">
        <v>173</v>
      </c>
      <c r="F398" t="s">
        <v>194</v>
      </c>
      <c r="G398" t="s">
        <v>146</v>
      </c>
      <c r="H398" s="3">
        <v>0.45</v>
      </c>
      <c r="I398">
        <v>6500</v>
      </c>
      <c r="J398" s="4">
        <v>2925</v>
      </c>
      <c r="K398" s="4">
        <v>1023.7499999999999</v>
      </c>
      <c r="L398" s="5">
        <v>0.35</v>
      </c>
      <c r="M398" t="s">
        <v>129</v>
      </c>
      <c r="N398" t="s">
        <v>362</v>
      </c>
    </row>
    <row r="399" spans="1:14">
      <c r="A399" t="s">
        <v>152</v>
      </c>
      <c r="B399">
        <v>1197831</v>
      </c>
      <c r="C399" s="2">
        <v>44348</v>
      </c>
      <c r="D399" t="s">
        <v>139</v>
      </c>
      <c r="E399" t="s">
        <v>173</v>
      </c>
      <c r="F399" t="s">
        <v>194</v>
      </c>
      <c r="G399" t="s">
        <v>148</v>
      </c>
      <c r="H399" s="3">
        <v>0.45</v>
      </c>
      <c r="I399">
        <v>6000</v>
      </c>
      <c r="J399" s="4">
        <v>2700</v>
      </c>
      <c r="K399" s="4">
        <v>1215</v>
      </c>
      <c r="L399" s="5">
        <v>0.45</v>
      </c>
      <c r="M399" t="s">
        <v>129</v>
      </c>
      <c r="N399" t="s">
        <v>362</v>
      </c>
    </row>
    <row r="400" spans="1:14">
      <c r="A400" t="s">
        <v>152</v>
      </c>
      <c r="B400">
        <v>1197831</v>
      </c>
      <c r="C400" s="2">
        <v>44348</v>
      </c>
      <c r="D400" t="s">
        <v>139</v>
      </c>
      <c r="E400" t="s">
        <v>173</v>
      </c>
      <c r="F400" t="s">
        <v>194</v>
      </c>
      <c r="G400" t="s">
        <v>147</v>
      </c>
      <c r="H400" s="3">
        <v>0.5</v>
      </c>
      <c r="I400">
        <v>5000</v>
      </c>
      <c r="J400" s="4">
        <v>2500</v>
      </c>
      <c r="K400" s="4">
        <v>750</v>
      </c>
      <c r="L400" s="5">
        <v>0.3</v>
      </c>
      <c r="M400" t="s">
        <v>129</v>
      </c>
      <c r="N400" t="s">
        <v>362</v>
      </c>
    </row>
    <row r="401" spans="1:14">
      <c r="A401" t="s">
        <v>152</v>
      </c>
      <c r="B401">
        <v>1197831</v>
      </c>
      <c r="C401" s="2">
        <v>44348</v>
      </c>
      <c r="D401" t="s">
        <v>139</v>
      </c>
      <c r="E401" t="s">
        <v>173</v>
      </c>
      <c r="F401" t="s">
        <v>194</v>
      </c>
      <c r="G401" t="s">
        <v>144</v>
      </c>
      <c r="H401" s="3">
        <v>0.55000000000000004</v>
      </c>
      <c r="I401">
        <v>8750</v>
      </c>
      <c r="J401" s="4">
        <v>4812.5</v>
      </c>
      <c r="K401" s="4">
        <v>2406.25</v>
      </c>
      <c r="L401" s="5">
        <v>0.5</v>
      </c>
      <c r="M401" t="s">
        <v>129</v>
      </c>
      <c r="N401" t="s">
        <v>362</v>
      </c>
    </row>
    <row r="402" spans="1:14">
      <c r="A402" t="s">
        <v>152</v>
      </c>
      <c r="B402">
        <v>1197831</v>
      </c>
      <c r="C402" s="2">
        <v>44380</v>
      </c>
      <c r="D402" t="s">
        <v>139</v>
      </c>
      <c r="E402" t="s">
        <v>173</v>
      </c>
      <c r="F402" t="s">
        <v>194</v>
      </c>
      <c r="G402" t="s">
        <v>27</v>
      </c>
      <c r="H402" s="3">
        <v>0.45</v>
      </c>
      <c r="I402">
        <v>8250</v>
      </c>
      <c r="J402" s="4">
        <v>3712.5</v>
      </c>
      <c r="K402" s="4">
        <v>1484.9999999999998</v>
      </c>
      <c r="L402" s="5">
        <v>0.39999999999999997</v>
      </c>
      <c r="M402" t="s">
        <v>130</v>
      </c>
      <c r="N402" t="s">
        <v>363</v>
      </c>
    </row>
    <row r="403" spans="1:14">
      <c r="A403" t="s">
        <v>152</v>
      </c>
      <c r="B403">
        <v>1197831</v>
      </c>
      <c r="C403" s="2">
        <v>44380</v>
      </c>
      <c r="D403" t="s">
        <v>139</v>
      </c>
      <c r="E403" t="s">
        <v>173</v>
      </c>
      <c r="F403" t="s">
        <v>194</v>
      </c>
      <c r="G403" t="s">
        <v>145</v>
      </c>
      <c r="H403" s="3">
        <v>0.5</v>
      </c>
      <c r="I403">
        <v>8250</v>
      </c>
      <c r="J403" s="4">
        <v>4125</v>
      </c>
      <c r="K403" s="4">
        <v>1649.9999999999998</v>
      </c>
      <c r="L403" s="5">
        <v>0.39999999999999997</v>
      </c>
      <c r="M403" t="s">
        <v>130</v>
      </c>
      <c r="N403" t="s">
        <v>363</v>
      </c>
    </row>
    <row r="404" spans="1:14">
      <c r="A404" t="s">
        <v>152</v>
      </c>
      <c r="B404">
        <v>1197831</v>
      </c>
      <c r="C404" s="2">
        <v>44380</v>
      </c>
      <c r="D404" t="s">
        <v>139</v>
      </c>
      <c r="E404" t="s">
        <v>173</v>
      </c>
      <c r="F404" t="s">
        <v>194</v>
      </c>
      <c r="G404" t="s">
        <v>146</v>
      </c>
      <c r="H404" s="3">
        <v>0.45</v>
      </c>
      <c r="I404">
        <v>9750</v>
      </c>
      <c r="J404" s="4">
        <v>4387.5</v>
      </c>
      <c r="K404" s="4">
        <v>1754.9999999999998</v>
      </c>
      <c r="L404" s="5">
        <v>0.39999999999999997</v>
      </c>
      <c r="M404" t="s">
        <v>130</v>
      </c>
      <c r="N404" t="s">
        <v>363</v>
      </c>
    </row>
    <row r="405" spans="1:14">
      <c r="A405" t="s">
        <v>152</v>
      </c>
      <c r="B405">
        <v>1197831</v>
      </c>
      <c r="C405" s="2">
        <v>44380</v>
      </c>
      <c r="D405" t="s">
        <v>139</v>
      </c>
      <c r="E405" t="s">
        <v>173</v>
      </c>
      <c r="F405" t="s">
        <v>194</v>
      </c>
      <c r="G405" t="s">
        <v>148</v>
      </c>
      <c r="H405" s="3">
        <v>0.45</v>
      </c>
      <c r="I405">
        <v>5750</v>
      </c>
      <c r="J405" s="4">
        <v>2587.5</v>
      </c>
      <c r="K405" s="4">
        <v>1293.75</v>
      </c>
      <c r="L405" s="5">
        <v>0.5</v>
      </c>
      <c r="M405" t="s">
        <v>130</v>
      </c>
      <c r="N405" t="s">
        <v>363</v>
      </c>
    </row>
    <row r="406" spans="1:14">
      <c r="A406" t="s">
        <v>152</v>
      </c>
      <c r="B406">
        <v>1197831</v>
      </c>
      <c r="C406" s="2">
        <v>44380</v>
      </c>
      <c r="D406" t="s">
        <v>139</v>
      </c>
      <c r="E406" t="s">
        <v>173</v>
      </c>
      <c r="F406" t="s">
        <v>194</v>
      </c>
      <c r="G406" t="s">
        <v>147</v>
      </c>
      <c r="H406" s="3">
        <v>0.5</v>
      </c>
      <c r="I406">
        <v>5750</v>
      </c>
      <c r="J406" s="4">
        <v>2875</v>
      </c>
      <c r="K406" s="4">
        <v>1006.2499999999999</v>
      </c>
      <c r="L406" s="5">
        <v>0.35</v>
      </c>
      <c r="M406" t="s">
        <v>130</v>
      </c>
      <c r="N406" t="s">
        <v>363</v>
      </c>
    </row>
    <row r="407" spans="1:14">
      <c r="A407" t="s">
        <v>152</v>
      </c>
      <c r="B407">
        <v>1197831</v>
      </c>
      <c r="C407" s="2">
        <v>44380</v>
      </c>
      <c r="D407" t="s">
        <v>139</v>
      </c>
      <c r="E407" t="s">
        <v>173</v>
      </c>
      <c r="F407" t="s">
        <v>194</v>
      </c>
      <c r="G407" t="s">
        <v>144</v>
      </c>
      <c r="H407" s="3">
        <v>0.6</v>
      </c>
      <c r="I407">
        <v>8500</v>
      </c>
      <c r="J407" s="4">
        <v>5100</v>
      </c>
      <c r="K407" s="4">
        <v>2805</v>
      </c>
      <c r="L407" s="5">
        <v>0.55000000000000004</v>
      </c>
      <c r="M407" t="s">
        <v>130</v>
      </c>
      <c r="N407" t="s">
        <v>363</v>
      </c>
    </row>
    <row r="408" spans="1:14">
      <c r="A408" t="s">
        <v>152</v>
      </c>
      <c r="B408">
        <v>1197831</v>
      </c>
      <c r="C408" s="2">
        <v>44413</v>
      </c>
      <c r="D408" t="s">
        <v>139</v>
      </c>
      <c r="E408" t="s">
        <v>173</v>
      </c>
      <c r="F408" t="s">
        <v>194</v>
      </c>
      <c r="G408" t="s">
        <v>27</v>
      </c>
      <c r="H408" s="3">
        <v>0.5</v>
      </c>
      <c r="I408">
        <v>8000</v>
      </c>
      <c r="J408" s="4">
        <v>4000</v>
      </c>
      <c r="K408" s="4">
        <v>1599.9999999999998</v>
      </c>
      <c r="L408" s="5">
        <v>0.39999999999999997</v>
      </c>
      <c r="M408" t="s">
        <v>131</v>
      </c>
      <c r="N408" t="s">
        <v>363</v>
      </c>
    </row>
    <row r="409" spans="1:14">
      <c r="A409" t="s">
        <v>152</v>
      </c>
      <c r="B409">
        <v>1197831</v>
      </c>
      <c r="C409" s="2">
        <v>44413</v>
      </c>
      <c r="D409" t="s">
        <v>139</v>
      </c>
      <c r="E409" t="s">
        <v>173</v>
      </c>
      <c r="F409" t="s">
        <v>194</v>
      </c>
      <c r="G409" t="s">
        <v>145</v>
      </c>
      <c r="H409" s="3">
        <v>0.55000000000000004</v>
      </c>
      <c r="I409">
        <v>8000</v>
      </c>
      <c r="J409" s="4">
        <v>4400</v>
      </c>
      <c r="K409" s="4">
        <v>1759.9999999999998</v>
      </c>
      <c r="L409" s="5">
        <v>0.39999999999999997</v>
      </c>
      <c r="M409" t="s">
        <v>131</v>
      </c>
      <c r="N409" t="s">
        <v>363</v>
      </c>
    </row>
    <row r="410" spans="1:14">
      <c r="A410" t="s">
        <v>152</v>
      </c>
      <c r="B410">
        <v>1197831</v>
      </c>
      <c r="C410" s="2">
        <v>44413</v>
      </c>
      <c r="D410" t="s">
        <v>139</v>
      </c>
      <c r="E410" t="s">
        <v>173</v>
      </c>
      <c r="F410" t="s">
        <v>194</v>
      </c>
      <c r="G410" t="s">
        <v>146</v>
      </c>
      <c r="H410" s="3">
        <v>0.5</v>
      </c>
      <c r="I410">
        <v>9750</v>
      </c>
      <c r="J410" s="4">
        <v>4875</v>
      </c>
      <c r="K410" s="4">
        <v>1949.9999999999998</v>
      </c>
      <c r="L410" s="5">
        <v>0.39999999999999997</v>
      </c>
      <c r="M410" t="s">
        <v>131</v>
      </c>
      <c r="N410" t="s">
        <v>363</v>
      </c>
    </row>
    <row r="411" spans="1:14">
      <c r="A411" t="s">
        <v>152</v>
      </c>
      <c r="B411">
        <v>1197831</v>
      </c>
      <c r="C411" s="2">
        <v>44413</v>
      </c>
      <c r="D411" t="s">
        <v>139</v>
      </c>
      <c r="E411" t="s">
        <v>173</v>
      </c>
      <c r="F411" t="s">
        <v>194</v>
      </c>
      <c r="G411" t="s">
        <v>148</v>
      </c>
      <c r="H411" s="3">
        <v>0.5</v>
      </c>
      <c r="I411">
        <v>5250</v>
      </c>
      <c r="J411" s="4">
        <v>2625</v>
      </c>
      <c r="K411" s="4">
        <v>1312.5</v>
      </c>
      <c r="L411" s="5">
        <v>0.5</v>
      </c>
      <c r="M411" t="s">
        <v>131</v>
      </c>
      <c r="N411" t="s">
        <v>363</v>
      </c>
    </row>
    <row r="412" spans="1:14">
      <c r="A412" t="s">
        <v>152</v>
      </c>
      <c r="B412">
        <v>1197831</v>
      </c>
      <c r="C412" s="2">
        <v>44413</v>
      </c>
      <c r="D412" t="s">
        <v>139</v>
      </c>
      <c r="E412" t="s">
        <v>173</v>
      </c>
      <c r="F412" t="s">
        <v>194</v>
      </c>
      <c r="G412" t="s">
        <v>147</v>
      </c>
      <c r="H412" s="3">
        <v>0.55000000000000004</v>
      </c>
      <c r="I412">
        <v>5250</v>
      </c>
      <c r="J412" s="4">
        <v>2887.5000000000005</v>
      </c>
      <c r="K412" s="4">
        <v>1010.6250000000001</v>
      </c>
      <c r="L412" s="5">
        <v>0.35</v>
      </c>
      <c r="M412" t="s">
        <v>131</v>
      </c>
      <c r="N412" t="s">
        <v>363</v>
      </c>
    </row>
    <row r="413" spans="1:14">
      <c r="A413" t="s">
        <v>152</v>
      </c>
      <c r="B413">
        <v>1197831</v>
      </c>
      <c r="C413" s="2">
        <v>44413</v>
      </c>
      <c r="D413" t="s">
        <v>139</v>
      </c>
      <c r="E413" t="s">
        <v>173</v>
      </c>
      <c r="F413" t="s">
        <v>194</v>
      </c>
      <c r="G413" t="s">
        <v>144</v>
      </c>
      <c r="H413" s="3">
        <v>0.6</v>
      </c>
      <c r="I413">
        <v>7750</v>
      </c>
      <c r="J413" s="4">
        <v>4650</v>
      </c>
      <c r="K413" s="4">
        <v>2557.5</v>
      </c>
      <c r="L413" s="5">
        <v>0.55000000000000004</v>
      </c>
      <c r="M413" t="s">
        <v>131</v>
      </c>
      <c r="N413" t="s">
        <v>363</v>
      </c>
    </row>
    <row r="414" spans="1:14">
      <c r="A414" t="s">
        <v>152</v>
      </c>
      <c r="B414">
        <v>1197831</v>
      </c>
      <c r="C414" s="2">
        <v>44441</v>
      </c>
      <c r="D414" t="s">
        <v>139</v>
      </c>
      <c r="E414" t="s">
        <v>173</v>
      </c>
      <c r="F414" t="s">
        <v>194</v>
      </c>
      <c r="G414" t="s">
        <v>27</v>
      </c>
      <c r="H414" s="3">
        <v>0.55000000000000004</v>
      </c>
      <c r="I414">
        <v>7250</v>
      </c>
      <c r="J414" s="4">
        <v>3987.5000000000005</v>
      </c>
      <c r="K414" s="4">
        <v>1595</v>
      </c>
      <c r="L414" s="5">
        <v>0.39999999999999997</v>
      </c>
      <c r="M414" t="s">
        <v>132</v>
      </c>
      <c r="N414" t="s">
        <v>363</v>
      </c>
    </row>
    <row r="415" spans="1:14">
      <c r="A415" t="s">
        <v>152</v>
      </c>
      <c r="B415">
        <v>1197831</v>
      </c>
      <c r="C415" s="2">
        <v>44441</v>
      </c>
      <c r="D415" t="s">
        <v>139</v>
      </c>
      <c r="E415" t="s">
        <v>173</v>
      </c>
      <c r="F415" t="s">
        <v>194</v>
      </c>
      <c r="G415" t="s">
        <v>145</v>
      </c>
      <c r="H415" s="3">
        <v>0.55000000000000004</v>
      </c>
      <c r="I415">
        <v>6750</v>
      </c>
      <c r="J415" s="4">
        <v>3712.5000000000005</v>
      </c>
      <c r="K415" s="4">
        <v>1485</v>
      </c>
      <c r="L415" s="5">
        <v>0.39999999999999997</v>
      </c>
      <c r="M415" t="s">
        <v>132</v>
      </c>
      <c r="N415" t="s">
        <v>363</v>
      </c>
    </row>
    <row r="416" spans="1:14">
      <c r="A416" t="s">
        <v>152</v>
      </c>
      <c r="B416">
        <v>1197831</v>
      </c>
      <c r="C416" s="2">
        <v>44441</v>
      </c>
      <c r="D416" t="s">
        <v>139</v>
      </c>
      <c r="E416" t="s">
        <v>173</v>
      </c>
      <c r="F416" t="s">
        <v>194</v>
      </c>
      <c r="G416" t="s">
        <v>146</v>
      </c>
      <c r="H416" s="3">
        <v>0.6</v>
      </c>
      <c r="I416">
        <v>7250</v>
      </c>
      <c r="J416" s="4">
        <v>4350</v>
      </c>
      <c r="K416" s="4">
        <v>1739.9999999999998</v>
      </c>
      <c r="L416" s="5">
        <v>0.39999999999999997</v>
      </c>
      <c r="M416" t="s">
        <v>132</v>
      </c>
      <c r="N416" t="s">
        <v>363</v>
      </c>
    </row>
    <row r="417" spans="1:14">
      <c r="A417" t="s">
        <v>152</v>
      </c>
      <c r="B417">
        <v>1197831</v>
      </c>
      <c r="C417" s="2">
        <v>44441</v>
      </c>
      <c r="D417" t="s">
        <v>139</v>
      </c>
      <c r="E417" t="s">
        <v>173</v>
      </c>
      <c r="F417" t="s">
        <v>194</v>
      </c>
      <c r="G417" t="s">
        <v>148</v>
      </c>
      <c r="H417" s="3">
        <v>0.6</v>
      </c>
      <c r="I417">
        <v>4500</v>
      </c>
      <c r="J417" s="4">
        <v>2700</v>
      </c>
      <c r="K417" s="4">
        <v>1350</v>
      </c>
      <c r="L417" s="5">
        <v>0.5</v>
      </c>
      <c r="M417" t="s">
        <v>132</v>
      </c>
      <c r="N417" t="s">
        <v>363</v>
      </c>
    </row>
    <row r="418" spans="1:14">
      <c r="A418" t="s">
        <v>152</v>
      </c>
      <c r="B418">
        <v>1197831</v>
      </c>
      <c r="C418" s="2">
        <v>44441</v>
      </c>
      <c r="D418" t="s">
        <v>139</v>
      </c>
      <c r="E418" t="s">
        <v>173</v>
      </c>
      <c r="F418" t="s">
        <v>194</v>
      </c>
      <c r="G418" t="s">
        <v>147</v>
      </c>
      <c r="H418" s="3">
        <v>0.55000000000000004</v>
      </c>
      <c r="I418">
        <v>4500</v>
      </c>
      <c r="J418" s="4">
        <v>2475</v>
      </c>
      <c r="K418" s="4">
        <v>866.25</v>
      </c>
      <c r="L418" s="5">
        <v>0.35</v>
      </c>
      <c r="M418" t="s">
        <v>132</v>
      </c>
      <c r="N418" t="s">
        <v>363</v>
      </c>
    </row>
    <row r="419" spans="1:14">
      <c r="A419" t="s">
        <v>152</v>
      </c>
      <c r="B419">
        <v>1197831</v>
      </c>
      <c r="C419" s="2">
        <v>44441</v>
      </c>
      <c r="D419" t="s">
        <v>139</v>
      </c>
      <c r="E419" t="s">
        <v>173</v>
      </c>
      <c r="F419" t="s">
        <v>194</v>
      </c>
      <c r="G419" t="s">
        <v>144</v>
      </c>
      <c r="H419" s="3">
        <v>0.5</v>
      </c>
      <c r="I419">
        <v>6750</v>
      </c>
      <c r="J419" s="4">
        <v>3375</v>
      </c>
      <c r="K419" s="4">
        <v>1856.2500000000002</v>
      </c>
      <c r="L419" s="5">
        <v>0.55000000000000004</v>
      </c>
      <c r="M419" t="s">
        <v>132</v>
      </c>
      <c r="N419" t="s">
        <v>363</v>
      </c>
    </row>
    <row r="420" spans="1:14">
      <c r="A420" t="s">
        <v>152</v>
      </c>
      <c r="B420">
        <v>1197831</v>
      </c>
      <c r="C420" s="2">
        <v>44470</v>
      </c>
      <c r="D420" t="s">
        <v>139</v>
      </c>
      <c r="E420" t="s">
        <v>173</v>
      </c>
      <c r="F420" t="s">
        <v>194</v>
      </c>
      <c r="G420" t="s">
        <v>27</v>
      </c>
      <c r="H420" s="3">
        <v>0.4</v>
      </c>
      <c r="I420">
        <v>6250</v>
      </c>
      <c r="J420" s="4">
        <v>2500</v>
      </c>
      <c r="K420" s="4">
        <v>999.99999999999989</v>
      </c>
      <c r="L420" s="5">
        <v>0.39999999999999997</v>
      </c>
      <c r="M420" t="s">
        <v>133</v>
      </c>
      <c r="N420" t="s">
        <v>364</v>
      </c>
    </row>
    <row r="421" spans="1:14">
      <c r="A421" t="s">
        <v>152</v>
      </c>
      <c r="B421">
        <v>1197831</v>
      </c>
      <c r="C421" s="2">
        <v>44470</v>
      </c>
      <c r="D421" t="s">
        <v>139</v>
      </c>
      <c r="E421" t="s">
        <v>173</v>
      </c>
      <c r="F421" t="s">
        <v>194</v>
      </c>
      <c r="G421" t="s">
        <v>145</v>
      </c>
      <c r="H421" s="3">
        <v>0.4</v>
      </c>
      <c r="I421">
        <v>6250</v>
      </c>
      <c r="J421" s="4">
        <v>2500</v>
      </c>
      <c r="K421" s="4">
        <v>999.99999999999989</v>
      </c>
      <c r="L421" s="5">
        <v>0.39999999999999997</v>
      </c>
      <c r="M421" t="s">
        <v>133</v>
      </c>
      <c r="N421" t="s">
        <v>364</v>
      </c>
    </row>
    <row r="422" spans="1:14">
      <c r="A422" t="s">
        <v>152</v>
      </c>
      <c r="B422">
        <v>1197831</v>
      </c>
      <c r="C422" s="2">
        <v>44470</v>
      </c>
      <c r="D422" t="s">
        <v>139</v>
      </c>
      <c r="E422" t="s">
        <v>173</v>
      </c>
      <c r="F422" t="s">
        <v>194</v>
      </c>
      <c r="G422" t="s">
        <v>146</v>
      </c>
      <c r="H422" s="3">
        <v>0.45</v>
      </c>
      <c r="I422">
        <v>5750</v>
      </c>
      <c r="J422" s="4">
        <v>2587.5</v>
      </c>
      <c r="K422" s="4">
        <v>1035</v>
      </c>
      <c r="L422" s="5">
        <v>0.39999999999999997</v>
      </c>
      <c r="M422" t="s">
        <v>133</v>
      </c>
      <c r="N422" t="s">
        <v>364</v>
      </c>
    </row>
    <row r="423" spans="1:14">
      <c r="A423" t="s">
        <v>152</v>
      </c>
      <c r="B423">
        <v>1197831</v>
      </c>
      <c r="C423" s="2">
        <v>44470</v>
      </c>
      <c r="D423" t="s">
        <v>139</v>
      </c>
      <c r="E423" t="s">
        <v>173</v>
      </c>
      <c r="F423" t="s">
        <v>194</v>
      </c>
      <c r="G423" t="s">
        <v>148</v>
      </c>
      <c r="H423" s="3">
        <v>0.45</v>
      </c>
      <c r="I423">
        <v>4250</v>
      </c>
      <c r="J423" s="4">
        <v>1912.5</v>
      </c>
      <c r="K423" s="4">
        <v>956.25</v>
      </c>
      <c r="L423" s="5">
        <v>0.5</v>
      </c>
      <c r="M423" t="s">
        <v>133</v>
      </c>
      <c r="N423" t="s">
        <v>364</v>
      </c>
    </row>
    <row r="424" spans="1:14">
      <c r="A424" t="s">
        <v>152</v>
      </c>
      <c r="B424">
        <v>1197831</v>
      </c>
      <c r="C424" s="2">
        <v>44470</v>
      </c>
      <c r="D424" t="s">
        <v>139</v>
      </c>
      <c r="E424" t="s">
        <v>173</v>
      </c>
      <c r="F424" t="s">
        <v>194</v>
      </c>
      <c r="G424" t="s">
        <v>147</v>
      </c>
      <c r="H424" s="3">
        <v>0.4</v>
      </c>
      <c r="I424">
        <v>4000</v>
      </c>
      <c r="J424" s="4">
        <v>1600</v>
      </c>
      <c r="K424" s="4">
        <v>560</v>
      </c>
      <c r="L424" s="5">
        <v>0.35</v>
      </c>
      <c r="M424" t="s">
        <v>133</v>
      </c>
      <c r="N424" t="s">
        <v>364</v>
      </c>
    </row>
    <row r="425" spans="1:14">
      <c r="A425" t="s">
        <v>152</v>
      </c>
      <c r="B425">
        <v>1197831</v>
      </c>
      <c r="C425" s="2">
        <v>44470</v>
      </c>
      <c r="D425" t="s">
        <v>139</v>
      </c>
      <c r="E425" t="s">
        <v>173</v>
      </c>
      <c r="F425" t="s">
        <v>194</v>
      </c>
      <c r="G425" t="s">
        <v>144</v>
      </c>
      <c r="H425" s="3">
        <v>0.5</v>
      </c>
      <c r="I425">
        <v>5750</v>
      </c>
      <c r="J425" s="4">
        <v>2875</v>
      </c>
      <c r="K425" s="4">
        <v>1581.2500000000002</v>
      </c>
      <c r="L425" s="5">
        <v>0.55000000000000004</v>
      </c>
      <c r="M425" t="s">
        <v>133</v>
      </c>
      <c r="N425" t="s">
        <v>364</v>
      </c>
    </row>
    <row r="426" spans="1:14">
      <c r="A426" t="s">
        <v>152</v>
      </c>
      <c r="B426">
        <v>1197831</v>
      </c>
      <c r="C426" s="2">
        <v>44502</v>
      </c>
      <c r="D426" t="s">
        <v>139</v>
      </c>
      <c r="E426" t="s">
        <v>173</v>
      </c>
      <c r="F426" t="s">
        <v>194</v>
      </c>
      <c r="G426" t="s">
        <v>27</v>
      </c>
      <c r="H426" s="3">
        <v>0.4</v>
      </c>
      <c r="I426">
        <v>7250</v>
      </c>
      <c r="J426" s="4">
        <v>2900</v>
      </c>
      <c r="K426" s="4">
        <v>1160</v>
      </c>
      <c r="L426" s="5">
        <v>0.39999999999999997</v>
      </c>
      <c r="M426" t="s">
        <v>134</v>
      </c>
      <c r="N426" t="s">
        <v>364</v>
      </c>
    </row>
    <row r="427" spans="1:14">
      <c r="A427" t="s">
        <v>152</v>
      </c>
      <c r="B427">
        <v>1197831</v>
      </c>
      <c r="C427" s="2">
        <v>44502</v>
      </c>
      <c r="D427" t="s">
        <v>139</v>
      </c>
      <c r="E427" t="s">
        <v>173</v>
      </c>
      <c r="F427" t="s">
        <v>194</v>
      </c>
      <c r="G427" t="s">
        <v>145</v>
      </c>
      <c r="H427" s="3">
        <v>0.4</v>
      </c>
      <c r="I427">
        <v>7250</v>
      </c>
      <c r="J427" s="4">
        <v>2900</v>
      </c>
      <c r="K427" s="4">
        <v>1160</v>
      </c>
      <c r="L427" s="5">
        <v>0.39999999999999997</v>
      </c>
      <c r="M427" t="s">
        <v>134</v>
      </c>
      <c r="N427" t="s">
        <v>364</v>
      </c>
    </row>
    <row r="428" spans="1:14">
      <c r="A428" t="s">
        <v>152</v>
      </c>
      <c r="B428">
        <v>1197831</v>
      </c>
      <c r="C428" s="2">
        <v>44502</v>
      </c>
      <c r="D428" t="s">
        <v>139</v>
      </c>
      <c r="E428" t="s">
        <v>173</v>
      </c>
      <c r="F428" t="s">
        <v>194</v>
      </c>
      <c r="G428" t="s">
        <v>146</v>
      </c>
      <c r="H428" s="3">
        <v>0.65</v>
      </c>
      <c r="I428">
        <v>6500</v>
      </c>
      <c r="J428" s="4">
        <v>4225</v>
      </c>
      <c r="K428" s="4">
        <v>1689.9999999999998</v>
      </c>
      <c r="L428" s="5">
        <v>0.39999999999999997</v>
      </c>
      <c r="M428" t="s">
        <v>134</v>
      </c>
      <c r="N428" t="s">
        <v>364</v>
      </c>
    </row>
    <row r="429" spans="1:14">
      <c r="A429" t="s">
        <v>152</v>
      </c>
      <c r="B429">
        <v>1197831</v>
      </c>
      <c r="C429" s="2">
        <v>44502</v>
      </c>
      <c r="D429" t="s">
        <v>139</v>
      </c>
      <c r="E429" t="s">
        <v>173</v>
      </c>
      <c r="F429" t="s">
        <v>194</v>
      </c>
      <c r="G429" t="s">
        <v>148</v>
      </c>
      <c r="H429" s="3">
        <v>0.65</v>
      </c>
      <c r="I429">
        <v>5000</v>
      </c>
      <c r="J429" s="4">
        <v>3250</v>
      </c>
      <c r="K429" s="4">
        <v>1625</v>
      </c>
      <c r="L429" s="5">
        <v>0.5</v>
      </c>
      <c r="M429" t="s">
        <v>134</v>
      </c>
      <c r="N429" t="s">
        <v>364</v>
      </c>
    </row>
    <row r="430" spans="1:14">
      <c r="A430" t="s">
        <v>152</v>
      </c>
      <c r="B430">
        <v>1197831</v>
      </c>
      <c r="C430" s="2">
        <v>44502</v>
      </c>
      <c r="D430" t="s">
        <v>139</v>
      </c>
      <c r="E430" t="s">
        <v>173</v>
      </c>
      <c r="F430" t="s">
        <v>194</v>
      </c>
      <c r="G430" t="s">
        <v>147</v>
      </c>
      <c r="H430" s="3">
        <v>0.6</v>
      </c>
      <c r="I430">
        <v>4750</v>
      </c>
      <c r="J430" s="4">
        <v>2850</v>
      </c>
      <c r="K430" s="4">
        <v>997.49999999999989</v>
      </c>
      <c r="L430" s="5">
        <v>0.35</v>
      </c>
      <c r="M430" t="s">
        <v>134</v>
      </c>
      <c r="N430" t="s">
        <v>364</v>
      </c>
    </row>
    <row r="431" spans="1:14">
      <c r="A431" t="s">
        <v>152</v>
      </c>
      <c r="B431">
        <v>1197831</v>
      </c>
      <c r="C431" s="2">
        <v>44502</v>
      </c>
      <c r="D431" t="s">
        <v>139</v>
      </c>
      <c r="E431" t="s">
        <v>173</v>
      </c>
      <c r="F431" t="s">
        <v>194</v>
      </c>
      <c r="G431" t="s">
        <v>144</v>
      </c>
      <c r="H431" s="3">
        <v>0.70000000000000007</v>
      </c>
      <c r="I431">
        <v>6750</v>
      </c>
      <c r="J431" s="4">
        <v>4725</v>
      </c>
      <c r="K431" s="4">
        <v>2598.75</v>
      </c>
      <c r="L431" s="5">
        <v>0.55000000000000004</v>
      </c>
      <c r="M431" t="s">
        <v>134</v>
      </c>
      <c r="N431" t="s">
        <v>364</v>
      </c>
    </row>
    <row r="432" spans="1:14">
      <c r="A432" t="s">
        <v>152</v>
      </c>
      <c r="B432">
        <v>1197831</v>
      </c>
      <c r="C432" s="2">
        <v>44531</v>
      </c>
      <c r="D432" t="s">
        <v>139</v>
      </c>
      <c r="E432" t="s">
        <v>173</v>
      </c>
      <c r="F432" t="s">
        <v>194</v>
      </c>
      <c r="G432" t="s">
        <v>27</v>
      </c>
      <c r="H432" s="3">
        <v>0.6</v>
      </c>
      <c r="I432">
        <v>8250</v>
      </c>
      <c r="J432" s="4">
        <v>4950</v>
      </c>
      <c r="K432" s="4">
        <v>1979.9999999999998</v>
      </c>
      <c r="L432" s="5">
        <v>0.39999999999999997</v>
      </c>
      <c r="M432" t="s">
        <v>23</v>
      </c>
      <c r="N432" t="s">
        <v>364</v>
      </c>
    </row>
    <row r="433" spans="1:14">
      <c r="A433" t="s">
        <v>152</v>
      </c>
      <c r="B433">
        <v>1197831</v>
      </c>
      <c r="C433" s="2">
        <v>44531</v>
      </c>
      <c r="D433" t="s">
        <v>139</v>
      </c>
      <c r="E433" t="s">
        <v>173</v>
      </c>
      <c r="F433" t="s">
        <v>194</v>
      </c>
      <c r="G433" t="s">
        <v>145</v>
      </c>
      <c r="H433" s="3">
        <v>0.6</v>
      </c>
      <c r="I433">
        <v>8250</v>
      </c>
      <c r="J433" s="4">
        <v>4950</v>
      </c>
      <c r="K433" s="4">
        <v>1979.9999999999998</v>
      </c>
      <c r="L433" s="5">
        <v>0.39999999999999997</v>
      </c>
      <c r="M433" t="s">
        <v>23</v>
      </c>
      <c r="N433" t="s">
        <v>364</v>
      </c>
    </row>
    <row r="434" spans="1:14">
      <c r="A434" t="s">
        <v>152</v>
      </c>
      <c r="B434">
        <v>1197831</v>
      </c>
      <c r="C434" s="2">
        <v>44531</v>
      </c>
      <c r="D434" t="s">
        <v>139</v>
      </c>
      <c r="E434" t="s">
        <v>173</v>
      </c>
      <c r="F434" t="s">
        <v>194</v>
      </c>
      <c r="G434" t="s">
        <v>146</v>
      </c>
      <c r="H434" s="3">
        <v>0.65</v>
      </c>
      <c r="I434">
        <v>7250</v>
      </c>
      <c r="J434" s="4">
        <v>4712.5</v>
      </c>
      <c r="K434" s="4">
        <v>1884.9999999999998</v>
      </c>
      <c r="L434" s="5">
        <v>0.39999999999999997</v>
      </c>
      <c r="M434" t="s">
        <v>23</v>
      </c>
      <c r="N434" t="s">
        <v>364</v>
      </c>
    </row>
    <row r="435" spans="1:14">
      <c r="A435" t="s">
        <v>152</v>
      </c>
      <c r="B435">
        <v>1197831</v>
      </c>
      <c r="C435" s="2">
        <v>44531</v>
      </c>
      <c r="D435" t="s">
        <v>139</v>
      </c>
      <c r="E435" t="s">
        <v>173</v>
      </c>
      <c r="F435" t="s">
        <v>194</v>
      </c>
      <c r="G435" t="s">
        <v>148</v>
      </c>
      <c r="H435" s="3">
        <v>0.65</v>
      </c>
      <c r="I435">
        <v>5750</v>
      </c>
      <c r="J435" s="4">
        <v>3737.5</v>
      </c>
      <c r="K435" s="4">
        <v>1868.75</v>
      </c>
      <c r="L435" s="5">
        <v>0.5</v>
      </c>
      <c r="M435" t="s">
        <v>23</v>
      </c>
      <c r="N435" t="s">
        <v>364</v>
      </c>
    </row>
    <row r="436" spans="1:14">
      <c r="A436" t="s">
        <v>152</v>
      </c>
      <c r="B436">
        <v>1197831</v>
      </c>
      <c r="C436" s="2">
        <v>44531</v>
      </c>
      <c r="D436" t="s">
        <v>139</v>
      </c>
      <c r="E436" t="s">
        <v>173</v>
      </c>
      <c r="F436" t="s">
        <v>194</v>
      </c>
      <c r="G436" t="s">
        <v>147</v>
      </c>
      <c r="H436" s="3">
        <v>0.6</v>
      </c>
      <c r="I436">
        <v>5250</v>
      </c>
      <c r="J436" s="4">
        <v>3150</v>
      </c>
      <c r="K436" s="4">
        <v>1102.5</v>
      </c>
      <c r="L436" s="5">
        <v>0.35</v>
      </c>
      <c r="M436" t="s">
        <v>23</v>
      </c>
      <c r="N436" t="s">
        <v>364</v>
      </c>
    </row>
    <row r="437" spans="1:14">
      <c r="A437" t="s">
        <v>152</v>
      </c>
      <c r="B437">
        <v>1197831</v>
      </c>
      <c r="C437" s="2">
        <v>44531</v>
      </c>
      <c r="D437" t="s">
        <v>139</v>
      </c>
      <c r="E437" t="s">
        <v>173</v>
      </c>
      <c r="F437" t="s">
        <v>194</v>
      </c>
      <c r="G437" t="s">
        <v>144</v>
      </c>
      <c r="H437" s="3">
        <v>0.70000000000000007</v>
      </c>
      <c r="I437">
        <v>7750</v>
      </c>
      <c r="J437" s="4">
        <v>5425.0000000000009</v>
      </c>
      <c r="K437" s="4">
        <v>2983.7500000000009</v>
      </c>
      <c r="L437" s="5">
        <v>0.55000000000000004</v>
      </c>
      <c r="M437" t="s">
        <v>23</v>
      </c>
      <c r="N437" t="s">
        <v>364</v>
      </c>
    </row>
    <row r="438" spans="1:14">
      <c r="A438" t="s">
        <v>29</v>
      </c>
      <c r="B438">
        <v>1185732</v>
      </c>
      <c r="C438" s="2">
        <v>44203</v>
      </c>
      <c r="D438" t="s">
        <v>137</v>
      </c>
      <c r="E438" t="s">
        <v>233</v>
      </c>
      <c r="F438" t="s">
        <v>242</v>
      </c>
      <c r="G438" t="s">
        <v>27</v>
      </c>
      <c r="H438" s="3">
        <v>0.45</v>
      </c>
      <c r="I438">
        <v>4250</v>
      </c>
      <c r="J438" s="4">
        <v>1912.5</v>
      </c>
      <c r="K438" s="4">
        <v>1051.875</v>
      </c>
      <c r="L438" s="5">
        <v>0.55000000000000004</v>
      </c>
      <c r="M438" t="s">
        <v>125</v>
      </c>
      <c r="N438" t="s">
        <v>361</v>
      </c>
    </row>
    <row r="439" spans="1:14">
      <c r="A439" t="s">
        <v>29</v>
      </c>
      <c r="B439">
        <v>1185732</v>
      </c>
      <c r="C439" s="2">
        <v>44203</v>
      </c>
      <c r="D439" t="s">
        <v>137</v>
      </c>
      <c r="E439" t="s">
        <v>233</v>
      </c>
      <c r="F439" t="s">
        <v>242</v>
      </c>
      <c r="G439" t="s">
        <v>145</v>
      </c>
      <c r="H439" s="3">
        <v>0.45</v>
      </c>
      <c r="I439">
        <v>2250</v>
      </c>
      <c r="J439" s="4">
        <v>1012.5</v>
      </c>
      <c r="K439" s="4">
        <v>354.375</v>
      </c>
      <c r="L439" s="5">
        <v>0.35</v>
      </c>
      <c r="M439" t="s">
        <v>125</v>
      </c>
      <c r="N439" t="s">
        <v>361</v>
      </c>
    </row>
    <row r="440" spans="1:14">
      <c r="A440" t="s">
        <v>29</v>
      </c>
      <c r="B440">
        <v>1185732</v>
      </c>
      <c r="C440" s="2">
        <v>44203</v>
      </c>
      <c r="D440" t="s">
        <v>137</v>
      </c>
      <c r="E440" t="s">
        <v>233</v>
      </c>
      <c r="F440" t="s">
        <v>242</v>
      </c>
      <c r="G440" t="s">
        <v>146</v>
      </c>
      <c r="H440" s="3">
        <v>0.35000000000000003</v>
      </c>
      <c r="I440">
        <v>2250</v>
      </c>
      <c r="J440" s="4">
        <v>787.50000000000011</v>
      </c>
      <c r="K440" s="4">
        <v>315</v>
      </c>
      <c r="L440" s="5">
        <v>0.39999999999999997</v>
      </c>
      <c r="M440" t="s">
        <v>125</v>
      </c>
      <c r="N440" t="s">
        <v>361</v>
      </c>
    </row>
    <row r="441" spans="1:14">
      <c r="A441" t="s">
        <v>29</v>
      </c>
      <c r="B441">
        <v>1185732</v>
      </c>
      <c r="C441" s="2">
        <v>44203</v>
      </c>
      <c r="D441" t="s">
        <v>137</v>
      </c>
      <c r="E441" t="s">
        <v>233</v>
      </c>
      <c r="F441" t="s">
        <v>242</v>
      </c>
      <c r="G441" t="s">
        <v>148</v>
      </c>
      <c r="H441" s="3">
        <v>0.4</v>
      </c>
      <c r="I441">
        <v>750</v>
      </c>
      <c r="J441" s="4">
        <v>300</v>
      </c>
      <c r="K441" s="4">
        <v>119.99999999999999</v>
      </c>
      <c r="L441" s="5">
        <v>0.39999999999999997</v>
      </c>
      <c r="M441" t="s">
        <v>125</v>
      </c>
      <c r="N441" t="s">
        <v>361</v>
      </c>
    </row>
    <row r="442" spans="1:14">
      <c r="A442" t="s">
        <v>29</v>
      </c>
      <c r="B442">
        <v>1185732</v>
      </c>
      <c r="C442" s="2">
        <v>44203</v>
      </c>
      <c r="D442" t="s">
        <v>137</v>
      </c>
      <c r="E442" t="s">
        <v>233</v>
      </c>
      <c r="F442" t="s">
        <v>242</v>
      </c>
      <c r="G442" t="s">
        <v>147</v>
      </c>
      <c r="H442" s="3">
        <v>0.54999999999999993</v>
      </c>
      <c r="I442">
        <v>1250</v>
      </c>
      <c r="J442" s="4">
        <v>687.49999999999989</v>
      </c>
      <c r="K442" s="4">
        <v>240.62499999999994</v>
      </c>
      <c r="L442" s="5">
        <v>0.35</v>
      </c>
      <c r="M442" t="s">
        <v>125</v>
      </c>
      <c r="N442" t="s">
        <v>361</v>
      </c>
    </row>
    <row r="443" spans="1:14">
      <c r="A443" t="s">
        <v>29</v>
      </c>
      <c r="B443">
        <v>1185732</v>
      </c>
      <c r="C443" s="2">
        <v>44203</v>
      </c>
      <c r="D443" t="s">
        <v>137</v>
      </c>
      <c r="E443" t="s">
        <v>233</v>
      </c>
      <c r="F443" t="s">
        <v>242</v>
      </c>
      <c r="G443" t="s">
        <v>144</v>
      </c>
      <c r="H443" s="3">
        <v>0.45</v>
      </c>
      <c r="I443">
        <v>2250</v>
      </c>
      <c r="J443" s="4">
        <v>1012.5</v>
      </c>
      <c r="K443" s="4">
        <v>303.75</v>
      </c>
      <c r="L443" s="5">
        <v>0.3</v>
      </c>
      <c r="M443" t="s">
        <v>125</v>
      </c>
      <c r="N443" t="s">
        <v>361</v>
      </c>
    </row>
    <row r="444" spans="1:14">
      <c r="A444" t="s">
        <v>29</v>
      </c>
      <c r="B444">
        <v>1185732</v>
      </c>
      <c r="C444" s="2">
        <v>44232</v>
      </c>
      <c r="D444" t="s">
        <v>137</v>
      </c>
      <c r="E444" t="s">
        <v>233</v>
      </c>
      <c r="F444" t="s">
        <v>242</v>
      </c>
      <c r="G444" t="s">
        <v>27</v>
      </c>
      <c r="H444" s="3">
        <v>0.45</v>
      </c>
      <c r="I444">
        <v>4750</v>
      </c>
      <c r="J444" s="4">
        <v>2137.5</v>
      </c>
      <c r="K444" s="4">
        <v>1175.625</v>
      </c>
      <c r="L444" s="5">
        <v>0.55000000000000004</v>
      </c>
      <c r="M444" t="s">
        <v>126</v>
      </c>
      <c r="N444" t="s">
        <v>361</v>
      </c>
    </row>
    <row r="445" spans="1:14">
      <c r="A445" t="s">
        <v>29</v>
      </c>
      <c r="B445">
        <v>1185732</v>
      </c>
      <c r="C445" s="2">
        <v>44232</v>
      </c>
      <c r="D445" t="s">
        <v>137</v>
      </c>
      <c r="E445" t="s">
        <v>233</v>
      </c>
      <c r="F445" t="s">
        <v>242</v>
      </c>
      <c r="G445" t="s">
        <v>145</v>
      </c>
      <c r="H445" s="3">
        <v>0.45</v>
      </c>
      <c r="I445">
        <v>1250</v>
      </c>
      <c r="J445" s="4">
        <v>562.5</v>
      </c>
      <c r="K445" s="4">
        <v>196.875</v>
      </c>
      <c r="L445" s="5">
        <v>0.35</v>
      </c>
      <c r="M445" t="s">
        <v>126</v>
      </c>
      <c r="N445" t="s">
        <v>361</v>
      </c>
    </row>
    <row r="446" spans="1:14">
      <c r="A446" t="s">
        <v>29</v>
      </c>
      <c r="B446">
        <v>1185732</v>
      </c>
      <c r="C446" s="2">
        <v>44232</v>
      </c>
      <c r="D446" t="s">
        <v>137</v>
      </c>
      <c r="E446" t="s">
        <v>233</v>
      </c>
      <c r="F446" t="s">
        <v>242</v>
      </c>
      <c r="G446" t="s">
        <v>146</v>
      </c>
      <c r="H446" s="3">
        <v>0.35000000000000003</v>
      </c>
      <c r="I446">
        <v>1750</v>
      </c>
      <c r="J446" s="4">
        <v>612.50000000000011</v>
      </c>
      <c r="K446" s="4">
        <v>245.00000000000003</v>
      </c>
      <c r="L446" s="5">
        <v>0.39999999999999997</v>
      </c>
      <c r="M446" t="s">
        <v>126</v>
      </c>
      <c r="N446" t="s">
        <v>361</v>
      </c>
    </row>
    <row r="447" spans="1:14">
      <c r="A447" t="s">
        <v>29</v>
      </c>
      <c r="B447">
        <v>1185732</v>
      </c>
      <c r="C447" s="2">
        <v>44232</v>
      </c>
      <c r="D447" t="s">
        <v>137</v>
      </c>
      <c r="E447" t="s">
        <v>233</v>
      </c>
      <c r="F447" t="s">
        <v>242</v>
      </c>
      <c r="G447" t="s">
        <v>148</v>
      </c>
      <c r="H447" s="3">
        <v>0.4</v>
      </c>
      <c r="I447">
        <v>500</v>
      </c>
      <c r="J447" s="4">
        <v>200</v>
      </c>
      <c r="K447" s="4">
        <v>80</v>
      </c>
      <c r="L447" s="5">
        <v>0.39999999999999997</v>
      </c>
      <c r="M447" t="s">
        <v>126</v>
      </c>
      <c r="N447" t="s">
        <v>361</v>
      </c>
    </row>
    <row r="448" spans="1:14">
      <c r="A448" t="s">
        <v>29</v>
      </c>
      <c r="B448">
        <v>1185732</v>
      </c>
      <c r="C448" s="2">
        <v>44232</v>
      </c>
      <c r="D448" t="s">
        <v>137</v>
      </c>
      <c r="E448" t="s">
        <v>233</v>
      </c>
      <c r="F448" t="s">
        <v>242</v>
      </c>
      <c r="G448" t="s">
        <v>147</v>
      </c>
      <c r="H448" s="3">
        <v>0.54999999999999993</v>
      </c>
      <c r="I448">
        <v>1250</v>
      </c>
      <c r="J448" s="4">
        <v>687.49999999999989</v>
      </c>
      <c r="K448" s="4">
        <v>240.62499999999994</v>
      </c>
      <c r="L448" s="5">
        <v>0.35</v>
      </c>
      <c r="M448" t="s">
        <v>126</v>
      </c>
      <c r="N448" t="s">
        <v>361</v>
      </c>
    </row>
    <row r="449" spans="1:14">
      <c r="A449" t="s">
        <v>29</v>
      </c>
      <c r="B449">
        <v>1185732</v>
      </c>
      <c r="C449" s="2">
        <v>44232</v>
      </c>
      <c r="D449" t="s">
        <v>137</v>
      </c>
      <c r="E449" t="s">
        <v>233</v>
      </c>
      <c r="F449" t="s">
        <v>242</v>
      </c>
      <c r="G449" t="s">
        <v>144</v>
      </c>
      <c r="H449" s="3">
        <v>0.45</v>
      </c>
      <c r="I449">
        <v>2250</v>
      </c>
      <c r="J449" s="4">
        <v>1012.5</v>
      </c>
      <c r="K449" s="4">
        <v>303.75</v>
      </c>
      <c r="L449" s="5">
        <v>0.3</v>
      </c>
      <c r="M449" t="s">
        <v>126</v>
      </c>
      <c r="N449" t="s">
        <v>361</v>
      </c>
    </row>
    <row r="450" spans="1:14">
      <c r="A450" t="s">
        <v>29</v>
      </c>
      <c r="B450">
        <v>1185732</v>
      </c>
      <c r="C450" s="2">
        <v>44258</v>
      </c>
      <c r="D450" t="s">
        <v>137</v>
      </c>
      <c r="E450" t="s">
        <v>233</v>
      </c>
      <c r="F450" t="s">
        <v>242</v>
      </c>
      <c r="G450" t="s">
        <v>27</v>
      </c>
      <c r="H450" s="3">
        <v>0.5</v>
      </c>
      <c r="I450">
        <v>4450</v>
      </c>
      <c r="J450" s="4">
        <v>2225</v>
      </c>
      <c r="K450" s="4">
        <v>1223.75</v>
      </c>
      <c r="L450" s="5">
        <v>0.55000000000000004</v>
      </c>
      <c r="M450" t="s">
        <v>24</v>
      </c>
      <c r="N450" t="s">
        <v>361</v>
      </c>
    </row>
    <row r="451" spans="1:14">
      <c r="A451" t="s">
        <v>29</v>
      </c>
      <c r="B451">
        <v>1185732</v>
      </c>
      <c r="C451" s="2">
        <v>44258</v>
      </c>
      <c r="D451" t="s">
        <v>137</v>
      </c>
      <c r="E451" t="s">
        <v>233</v>
      </c>
      <c r="F451" t="s">
        <v>242</v>
      </c>
      <c r="G451" t="s">
        <v>145</v>
      </c>
      <c r="H451" s="3">
        <v>0.5</v>
      </c>
      <c r="I451">
        <v>1500</v>
      </c>
      <c r="J451" s="4">
        <v>750</v>
      </c>
      <c r="K451" s="4">
        <v>262.5</v>
      </c>
      <c r="L451" s="5">
        <v>0.35</v>
      </c>
      <c r="M451" t="s">
        <v>24</v>
      </c>
      <c r="N451" t="s">
        <v>361</v>
      </c>
    </row>
    <row r="452" spans="1:14">
      <c r="A452" t="s">
        <v>29</v>
      </c>
      <c r="B452">
        <v>1185732</v>
      </c>
      <c r="C452" s="2">
        <v>44258</v>
      </c>
      <c r="D452" t="s">
        <v>137</v>
      </c>
      <c r="E452" t="s">
        <v>233</v>
      </c>
      <c r="F452" t="s">
        <v>242</v>
      </c>
      <c r="G452" t="s">
        <v>146</v>
      </c>
      <c r="H452" s="3">
        <v>0.4</v>
      </c>
      <c r="I452">
        <v>1750</v>
      </c>
      <c r="J452" s="4">
        <v>700</v>
      </c>
      <c r="K452" s="4">
        <v>280</v>
      </c>
      <c r="L452" s="5">
        <v>0.39999999999999997</v>
      </c>
      <c r="M452" t="s">
        <v>24</v>
      </c>
      <c r="N452" t="s">
        <v>361</v>
      </c>
    </row>
    <row r="453" spans="1:14">
      <c r="A453" t="s">
        <v>29</v>
      </c>
      <c r="B453">
        <v>1185732</v>
      </c>
      <c r="C453" s="2">
        <v>44258</v>
      </c>
      <c r="D453" t="s">
        <v>137</v>
      </c>
      <c r="E453" t="s">
        <v>233</v>
      </c>
      <c r="F453" t="s">
        <v>242</v>
      </c>
      <c r="G453" t="s">
        <v>148</v>
      </c>
      <c r="H453" s="3">
        <v>0.45</v>
      </c>
      <c r="I453">
        <v>250</v>
      </c>
      <c r="J453" s="4">
        <v>112.5</v>
      </c>
      <c r="K453" s="4">
        <v>44.999999999999993</v>
      </c>
      <c r="L453" s="5">
        <v>0.39999999999999997</v>
      </c>
      <c r="M453" t="s">
        <v>24</v>
      </c>
      <c r="N453" t="s">
        <v>361</v>
      </c>
    </row>
    <row r="454" spans="1:14">
      <c r="A454" t="s">
        <v>29</v>
      </c>
      <c r="B454">
        <v>1185732</v>
      </c>
      <c r="C454" s="2">
        <v>44258</v>
      </c>
      <c r="D454" t="s">
        <v>137</v>
      </c>
      <c r="E454" t="s">
        <v>233</v>
      </c>
      <c r="F454" t="s">
        <v>242</v>
      </c>
      <c r="G454" t="s">
        <v>147</v>
      </c>
      <c r="H454" s="3">
        <v>0.6</v>
      </c>
      <c r="I454">
        <v>750</v>
      </c>
      <c r="J454" s="4">
        <v>450</v>
      </c>
      <c r="K454" s="4">
        <v>135</v>
      </c>
      <c r="L454" s="5">
        <v>0.3</v>
      </c>
      <c r="M454" t="s">
        <v>24</v>
      </c>
      <c r="N454" t="s">
        <v>361</v>
      </c>
    </row>
    <row r="455" spans="1:14">
      <c r="A455" t="s">
        <v>29</v>
      </c>
      <c r="B455">
        <v>1185732</v>
      </c>
      <c r="C455" s="2">
        <v>44258</v>
      </c>
      <c r="D455" t="s">
        <v>137</v>
      </c>
      <c r="E455" t="s">
        <v>233</v>
      </c>
      <c r="F455" t="s">
        <v>242</v>
      </c>
      <c r="G455" t="s">
        <v>144</v>
      </c>
      <c r="H455" s="3">
        <v>0.5</v>
      </c>
      <c r="I455">
        <v>1750</v>
      </c>
      <c r="J455" s="4">
        <v>875</v>
      </c>
      <c r="K455" s="4">
        <v>218.75</v>
      </c>
      <c r="L455" s="5">
        <v>0.25</v>
      </c>
      <c r="M455" t="s">
        <v>24</v>
      </c>
      <c r="N455" t="s">
        <v>361</v>
      </c>
    </row>
    <row r="456" spans="1:14">
      <c r="A456" t="s">
        <v>29</v>
      </c>
      <c r="B456">
        <v>1185732</v>
      </c>
      <c r="C456" s="2">
        <v>44290</v>
      </c>
      <c r="D456" t="s">
        <v>137</v>
      </c>
      <c r="E456" t="s">
        <v>233</v>
      </c>
      <c r="F456" t="s">
        <v>242</v>
      </c>
      <c r="G456" t="s">
        <v>27</v>
      </c>
      <c r="H456" s="3">
        <v>0.5</v>
      </c>
      <c r="I456">
        <v>4500</v>
      </c>
      <c r="J456" s="4">
        <v>2250</v>
      </c>
      <c r="K456" s="4">
        <v>1125</v>
      </c>
      <c r="L456" s="5">
        <v>0.5</v>
      </c>
      <c r="M456" t="s">
        <v>127</v>
      </c>
      <c r="N456" t="s">
        <v>362</v>
      </c>
    </row>
    <row r="457" spans="1:14">
      <c r="A457" t="s">
        <v>29</v>
      </c>
      <c r="B457">
        <v>1185732</v>
      </c>
      <c r="C457" s="2">
        <v>44290</v>
      </c>
      <c r="D457" t="s">
        <v>137</v>
      </c>
      <c r="E457" t="s">
        <v>233</v>
      </c>
      <c r="F457" t="s">
        <v>242</v>
      </c>
      <c r="G457" t="s">
        <v>145</v>
      </c>
      <c r="H457" s="3">
        <v>0.5</v>
      </c>
      <c r="I457">
        <v>1500</v>
      </c>
      <c r="J457" s="4">
        <v>750</v>
      </c>
      <c r="K457" s="4">
        <v>225</v>
      </c>
      <c r="L457" s="5">
        <v>0.3</v>
      </c>
      <c r="M457" t="s">
        <v>127</v>
      </c>
      <c r="N457" t="s">
        <v>362</v>
      </c>
    </row>
    <row r="458" spans="1:14">
      <c r="A458" t="s">
        <v>29</v>
      </c>
      <c r="B458">
        <v>1185732</v>
      </c>
      <c r="C458" s="2">
        <v>44290</v>
      </c>
      <c r="D458" t="s">
        <v>137</v>
      </c>
      <c r="E458" t="s">
        <v>233</v>
      </c>
      <c r="F458" t="s">
        <v>242</v>
      </c>
      <c r="G458" t="s">
        <v>146</v>
      </c>
      <c r="H458" s="3">
        <v>0.4</v>
      </c>
      <c r="I458">
        <v>1500</v>
      </c>
      <c r="J458" s="4">
        <v>600</v>
      </c>
      <c r="K458" s="4">
        <v>210</v>
      </c>
      <c r="L458" s="5">
        <v>0.35</v>
      </c>
      <c r="M458" t="s">
        <v>127</v>
      </c>
      <c r="N458" t="s">
        <v>362</v>
      </c>
    </row>
    <row r="459" spans="1:14">
      <c r="A459" t="s">
        <v>29</v>
      </c>
      <c r="B459">
        <v>1185732</v>
      </c>
      <c r="C459" s="2">
        <v>44290</v>
      </c>
      <c r="D459" t="s">
        <v>137</v>
      </c>
      <c r="E459" t="s">
        <v>233</v>
      </c>
      <c r="F459" t="s">
        <v>242</v>
      </c>
      <c r="G459" t="s">
        <v>148</v>
      </c>
      <c r="H459" s="3">
        <v>0.45</v>
      </c>
      <c r="I459">
        <v>750</v>
      </c>
      <c r="J459" s="4">
        <v>337.5</v>
      </c>
      <c r="K459" s="4">
        <v>118.12499999999999</v>
      </c>
      <c r="L459" s="5">
        <v>0.35</v>
      </c>
      <c r="M459" t="s">
        <v>127</v>
      </c>
      <c r="N459" t="s">
        <v>362</v>
      </c>
    </row>
    <row r="460" spans="1:14">
      <c r="A460" t="s">
        <v>29</v>
      </c>
      <c r="B460">
        <v>1185732</v>
      </c>
      <c r="C460" s="2">
        <v>44290</v>
      </c>
      <c r="D460" t="s">
        <v>137</v>
      </c>
      <c r="E460" t="s">
        <v>233</v>
      </c>
      <c r="F460" t="s">
        <v>242</v>
      </c>
      <c r="G460" t="s">
        <v>147</v>
      </c>
      <c r="H460" s="3">
        <v>0.6</v>
      </c>
      <c r="I460">
        <v>750</v>
      </c>
      <c r="J460" s="4">
        <v>450</v>
      </c>
      <c r="K460" s="4">
        <v>135</v>
      </c>
      <c r="L460" s="5">
        <v>0.3</v>
      </c>
      <c r="M460" t="s">
        <v>127</v>
      </c>
      <c r="N460" t="s">
        <v>362</v>
      </c>
    </row>
    <row r="461" spans="1:14">
      <c r="A461" t="s">
        <v>29</v>
      </c>
      <c r="B461">
        <v>1185732</v>
      </c>
      <c r="C461" s="2">
        <v>44290</v>
      </c>
      <c r="D461" t="s">
        <v>137</v>
      </c>
      <c r="E461" t="s">
        <v>233</v>
      </c>
      <c r="F461" t="s">
        <v>242</v>
      </c>
      <c r="G461" t="s">
        <v>144</v>
      </c>
      <c r="H461" s="3">
        <v>0.5</v>
      </c>
      <c r="I461">
        <v>2000</v>
      </c>
      <c r="J461" s="4">
        <v>1000</v>
      </c>
      <c r="K461" s="4">
        <v>250</v>
      </c>
      <c r="L461" s="5">
        <v>0.25</v>
      </c>
      <c r="M461" t="s">
        <v>127</v>
      </c>
      <c r="N461" t="s">
        <v>362</v>
      </c>
    </row>
    <row r="462" spans="1:14">
      <c r="A462" t="s">
        <v>29</v>
      </c>
      <c r="B462">
        <v>1185732</v>
      </c>
      <c r="C462" s="2">
        <v>44319</v>
      </c>
      <c r="D462" t="s">
        <v>137</v>
      </c>
      <c r="E462" t="s">
        <v>233</v>
      </c>
      <c r="F462" t="s">
        <v>242</v>
      </c>
      <c r="G462" t="s">
        <v>27</v>
      </c>
      <c r="H462" s="3">
        <v>0.6</v>
      </c>
      <c r="I462">
        <v>4700</v>
      </c>
      <c r="J462" s="4">
        <v>2820</v>
      </c>
      <c r="K462" s="4">
        <v>1410</v>
      </c>
      <c r="L462" s="5">
        <v>0.5</v>
      </c>
      <c r="M462" t="s">
        <v>128</v>
      </c>
      <c r="N462" t="s">
        <v>362</v>
      </c>
    </row>
    <row r="463" spans="1:14">
      <c r="A463" t="s">
        <v>29</v>
      </c>
      <c r="B463">
        <v>1185732</v>
      </c>
      <c r="C463" s="2">
        <v>44319</v>
      </c>
      <c r="D463" t="s">
        <v>137</v>
      </c>
      <c r="E463" t="s">
        <v>233</v>
      </c>
      <c r="F463" t="s">
        <v>242</v>
      </c>
      <c r="G463" t="s">
        <v>145</v>
      </c>
      <c r="H463" s="3">
        <v>0.60000000000000009</v>
      </c>
      <c r="I463">
        <v>1750</v>
      </c>
      <c r="J463" s="4">
        <v>1050.0000000000002</v>
      </c>
      <c r="K463" s="4">
        <v>315.00000000000006</v>
      </c>
      <c r="L463" s="5">
        <v>0.3</v>
      </c>
      <c r="M463" t="s">
        <v>128</v>
      </c>
      <c r="N463" t="s">
        <v>362</v>
      </c>
    </row>
    <row r="464" spans="1:14">
      <c r="A464" t="s">
        <v>29</v>
      </c>
      <c r="B464">
        <v>1185732</v>
      </c>
      <c r="C464" s="2">
        <v>44319</v>
      </c>
      <c r="D464" t="s">
        <v>137</v>
      </c>
      <c r="E464" t="s">
        <v>233</v>
      </c>
      <c r="F464" t="s">
        <v>242</v>
      </c>
      <c r="G464" t="s">
        <v>146</v>
      </c>
      <c r="H464" s="3">
        <v>0.55000000000000004</v>
      </c>
      <c r="I464">
        <v>1500</v>
      </c>
      <c r="J464" s="4">
        <v>825.00000000000011</v>
      </c>
      <c r="K464" s="4">
        <v>288.75</v>
      </c>
      <c r="L464" s="5">
        <v>0.35</v>
      </c>
      <c r="M464" t="s">
        <v>128</v>
      </c>
      <c r="N464" t="s">
        <v>362</v>
      </c>
    </row>
    <row r="465" spans="1:14">
      <c r="A465" t="s">
        <v>29</v>
      </c>
      <c r="B465">
        <v>1185732</v>
      </c>
      <c r="C465" s="2">
        <v>44319</v>
      </c>
      <c r="D465" t="s">
        <v>137</v>
      </c>
      <c r="E465" t="s">
        <v>233</v>
      </c>
      <c r="F465" t="s">
        <v>242</v>
      </c>
      <c r="G465" t="s">
        <v>148</v>
      </c>
      <c r="H465" s="3">
        <v>0.55000000000000004</v>
      </c>
      <c r="I465">
        <v>1000</v>
      </c>
      <c r="J465" s="4">
        <v>550</v>
      </c>
      <c r="K465" s="4">
        <v>192.5</v>
      </c>
      <c r="L465" s="5">
        <v>0.35</v>
      </c>
      <c r="M465" t="s">
        <v>128</v>
      </c>
      <c r="N465" t="s">
        <v>362</v>
      </c>
    </row>
    <row r="466" spans="1:14">
      <c r="A466" t="s">
        <v>29</v>
      </c>
      <c r="B466">
        <v>1185732</v>
      </c>
      <c r="C466" s="2">
        <v>44319</v>
      </c>
      <c r="D466" t="s">
        <v>137</v>
      </c>
      <c r="E466" t="s">
        <v>233</v>
      </c>
      <c r="F466" t="s">
        <v>242</v>
      </c>
      <c r="G466" t="s">
        <v>147</v>
      </c>
      <c r="H466" s="3">
        <v>0.65</v>
      </c>
      <c r="I466">
        <v>1250</v>
      </c>
      <c r="J466" s="4">
        <v>812.5</v>
      </c>
      <c r="K466" s="4">
        <v>243.75</v>
      </c>
      <c r="L466" s="5">
        <v>0.3</v>
      </c>
      <c r="M466" t="s">
        <v>128</v>
      </c>
      <c r="N466" t="s">
        <v>362</v>
      </c>
    </row>
    <row r="467" spans="1:14">
      <c r="A467" t="s">
        <v>29</v>
      </c>
      <c r="B467">
        <v>1185732</v>
      </c>
      <c r="C467" s="2">
        <v>44319</v>
      </c>
      <c r="D467" t="s">
        <v>137</v>
      </c>
      <c r="E467" t="s">
        <v>233</v>
      </c>
      <c r="F467" t="s">
        <v>242</v>
      </c>
      <c r="G467" t="s">
        <v>144</v>
      </c>
      <c r="H467" s="3">
        <v>0.70000000000000007</v>
      </c>
      <c r="I467">
        <v>2500</v>
      </c>
      <c r="J467" s="4">
        <v>1750.0000000000002</v>
      </c>
      <c r="K467" s="4">
        <v>525</v>
      </c>
      <c r="L467" s="5">
        <v>0.3</v>
      </c>
      <c r="M467" t="s">
        <v>128</v>
      </c>
      <c r="N467" t="s">
        <v>362</v>
      </c>
    </row>
    <row r="468" spans="1:14">
      <c r="A468" t="s">
        <v>29</v>
      </c>
      <c r="B468">
        <v>1185732</v>
      </c>
      <c r="C468" s="2">
        <v>44352</v>
      </c>
      <c r="D468" t="s">
        <v>137</v>
      </c>
      <c r="E468" t="s">
        <v>233</v>
      </c>
      <c r="F468" t="s">
        <v>242</v>
      </c>
      <c r="G468" t="s">
        <v>27</v>
      </c>
      <c r="H468" s="3">
        <v>0.65</v>
      </c>
      <c r="I468">
        <v>5000</v>
      </c>
      <c r="J468" s="4">
        <v>3250</v>
      </c>
      <c r="K468" s="4">
        <v>1787.5000000000002</v>
      </c>
      <c r="L468" s="5">
        <v>0.55000000000000004</v>
      </c>
      <c r="M468" t="s">
        <v>129</v>
      </c>
      <c r="N468" t="s">
        <v>362</v>
      </c>
    </row>
    <row r="469" spans="1:14">
      <c r="A469" t="s">
        <v>29</v>
      </c>
      <c r="B469">
        <v>1185732</v>
      </c>
      <c r="C469" s="2">
        <v>44352</v>
      </c>
      <c r="D469" t="s">
        <v>137</v>
      </c>
      <c r="E469" t="s">
        <v>233</v>
      </c>
      <c r="F469" t="s">
        <v>242</v>
      </c>
      <c r="G469" t="s">
        <v>145</v>
      </c>
      <c r="H469" s="3">
        <v>0.60000000000000009</v>
      </c>
      <c r="I469">
        <v>2500</v>
      </c>
      <c r="J469" s="4">
        <v>1500.0000000000002</v>
      </c>
      <c r="K469" s="4">
        <v>525</v>
      </c>
      <c r="L469" s="5">
        <v>0.35</v>
      </c>
      <c r="M469" t="s">
        <v>129</v>
      </c>
      <c r="N469" t="s">
        <v>362</v>
      </c>
    </row>
    <row r="470" spans="1:14">
      <c r="A470" t="s">
        <v>29</v>
      </c>
      <c r="B470">
        <v>1185732</v>
      </c>
      <c r="C470" s="2">
        <v>44352</v>
      </c>
      <c r="D470" t="s">
        <v>137</v>
      </c>
      <c r="E470" t="s">
        <v>233</v>
      </c>
      <c r="F470" t="s">
        <v>242</v>
      </c>
      <c r="G470" t="s">
        <v>146</v>
      </c>
      <c r="H470" s="3">
        <v>0.55000000000000004</v>
      </c>
      <c r="I470">
        <v>1750</v>
      </c>
      <c r="J470" s="4">
        <v>962.50000000000011</v>
      </c>
      <c r="K470" s="4">
        <v>385</v>
      </c>
      <c r="L470" s="5">
        <v>0.39999999999999997</v>
      </c>
      <c r="M470" t="s">
        <v>129</v>
      </c>
      <c r="N470" t="s">
        <v>362</v>
      </c>
    </row>
    <row r="471" spans="1:14">
      <c r="A471" t="s">
        <v>29</v>
      </c>
      <c r="B471">
        <v>1185732</v>
      </c>
      <c r="C471" s="2">
        <v>44352</v>
      </c>
      <c r="D471" t="s">
        <v>137</v>
      </c>
      <c r="E471" t="s">
        <v>233</v>
      </c>
      <c r="F471" t="s">
        <v>242</v>
      </c>
      <c r="G471" t="s">
        <v>148</v>
      </c>
      <c r="H471" s="3">
        <v>0.55000000000000004</v>
      </c>
      <c r="I471">
        <v>1500</v>
      </c>
      <c r="J471" s="4">
        <v>825.00000000000011</v>
      </c>
      <c r="K471" s="4">
        <v>330</v>
      </c>
      <c r="L471" s="5">
        <v>0.39999999999999997</v>
      </c>
      <c r="M471" t="s">
        <v>129</v>
      </c>
      <c r="N471" t="s">
        <v>362</v>
      </c>
    </row>
    <row r="472" spans="1:14">
      <c r="A472" t="s">
        <v>29</v>
      </c>
      <c r="B472">
        <v>1185732</v>
      </c>
      <c r="C472" s="2">
        <v>44352</v>
      </c>
      <c r="D472" t="s">
        <v>137</v>
      </c>
      <c r="E472" t="s">
        <v>233</v>
      </c>
      <c r="F472" t="s">
        <v>242</v>
      </c>
      <c r="G472" t="s">
        <v>147</v>
      </c>
      <c r="H472" s="3">
        <v>0.65</v>
      </c>
      <c r="I472">
        <v>1500</v>
      </c>
      <c r="J472" s="4">
        <v>975</v>
      </c>
      <c r="K472" s="4">
        <v>341.25</v>
      </c>
      <c r="L472" s="5">
        <v>0.35</v>
      </c>
      <c r="M472" t="s">
        <v>129</v>
      </c>
      <c r="N472" t="s">
        <v>362</v>
      </c>
    </row>
    <row r="473" spans="1:14">
      <c r="A473" t="s">
        <v>29</v>
      </c>
      <c r="B473">
        <v>1185732</v>
      </c>
      <c r="C473" s="2">
        <v>44352</v>
      </c>
      <c r="D473" t="s">
        <v>137</v>
      </c>
      <c r="E473" t="s">
        <v>233</v>
      </c>
      <c r="F473" t="s">
        <v>242</v>
      </c>
      <c r="G473" t="s">
        <v>144</v>
      </c>
      <c r="H473" s="3">
        <v>0.70000000000000007</v>
      </c>
      <c r="I473">
        <v>3000</v>
      </c>
      <c r="J473" s="4">
        <v>2100</v>
      </c>
      <c r="K473" s="4">
        <v>630</v>
      </c>
      <c r="L473" s="5">
        <v>0.3</v>
      </c>
      <c r="M473" t="s">
        <v>129</v>
      </c>
      <c r="N473" t="s">
        <v>362</v>
      </c>
    </row>
    <row r="474" spans="1:14">
      <c r="A474" t="s">
        <v>29</v>
      </c>
      <c r="B474">
        <v>1185732</v>
      </c>
      <c r="C474" s="2">
        <v>44380</v>
      </c>
      <c r="D474" t="s">
        <v>137</v>
      </c>
      <c r="E474" t="s">
        <v>233</v>
      </c>
      <c r="F474" t="s">
        <v>242</v>
      </c>
      <c r="G474" t="s">
        <v>27</v>
      </c>
      <c r="H474" s="3">
        <v>0.65</v>
      </c>
      <c r="I474">
        <v>5000</v>
      </c>
      <c r="J474" s="4">
        <v>3250</v>
      </c>
      <c r="K474" s="4">
        <v>1787.5000000000002</v>
      </c>
      <c r="L474" s="5">
        <v>0.55000000000000004</v>
      </c>
      <c r="M474" t="s">
        <v>130</v>
      </c>
      <c r="N474" t="s">
        <v>363</v>
      </c>
    </row>
    <row r="475" spans="1:14">
      <c r="A475" t="s">
        <v>29</v>
      </c>
      <c r="B475">
        <v>1185732</v>
      </c>
      <c r="C475" s="2">
        <v>44380</v>
      </c>
      <c r="D475" t="s">
        <v>137</v>
      </c>
      <c r="E475" t="s">
        <v>233</v>
      </c>
      <c r="F475" t="s">
        <v>242</v>
      </c>
      <c r="G475" t="s">
        <v>145</v>
      </c>
      <c r="H475" s="3">
        <v>0.60000000000000009</v>
      </c>
      <c r="I475">
        <v>3000</v>
      </c>
      <c r="J475" s="4">
        <v>1800.0000000000002</v>
      </c>
      <c r="K475" s="4">
        <v>630</v>
      </c>
      <c r="L475" s="5">
        <v>0.35</v>
      </c>
      <c r="M475" t="s">
        <v>130</v>
      </c>
      <c r="N475" t="s">
        <v>363</v>
      </c>
    </row>
    <row r="476" spans="1:14">
      <c r="A476" t="s">
        <v>29</v>
      </c>
      <c r="B476">
        <v>1185732</v>
      </c>
      <c r="C476" s="2">
        <v>44380</v>
      </c>
      <c r="D476" t="s">
        <v>137</v>
      </c>
      <c r="E476" t="s">
        <v>233</v>
      </c>
      <c r="F476" t="s">
        <v>242</v>
      </c>
      <c r="G476" t="s">
        <v>146</v>
      </c>
      <c r="H476" s="3">
        <v>0.55000000000000004</v>
      </c>
      <c r="I476">
        <v>2250</v>
      </c>
      <c r="J476" s="4">
        <v>1237.5</v>
      </c>
      <c r="K476" s="4">
        <v>494.99999999999994</v>
      </c>
      <c r="L476" s="5">
        <v>0.39999999999999997</v>
      </c>
      <c r="M476" t="s">
        <v>130</v>
      </c>
      <c r="N476" t="s">
        <v>363</v>
      </c>
    </row>
    <row r="477" spans="1:14">
      <c r="A477" t="s">
        <v>29</v>
      </c>
      <c r="B477">
        <v>1185732</v>
      </c>
      <c r="C477" s="2">
        <v>44380</v>
      </c>
      <c r="D477" t="s">
        <v>137</v>
      </c>
      <c r="E477" t="s">
        <v>233</v>
      </c>
      <c r="F477" t="s">
        <v>242</v>
      </c>
      <c r="G477" t="s">
        <v>148</v>
      </c>
      <c r="H477" s="3">
        <v>0.55000000000000004</v>
      </c>
      <c r="I477">
        <v>1750</v>
      </c>
      <c r="J477" s="4">
        <v>962.50000000000011</v>
      </c>
      <c r="K477" s="4">
        <v>385</v>
      </c>
      <c r="L477" s="5">
        <v>0.39999999999999997</v>
      </c>
      <c r="M477" t="s">
        <v>130</v>
      </c>
      <c r="N477" t="s">
        <v>363</v>
      </c>
    </row>
    <row r="478" spans="1:14">
      <c r="A478" t="s">
        <v>29</v>
      </c>
      <c r="B478">
        <v>1185732</v>
      </c>
      <c r="C478" s="2">
        <v>44380</v>
      </c>
      <c r="D478" t="s">
        <v>137</v>
      </c>
      <c r="E478" t="s">
        <v>233</v>
      </c>
      <c r="F478" t="s">
        <v>242</v>
      </c>
      <c r="G478" t="s">
        <v>147</v>
      </c>
      <c r="H478" s="3">
        <v>0.65</v>
      </c>
      <c r="I478">
        <v>2000</v>
      </c>
      <c r="J478" s="4">
        <v>1300</v>
      </c>
      <c r="K478" s="4">
        <v>454.99999999999994</v>
      </c>
      <c r="L478" s="5">
        <v>0.35</v>
      </c>
      <c r="M478" t="s">
        <v>130</v>
      </c>
      <c r="N478" t="s">
        <v>363</v>
      </c>
    </row>
    <row r="479" spans="1:14">
      <c r="A479" t="s">
        <v>29</v>
      </c>
      <c r="B479">
        <v>1185732</v>
      </c>
      <c r="C479" s="2">
        <v>44380</v>
      </c>
      <c r="D479" t="s">
        <v>137</v>
      </c>
      <c r="E479" t="s">
        <v>233</v>
      </c>
      <c r="F479" t="s">
        <v>242</v>
      </c>
      <c r="G479" t="s">
        <v>144</v>
      </c>
      <c r="H479" s="3">
        <v>0.70000000000000007</v>
      </c>
      <c r="I479">
        <v>3750</v>
      </c>
      <c r="J479" s="4">
        <v>2625.0000000000005</v>
      </c>
      <c r="K479" s="4">
        <v>787.50000000000011</v>
      </c>
      <c r="L479" s="5">
        <v>0.3</v>
      </c>
      <c r="M479" t="s">
        <v>130</v>
      </c>
      <c r="N479" t="s">
        <v>363</v>
      </c>
    </row>
    <row r="480" spans="1:14">
      <c r="A480" t="s">
        <v>29</v>
      </c>
      <c r="B480">
        <v>1185732</v>
      </c>
      <c r="C480" s="2">
        <v>44412</v>
      </c>
      <c r="D480" t="s">
        <v>137</v>
      </c>
      <c r="E480" t="s">
        <v>233</v>
      </c>
      <c r="F480" t="s">
        <v>242</v>
      </c>
      <c r="G480" t="s">
        <v>27</v>
      </c>
      <c r="H480" s="3">
        <v>0.65</v>
      </c>
      <c r="I480">
        <v>5250</v>
      </c>
      <c r="J480" s="4">
        <v>3412.5</v>
      </c>
      <c r="K480" s="4">
        <v>1876.8750000000002</v>
      </c>
      <c r="L480" s="5">
        <v>0.55000000000000004</v>
      </c>
      <c r="M480" t="s">
        <v>131</v>
      </c>
      <c r="N480" t="s">
        <v>363</v>
      </c>
    </row>
    <row r="481" spans="1:14">
      <c r="A481" t="s">
        <v>29</v>
      </c>
      <c r="B481">
        <v>1185732</v>
      </c>
      <c r="C481" s="2">
        <v>44412</v>
      </c>
      <c r="D481" t="s">
        <v>137</v>
      </c>
      <c r="E481" t="s">
        <v>233</v>
      </c>
      <c r="F481" t="s">
        <v>242</v>
      </c>
      <c r="G481" t="s">
        <v>145</v>
      </c>
      <c r="H481" s="3">
        <v>0.60000000000000009</v>
      </c>
      <c r="I481">
        <v>3000</v>
      </c>
      <c r="J481" s="4">
        <v>1800.0000000000002</v>
      </c>
      <c r="K481" s="4">
        <v>630</v>
      </c>
      <c r="L481" s="5">
        <v>0.35</v>
      </c>
      <c r="M481" t="s">
        <v>131</v>
      </c>
      <c r="N481" t="s">
        <v>363</v>
      </c>
    </row>
    <row r="482" spans="1:14">
      <c r="A482" t="s">
        <v>29</v>
      </c>
      <c r="B482">
        <v>1185732</v>
      </c>
      <c r="C482" s="2">
        <v>44412</v>
      </c>
      <c r="D482" t="s">
        <v>137</v>
      </c>
      <c r="E482" t="s">
        <v>233</v>
      </c>
      <c r="F482" t="s">
        <v>242</v>
      </c>
      <c r="G482" t="s">
        <v>146</v>
      </c>
      <c r="H482" s="3">
        <v>0.55000000000000004</v>
      </c>
      <c r="I482">
        <v>2250</v>
      </c>
      <c r="J482" s="4">
        <v>1237.5</v>
      </c>
      <c r="K482" s="4">
        <v>494.99999999999994</v>
      </c>
      <c r="L482" s="5">
        <v>0.39999999999999997</v>
      </c>
      <c r="M482" t="s">
        <v>131</v>
      </c>
      <c r="N482" t="s">
        <v>363</v>
      </c>
    </row>
    <row r="483" spans="1:14">
      <c r="A483" t="s">
        <v>29</v>
      </c>
      <c r="B483">
        <v>1185732</v>
      </c>
      <c r="C483" s="2">
        <v>44412</v>
      </c>
      <c r="D483" t="s">
        <v>137</v>
      </c>
      <c r="E483" t="s">
        <v>233</v>
      </c>
      <c r="F483" t="s">
        <v>242</v>
      </c>
      <c r="G483" t="s">
        <v>148</v>
      </c>
      <c r="H483" s="3">
        <v>0.55000000000000004</v>
      </c>
      <c r="I483">
        <v>2000</v>
      </c>
      <c r="J483" s="4">
        <v>1100</v>
      </c>
      <c r="K483" s="4">
        <v>439.99999999999994</v>
      </c>
      <c r="L483" s="5">
        <v>0.39999999999999997</v>
      </c>
      <c r="M483" t="s">
        <v>131</v>
      </c>
      <c r="N483" t="s">
        <v>363</v>
      </c>
    </row>
    <row r="484" spans="1:14">
      <c r="A484" t="s">
        <v>29</v>
      </c>
      <c r="B484">
        <v>1185732</v>
      </c>
      <c r="C484" s="2">
        <v>44412</v>
      </c>
      <c r="D484" t="s">
        <v>137</v>
      </c>
      <c r="E484" t="s">
        <v>233</v>
      </c>
      <c r="F484" t="s">
        <v>242</v>
      </c>
      <c r="G484" t="s">
        <v>147</v>
      </c>
      <c r="H484" s="3">
        <v>0.65</v>
      </c>
      <c r="I484">
        <v>1750</v>
      </c>
      <c r="J484" s="4">
        <v>1137.5</v>
      </c>
      <c r="K484" s="4">
        <v>398.125</v>
      </c>
      <c r="L484" s="5">
        <v>0.35</v>
      </c>
      <c r="M484" t="s">
        <v>131</v>
      </c>
      <c r="N484" t="s">
        <v>363</v>
      </c>
    </row>
    <row r="485" spans="1:14">
      <c r="A485" t="s">
        <v>29</v>
      </c>
      <c r="B485">
        <v>1185732</v>
      </c>
      <c r="C485" s="2">
        <v>44412</v>
      </c>
      <c r="D485" t="s">
        <v>137</v>
      </c>
      <c r="E485" t="s">
        <v>233</v>
      </c>
      <c r="F485" t="s">
        <v>242</v>
      </c>
      <c r="G485" t="s">
        <v>144</v>
      </c>
      <c r="H485" s="3">
        <v>0.70000000000000007</v>
      </c>
      <c r="I485">
        <v>3500</v>
      </c>
      <c r="J485" s="4">
        <v>2450.0000000000005</v>
      </c>
      <c r="K485" s="4">
        <v>735.00000000000011</v>
      </c>
      <c r="L485" s="5">
        <v>0.3</v>
      </c>
      <c r="M485" t="s">
        <v>131</v>
      </c>
      <c r="N485" t="s">
        <v>363</v>
      </c>
    </row>
    <row r="486" spans="1:14">
      <c r="A486" t="s">
        <v>29</v>
      </c>
      <c r="B486">
        <v>1185732</v>
      </c>
      <c r="C486" s="2">
        <v>44442</v>
      </c>
      <c r="D486" t="s">
        <v>137</v>
      </c>
      <c r="E486" t="s">
        <v>233</v>
      </c>
      <c r="F486" t="s">
        <v>242</v>
      </c>
      <c r="G486" t="s">
        <v>27</v>
      </c>
      <c r="H486" s="3">
        <v>0.65</v>
      </c>
      <c r="I486">
        <v>4750</v>
      </c>
      <c r="J486" s="4">
        <v>3087.5</v>
      </c>
      <c r="K486" s="4">
        <v>1543.75</v>
      </c>
      <c r="L486" s="5">
        <v>0.5</v>
      </c>
      <c r="M486" t="s">
        <v>132</v>
      </c>
      <c r="N486" t="s">
        <v>363</v>
      </c>
    </row>
    <row r="487" spans="1:14">
      <c r="A487" t="s">
        <v>29</v>
      </c>
      <c r="B487">
        <v>1185732</v>
      </c>
      <c r="C487" s="2">
        <v>44442</v>
      </c>
      <c r="D487" t="s">
        <v>137</v>
      </c>
      <c r="E487" t="s">
        <v>233</v>
      </c>
      <c r="F487" t="s">
        <v>242</v>
      </c>
      <c r="G487" t="s">
        <v>145</v>
      </c>
      <c r="H487" s="3">
        <v>0.5</v>
      </c>
      <c r="I487">
        <v>2750</v>
      </c>
      <c r="J487" s="4">
        <v>1375</v>
      </c>
      <c r="K487" s="4">
        <v>412.5</v>
      </c>
      <c r="L487" s="5">
        <v>0.3</v>
      </c>
      <c r="M487" t="s">
        <v>132</v>
      </c>
      <c r="N487" t="s">
        <v>363</v>
      </c>
    </row>
    <row r="488" spans="1:14">
      <c r="A488" t="s">
        <v>29</v>
      </c>
      <c r="B488">
        <v>1185732</v>
      </c>
      <c r="C488" s="2">
        <v>44442</v>
      </c>
      <c r="D488" t="s">
        <v>137</v>
      </c>
      <c r="E488" t="s">
        <v>233</v>
      </c>
      <c r="F488" t="s">
        <v>242</v>
      </c>
      <c r="G488" t="s">
        <v>146</v>
      </c>
      <c r="H488" s="3">
        <v>0.45</v>
      </c>
      <c r="I488">
        <v>2000</v>
      </c>
      <c r="J488" s="4">
        <v>900</v>
      </c>
      <c r="K488" s="4">
        <v>315</v>
      </c>
      <c r="L488" s="5">
        <v>0.35</v>
      </c>
      <c r="M488" t="s">
        <v>132</v>
      </c>
      <c r="N488" t="s">
        <v>363</v>
      </c>
    </row>
    <row r="489" spans="1:14">
      <c r="A489" t="s">
        <v>29</v>
      </c>
      <c r="B489">
        <v>1185732</v>
      </c>
      <c r="C489" s="2">
        <v>44442</v>
      </c>
      <c r="D489" t="s">
        <v>137</v>
      </c>
      <c r="E489" t="s">
        <v>233</v>
      </c>
      <c r="F489" t="s">
        <v>242</v>
      </c>
      <c r="G489" t="s">
        <v>148</v>
      </c>
      <c r="H489" s="3">
        <v>0.45</v>
      </c>
      <c r="I489">
        <v>1750</v>
      </c>
      <c r="J489" s="4">
        <v>787.5</v>
      </c>
      <c r="K489" s="4">
        <v>275.625</v>
      </c>
      <c r="L489" s="5">
        <v>0.35</v>
      </c>
      <c r="M489" t="s">
        <v>132</v>
      </c>
      <c r="N489" t="s">
        <v>363</v>
      </c>
    </row>
    <row r="490" spans="1:14">
      <c r="A490" t="s">
        <v>29</v>
      </c>
      <c r="B490">
        <v>1185732</v>
      </c>
      <c r="C490" s="2">
        <v>44442</v>
      </c>
      <c r="D490" t="s">
        <v>137</v>
      </c>
      <c r="E490" t="s">
        <v>233</v>
      </c>
      <c r="F490" t="s">
        <v>242</v>
      </c>
      <c r="G490" t="s">
        <v>147</v>
      </c>
      <c r="H490" s="3">
        <v>0.54999999999999993</v>
      </c>
      <c r="I490">
        <v>1250</v>
      </c>
      <c r="J490" s="4">
        <v>687.49999999999989</v>
      </c>
      <c r="K490" s="4">
        <v>206.24999999999997</v>
      </c>
      <c r="L490" s="5">
        <v>0.3</v>
      </c>
      <c r="M490" t="s">
        <v>132</v>
      </c>
      <c r="N490" t="s">
        <v>363</v>
      </c>
    </row>
    <row r="491" spans="1:14">
      <c r="A491" t="s">
        <v>29</v>
      </c>
      <c r="B491">
        <v>1185732</v>
      </c>
      <c r="C491" s="2">
        <v>44442</v>
      </c>
      <c r="D491" t="s">
        <v>137</v>
      </c>
      <c r="E491" t="s">
        <v>233</v>
      </c>
      <c r="F491" t="s">
        <v>242</v>
      </c>
      <c r="G491" t="s">
        <v>144</v>
      </c>
      <c r="H491" s="3">
        <v>0.6</v>
      </c>
      <c r="I491">
        <v>2250</v>
      </c>
      <c r="J491" s="4">
        <v>1350</v>
      </c>
      <c r="K491" s="4">
        <v>337.5</v>
      </c>
      <c r="L491" s="5">
        <v>0.25</v>
      </c>
      <c r="M491" t="s">
        <v>132</v>
      </c>
      <c r="N491" t="s">
        <v>363</v>
      </c>
    </row>
    <row r="492" spans="1:14">
      <c r="A492" t="s">
        <v>29</v>
      </c>
      <c r="B492">
        <v>1185732</v>
      </c>
      <c r="C492" s="2">
        <v>44474</v>
      </c>
      <c r="D492" t="s">
        <v>137</v>
      </c>
      <c r="E492" t="s">
        <v>233</v>
      </c>
      <c r="F492" t="s">
        <v>242</v>
      </c>
      <c r="G492" t="s">
        <v>27</v>
      </c>
      <c r="H492" s="3">
        <v>0.6</v>
      </c>
      <c r="I492">
        <v>4000</v>
      </c>
      <c r="J492" s="4">
        <v>2400</v>
      </c>
      <c r="K492" s="4">
        <v>1200</v>
      </c>
      <c r="L492" s="5">
        <v>0.5</v>
      </c>
      <c r="M492" t="s">
        <v>133</v>
      </c>
      <c r="N492" t="s">
        <v>364</v>
      </c>
    </row>
    <row r="493" spans="1:14">
      <c r="A493" t="s">
        <v>29</v>
      </c>
      <c r="B493">
        <v>1185732</v>
      </c>
      <c r="C493" s="2">
        <v>44474</v>
      </c>
      <c r="D493" t="s">
        <v>137</v>
      </c>
      <c r="E493" t="s">
        <v>233</v>
      </c>
      <c r="F493" t="s">
        <v>242</v>
      </c>
      <c r="G493" t="s">
        <v>145</v>
      </c>
      <c r="H493" s="3">
        <v>0.5</v>
      </c>
      <c r="I493">
        <v>2250</v>
      </c>
      <c r="J493" s="4">
        <v>1125</v>
      </c>
      <c r="K493" s="4">
        <v>337.5</v>
      </c>
      <c r="L493" s="5">
        <v>0.3</v>
      </c>
      <c r="M493" t="s">
        <v>133</v>
      </c>
      <c r="N493" t="s">
        <v>364</v>
      </c>
    </row>
    <row r="494" spans="1:14">
      <c r="A494" t="s">
        <v>29</v>
      </c>
      <c r="B494">
        <v>1185732</v>
      </c>
      <c r="C494" s="2">
        <v>44474</v>
      </c>
      <c r="D494" t="s">
        <v>137</v>
      </c>
      <c r="E494" t="s">
        <v>233</v>
      </c>
      <c r="F494" t="s">
        <v>242</v>
      </c>
      <c r="G494" t="s">
        <v>146</v>
      </c>
      <c r="H494" s="3">
        <v>0.5</v>
      </c>
      <c r="I494">
        <v>1250</v>
      </c>
      <c r="J494" s="4">
        <v>625</v>
      </c>
      <c r="K494" s="4">
        <v>218.75</v>
      </c>
      <c r="L494" s="5">
        <v>0.35</v>
      </c>
      <c r="M494" t="s">
        <v>133</v>
      </c>
      <c r="N494" t="s">
        <v>364</v>
      </c>
    </row>
    <row r="495" spans="1:14">
      <c r="A495" t="s">
        <v>29</v>
      </c>
      <c r="B495">
        <v>1185732</v>
      </c>
      <c r="C495" s="2">
        <v>44474</v>
      </c>
      <c r="D495" t="s">
        <v>137</v>
      </c>
      <c r="E495" t="s">
        <v>233</v>
      </c>
      <c r="F495" t="s">
        <v>242</v>
      </c>
      <c r="G495" t="s">
        <v>148</v>
      </c>
      <c r="H495" s="3">
        <v>0.5</v>
      </c>
      <c r="I495">
        <v>1000</v>
      </c>
      <c r="J495" s="4">
        <v>500</v>
      </c>
      <c r="K495" s="4">
        <v>175</v>
      </c>
      <c r="L495" s="5">
        <v>0.35</v>
      </c>
      <c r="M495" t="s">
        <v>133</v>
      </c>
      <c r="N495" t="s">
        <v>364</v>
      </c>
    </row>
    <row r="496" spans="1:14">
      <c r="A496" t="s">
        <v>29</v>
      </c>
      <c r="B496">
        <v>1185732</v>
      </c>
      <c r="C496" s="2">
        <v>44474</v>
      </c>
      <c r="D496" t="s">
        <v>137</v>
      </c>
      <c r="E496" t="s">
        <v>233</v>
      </c>
      <c r="F496" t="s">
        <v>242</v>
      </c>
      <c r="G496" t="s">
        <v>147</v>
      </c>
      <c r="H496" s="3">
        <v>0.6</v>
      </c>
      <c r="I496">
        <v>1000</v>
      </c>
      <c r="J496" s="4">
        <v>600</v>
      </c>
      <c r="K496" s="4">
        <v>180</v>
      </c>
      <c r="L496" s="5">
        <v>0.3</v>
      </c>
      <c r="M496" t="s">
        <v>133</v>
      </c>
      <c r="N496" t="s">
        <v>364</v>
      </c>
    </row>
    <row r="497" spans="1:14">
      <c r="A497" t="s">
        <v>29</v>
      </c>
      <c r="B497">
        <v>1185732</v>
      </c>
      <c r="C497" s="2">
        <v>44474</v>
      </c>
      <c r="D497" t="s">
        <v>137</v>
      </c>
      <c r="E497" t="s">
        <v>233</v>
      </c>
      <c r="F497" t="s">
        <v>242</v>
      </c>
      <c r="G497" t="s">
        <v>144</v>
      </c>
      <c r="H497" s="3">
        <v>0.64999999999999991</v>
      </c>
      <c r="I497">
        <v>2250</v>
      </c>
      <c r="J497" s="4">
        <v>1462.4999999999998</v>
      </c>
      <c r="K497" s="4">
        <v>365.62499999999994</v>
      </c>
      <c r="L497" s="5">
        <v>0.25</v>
      </c>
      <c r="M497" t="s">
        <v>133</v>
      </c>
      <c r="N497" t="s">
        <v>364</v>
      </c>
    </row>
    <row r="498" spans="1:14">
      <c r="A498" t="s">
        <v>29</v>
      </c>
      <c r="B498">
        <v>1185732</v>
      </c>
      <c r="C498" s="2">
        <v>44504</v>
      </c>
      <c r="D498" t="s">
        <v>137</v>
      </c>
      <c r="E498" t="s">
        <v>233</v>
      </c>
      <c r="F498" t="s">
        <v>242</v>
      </c>
      <c r="G498" t="s">
        <v>27</v>
      </c>
      <c r="H498" s="3">
        <v>0.70000000000000007</v>
      </c>
      <c r="I498">
        <v>3750</v>
      </c>
      <c r="J498" s="4">
        <v>2625.0000000000005</v>
      </c>
      <c r="K498" s="4">
        <v>1443.7500000000005</v>
      </c>
      <c r="L498" s="5">
        <v>0.55000000000000004</v>
      </c>
      <c r="M498" t="s">
        <v>134</v>
      </c>
      <c r="N498" t="s">
        <v>364</v>
      </c>
    </row>
    <row r="499" spans="1:14">
      <c r="A499" t="s">
        <v>29</v>
      </c>
      <c r="B499">
        <v>1185732</v>
      </c>
      <c r="C499" s="2">
        <v>44504</v>
      </c>
      <c r="D499" t="s">
        <v>137</v>
      </c>
      <c r="E499" t="s">
        <v>233</v>
      </c>
      <c r="F499" t="s">
        <v>242</v>
      </c>
      <c r="G499" t="s">
        <v>145</v>
      </c>
      <c r="H499" s="3">
        <v>0.60000000000000009</v>
      </c>
      <c r="I499">
        <v>2000</v>
      </c>
      <c r="J499" s="4">
        <v>1200.0000000000002</v>
      </c>
      <c r="K499" s="4">
        <v>420.00000000000006</v>
      </c>
      <c r="L499" s="5">
        <v>0.35</v>
      </c>
      <c r="M499" t="s">
        <v>134</v>
      </c>
      <c r="N499" t="s">
        <v>364</v>
      </c>
    </row>
    <row r="500" spans="1:14">
      <c r="A500" t="s">
        <v>29</v>
      </c>
      <c r="B500">
        <v>1185732</v>
      </c>
      <c r="C500" s="2">
        <v>44504</v>
      </c>
      <c r="D500" t="s">
        <v>137</v>
      </c>
      <c r="E500" t="s">
        <v>233</v>
      </c>
      <c r="F500" t="s">
        <v>242</v>
      </c>
      <c r="G500" t="s">
        <v>146</v>
      </c>
      <c r="H500" s="3">
        <v>0.60000000000000009</v>
      </c>
      <c r="I500">
        <v>1950</v>
      </c>
      <c r="J500" s="4">
        <v>1170.0000000000002</v>
      </c>
      <c r="K500" s="4">
        <v>468.00000000000006</v>
      </c>
      <c r="L500" s="5">
        <v>0.39999999999999997</v>
      </c>
      <c r="M500" t="s">
        <v>134</v>
      </c>
      <c r="N500" t="s">
        <v>364</v>
      </c>
    </row>
    <row r="501" spans="1:14">
      <c r="A501" t="s">
        <v>29</v>
      </c>
      <c r="B501">
        <v>1185732</v>
      </c>
      <c r="C501" s="2">
        <v>44504</v>
      </c>
      <c r="D501" t="s">
        <v>137</v>
      </c>
      <c r="E501" t="s">
        <v>233</v>
      </c>
      <c r="F501" t="s">
        <v>242</v>
      </c>
      <c r="G501" t="s">
        <v>148</v>
      </c>
      <c r="H501" s="3">
        <v>0.60000000000000009</v>
      </c>
      <c r="I501">
        <v>1750</v>
      </c>
      <c r="J501" s="4">
        <v>1050.0000000000002</v>
      </c>
      <c r="K501" s="4">
        <v>420.00000000000006</v>
      </c>
      <c r="L501" s="5">
        <v>0.39999999999999997</v>
      </c>
      <c r="M501" t="s">
        <v>134</v>
      </c>
      <c r="N501" t="s">
        <v>364</v>
      </c>
    </row>
    <row r="502" spans="1:14">
      <c r="A502" t="s">
        <v>29</v>
      </c>
      <c r="B502">
        <v>1185732</v>
      </c>
      <c r="C502" s="2">
        <v>44504</v>
      </c>
      <c r="D502" t="s">
        <v>137</v>
      </c>
      <c r="E502" t="s">
        <v>233</v>
      </c>
      <c r="F502" t="s">
        <v>242</v>
      </c>
      <c r="G502" t="s">
        <v>147</v>
      </c>
      <c r="H502" s="3">
        <v>0.70000000000000007</v>
      </c>
      <c r="I502">
        <v>1500</v>
      </c>
      <c r="J502" s="4">
        <v>1050</v>
      </c>
      <c r="K502" s="4">
        <v>367.5</v>
      </c>
      <c r="L502" s="5">
        <v>0.35</v>
      </c>
      <c r="M502" t="s">
        <v>134</v>
      </c>
      <c r="N502" t="s">
        <v>364</v>
      </c>
    </row>
    <row r="503" spans="1:14">
      <c r="A503" t="s">
        <v>29</v>
      </c>
      <c r="B503">
        <v>1185732</v>
      </c>
      <c r="C503" s="2">
        <v>44504</v>
      </c>
      <c r="D503" t="s">
        <v>137</v>
      </c>
      <c r="E503" t="s">
        <v>233</v>
      </c>
      <c r="F503" t="s">
        <v>242</v>
      </c>
      <c r="G503" t="s">
        <v>144</v>
      </c>
      <c r="H503" s="3">
        <v>0.75</v>
      </c>
      <c r="I503">
        <v>2500</v>
      </c>
      <c r="J503" s="4">
        <v>1875</v>
      </c>
      <c r="K503" s="4">
        <v>562.5</v>
      </c>
      <c r="L503" s="5">
        <v>0.3</v>
      </c>
      <c r="M503" t="s">
        <v>134</v>
      </c>
      <c r="N503" t="s">
        <v>364</v>
      </c>
    </row>
    <row r="504" spans="1:14">
      <c r="A504" t="s">
        <v>29</v>
      </c>
      <c r="B504">
        <v>1185732</v>
      </c>
      <c r="C504" s="2">
        <v>44533</v>
      </c>
      <c r="D504" t="s">
        <v>137</v>
      </c>
      <c r="E504" t="s">
        <v>233</v>
      </c>
      <c r="F504" t="s">
        <v>242</v>
      </c>
      <c r="G504" t="s">
        <v>27</v>
      </c>
      <c r="H504" s="3">
        <v>0.70000000000000007</v>
      </c>
      <c r="I504">
        <v>4750</v>
      </c>
      <c r="J504" s="4">
        <v>3325.0000000000005</v>
      </c>
      <c r="K504" s="4">
        <v>1828.7500000000005</v>
      </c>
      <c r="L504" s="5">
        <v>0.55000000000000004</v>
      </c>
      <c r="M504" t="s">
        <v>23</v>
      </c>
      <c r="N504" t="s">
        <v>364</v>
      </c>
    </row>
    <row r="505" spans="1:14">
      <c r="A505" t="s">
        <v>29</v>
      </c>
      <c r="B505">
        <v>1185732</v>
      </c>
      <c r="C505" s="2">
        <v>44533</v>
      </c>
      <c r="D505" t="s">
        <v>137</v>
      </c>
      <c r="E505" t="s">
        <v>233</v>
      </c>
      <c r="F505" t="s">
        <v>242</v>
      </c>
      <c r="G505" t="s">
        <v>145</v>
      </c>
      <c r="H505" s="3">
        <v>0.60000000000000009</v>
      </c>
      <c r="I505">
        <v>2750</v>
      </c>
      <c r="J505" s="4">
        <v>1650.0000000000002</v>
      </c>
      <c r="K505" s="4">
        <v>577.5</v>
      </c>
      <c r="L505" s="5">
        <v>0.35</v>
      </c>
      <c r="M505" t="s">
        <v>23</v>
      </c>
      <c r="N505" t="s">
        <v>364</v>
      </c>
    </row>
    <row r="506" spans="1:14">
      <c r="A506" t="s">
        <v>29</v>
      </c>
      <c r="B506">
        <v>1185732</v>
      </c>
      <c r="C506" s="2">
        <v>44533</v>
      </c>
      <c r="D506" t="s">
        <v>137</v>
      </c>
      <c r="E506" t="s">
        <v>233</v>
      </c>
      <c r="F506" t="s">
        <v>242</v>
      </c>
      <c r="G506" t="s">
        <v>146</v>
      </c>
      <c r="H506" s="3">
        <v>0.60000000000000009</v>
      </c>
      <c r="I506">
        <v>2250</v>
      </c>
      <c r="J506" s="4">
        <v>1350.0000000000002</v>
      </c>
      <c r="K506" s="4">
        <v>540</v>
      </c>
      <c r="L506" s="5">
        <v>0.39999999999999997</v>
      </c>
      <c r="M506" t="s">
        <v>23</v>
      </c>
      <c r="N506" t="s">
        <v>364</v>
      </c>
    </row>
    <row r="507" spans="1:14">
      <c r="A507" t="s">
        <v>29</v>
      </c>
      <c r="B507">
        <v>1185732</v>
      </c>
      <c r="C507" s="2">
        <v>44533</v>
      </c>
      <c r="D507" t="s">
        <v>137</v>
      </c>
      <c r="E507" t="s">
        <v>233</v>
      </c>
      <c r="F507" t="s">
        <v>242</v>
      </c>
      <c r="G507" t="s">
        <v>148</v>
      </c>
      <c r="H507" s="3">
        <v>0.60000000000000009</v>
      </c>
      <c r="I507">
        <v>1750</v>
      </c>
      <c r="J507" s="4">
        <v>1050.0000000000002</v>
      </c>
      <c r="K507" s="4">
        <v>420.00000000000006</v>
      </c>
      <c r="L507" s="5">
        <v>0.39999999999999997</v>
      </c>
      <c r="M507" t="s">
        <v>23</v>
      </c>
      <c r="N507" t="s">
        <v>364</v>
      </c>
    </row>
    <row r="508" spans="1:14">
      <c r="A508" t="s">
        <v>29</v>
      </c>
      <c r="B508">
        <v>1185732</v>
      </c>
      <c r="C508" s="2">
        <v>44533</v>
      </c>
      <c r="D508" t="s">
        <v>137</v>
      </c>
      <c r="E508" t="s">
        <v>233</v>
      </c>
      <c r="F508" t="s">
        <v>242</v>
      </c>
      <c r="G508" t="s">
        <v>147</v>
      </c>
      <c r="H508" s="3">
        <v>0.70000000000000007</v>
      </c>
      <c r="I508">
        <v>1750</v>
      </c>
      <c r="J508" s="4">
        <v>1225.0000000000002</v>
      </c>
      <c r="K508" s="4">
        <v>428.75000000000006</v>
      </c>
      <c r="L508" s="5">
        <v>0.35</v>
      </c>
      <c r="M508" t="s">
        <v>23</v>
      </c>
      <c r="N508" t="s">
        <v>364</v>
      </c>
    </row>
    <row r="509" spans="1:14">
      <c r="A509" t="s">
        <v>29</v>
      </c>
      <c r="B509">
        <v>1185732</v>
      </c>
      <c r="C509" s="2">
        <v>44533</v>
      </c>
      <c r="D509" t="s">
        <v>137</v>
      </c>
      <c r="E509" t="s">
        <v>233</v>
      </c>
      <c r="F509" t="s">
        <v>242</v>
      </c>
      <c r="G509" t="s">
        <v>144</v>
      </c>
      <c r="H509" s="3">
        <v>0.75</v>
      </c>
      <c r="I509">
        <v>2750</v>
      </c>
      <c r="J509" s="4">
        <v>2062.5</v>
      </c>
      <c r="K509" s="4">
        <v>618.75</v>
      </c>
      <c r="L509" s="5">
        <v>0.3</v>
      </c>
      <c r="M509" t="s">
        <v>23</v>
      </c>
      <c r="N509" t="s">
        <v>364</v>
      </c>
    </row>
    <row r="510" spans="1:14">
      <c r="A510" t="s">
        <v>151</v>
      </c>
      <c r="B510">
        <v>1128299</v>
      </c>
      <c r="C510" s="2">
        <v>44211</v>
      </c>
      <c r="D510" t="s">
        <v>28</v>
      </c>
      <c r="E510" t="s">
        <v>193</v>
      </c>
      <c r="F510" t="s">
        <v>200</v>
      </c>
      <c r="G510" t="s">
        <v>27</v>
      </c>
      <c r="H510" s="3">
        <v>0.35</v>
      </c>
      <c r="I510">
        <v>4500</v>
      </c>
      <c r="J510" s="4">
        <v>1575</v>
      </c>
      <c r="K510" s="4">
        <v>630</v>
      </c>
      <c r="L510" s="5">
        <v>0.4</v>
      </c>
      <c r="M510" t="s">
        <v>125</v>
      </c>
      <c r="N510" t="s">
        <v>361</v>
      </c>
    </row>
    <row r="511" spans="1:14">
      <c r="A511" t="s">
        <v>151</v>
      </c>
      <c r="B511">
        <v>1128299</v>
      </c>
      <c r="C511" s="2">
        <v>44211</v>
      </c>
      <c r="D511" t="s">
        <v>28</v>
      </c>
      <c r="E511" t="s">
        <v>193</v>
      </c>
      <c r="F511" t="s">
        <v>200</v>
      </c>
      <c r="G511" t="s">
        <v>145</v>
      </c>
      <c r="H511" s="3">
        <v>0.45</v>
      </c>
      <c r="I511">
        <v>4500</v>
      </c>
      <c r="J511" s="4">
        <v>2025</v>
      </c>
      <c r="K511" s="4">
        <v>506.25</v>
      </c>
      <c r="L511" s="5">
        <v>0.25</v>
      </c>
      <c r="M511" t="s">
        <v>125</v>
      </c>
      <c r="N511" t="s">
        <v>361</v>
      </c>
    </row>
    <row r="512" spans="1:14">
      <c r="A512" t="s">
        <v>151</v>
      </c>
      <c r="B512">
        <v>1128299</v>
      </c>
      <c r="C512" s="2">
        <v>44211</v>
      </c>
      <c r="D512" t="s">
        <v>28</v>
      </c>
      <c r="E512" t="s">
        <v>193</v>
      </c>
      <c r="F512" t="s">
        <v>200</v>
      </c>
      <c r="G512" t="s">
        <v>146</v>
      </c>
      <c r="H512" s="3">
        <v>0.45</v>
      </c>
      <c r="I512">
        <v>4500</v>
      </c>
      <c r="J512" s="4">
        <v>2025</v>
      </c>
      <c r="K512" s="4">
        <v>810</v>
      </c>
      <c r="L512" s="5">
        <v>0.4</v>
      </c>
      <c r="M512" t="s">
        <v>125</v>
      </c>
      <c r="N512" t="s">
        <v>361</v>
      </c>
    </row>
    <row r="513" spans="1:14">
      <c r="A513" t="s">
        <v>151</v>
      </c>
      <c r="B513">
        <v>1128299</v>
      </c>
      <c r="C513" s="2">
        <v>44211</v>
      </c>
      <c r="D513" t="s">
        <v>28</v>
      </c>
      <c r="E513" t="s">
        <v>193</v>
      </c>
      <c r="F513" t="s">
        <v>200</v>
      </c>
      <c r="G513" t="s">
        <v>148</v>
      </c>
      <c r="H513" s="3">
        <v>0.45</v>
      </c>
      <c r="I513">
        <v>3000</v>
      </c>
      <c r="J513" s="4">
        <v>1350</v>
      </c>
      <c r="K513" s="4">
        <v>472.49999999999994</v>
      </c>
      <c r="L513" s="5">
        <v>0.35</v>
      </c>
      <c r="M513" t="s">
        <v>125</v>
      </c>
      <c r="N513" t="s">
        <v>361</v>
      </c>
    </row>
    <row r="514" spans="1:14">
      <c r="A514" t="s">
        <v>151</v>
      </c>
      <c r="B514">
        <v>1128299</v>
      </c>
      <c r="C514" s="2">
        <v>44211</v>
      </c>
      <c r="D514" t="s">
        <v>28</v>
      </c>
      <c r="E514" t="s">
        <v>193</v>
      </c>
      <c r="F514" t="s">
        <v>200</v>
      </c>
      <c r="G514" t="s">
        <v>147</v>
      </c>
      <c r="H514" s="3">
        <v>0.5</v>
      </c>
      <c r="I514">
        <v>2500</v>
      </c>
      <c r="J514" s="4">
        <v>1250</v>
      </c>
      <c r="K514" s="4">
        <v>687.5</v>
      </c>
      <c r="L514" s="5">
        <v>0.55000000000000004</v>
      </c>
      <c r="M514" t="s">
        <v>125</v>
      </c>
      <c r="N514" t="s">
        <v>361</v>
      </c>
    </row>
    <row r="515" spans="1:14">
      <c r="A515" t="s">
        <v>151</v>
      </c>
      <c r="B515">
        <v>1128299</v>
      </c>
      <c r="C515" s="2">
        <v>44211</v>
      </c>
      <c r="D515" t="s">
        <v>28</v>
      </c>
      <c r="E515" t="s">
        <v>193</v>
      </c>
      <c r="F515" t="s">
        <v>200</v>
      </c>
      <c r="G515" t="s">
        <v>144</v>
      </c>
      <c r="H515" s="3">
        <v>0.45</v>
      </c>
      <c r="I515">
        <v>4750</v>
      </c>
      <c r="J515" s="4">
        <v>2137.5</v>
      </c>
      <c r="K515" s="4">
        <v>427.5</v>
      </c>
      <c r="L515" s="5">
        <v>0.2</v>
      </c>
      <c r="M515" t="s">
        <v>125</v>
      </c>
      <c r="N515" t="s">
        <v>361</v>
      </c>
    </row>
    <row r="516" spans="1:14">
      <c r="A516" t="s">
        <v>151</v>
      </c>
      <c r="B516">
        <v>1128299</v>
      </c>
      <c r="C516" s="2">
        <v>44242</v>
      </c>
      <c r="D516" t="s">
        <v>28</v>
      </c>
      <c r="E516" t="s">
        <v>193</v>
      </c>
      <c r="F516" t="s">
        <v>200</v>
      </c>
      <c r="G516" t="s">
        <v>27</v>
      </c>
      <c r="H516" s="3">
        <v>0.35</v>
      </c>
      <c r="I516">
        <v>5250</v>
      </c>
      <c r="J516" s="4">
        <v>1837.4999999999998</v>
      </c>
      <c r="K516" s="4">
        <v>735</v>
      </c>
      <c r="L516" s="5">
        <v>0.4</v>
      </c>
      <c r="M516" t="s">
        <v>126</v>
      </c>
      <c r="N516" t="s">
        <v>361</v>
      </c>
    </row>
    <row r="517" spans="1:14">
      <c r="A517" t="s">
        <v>151</v>
      </c>
      <c r="B517">
        <v>1128299</v>
      </c>
      <c r="C517" s="2">
        <v>44242</v>
      </c>
      <c r="D517" t="s">
        <v>28</v>
      </c>
      <c r="E517" t="s">
        <v>193</v>
      </c>
      <c r="F517" t="s">
        <v>200</v>
      </c>
      <c r="G517" t="s">
        <v>145</v>
      </c>
      <c r="H517" s="3">
        <v>0.45</v>
      </c>
      <c r="I517">
        <v>4250</v>
      </c>
      <c r="J517" s="4">
        <v>1912.5</v>
      </c>
      <c r="K517" s="4">
        <v>478.125</v>
      </c>
      <c r="L517" s="5">
        <v>0.25</v>
      </c>
      <c r="M517" t="s">
        <v>126</v>
      </c>
      <c r="N517" t="s">
        <v>361</v>
      </c>
    </row>
    <row r="518" spans="1:14">
      <c r="A518" t="s">
        <v>151</v>
      </c>
      <c r="B518">
        <v>1128299</v>
      </c>
      <c r="C518" s="2">
        <v>44242</v>
      </c>
      <c r="D518" t="s">
        <v>28</v>
      </c>
      <c r="E518" t="s">
        <v>193</v>
      </c>
      <c r="F518" t="s">
        <v>200</v>
      </c>
      <c r="G518" t="s">
        <v>146</v>
      </c>
      <c r="H518" s="3">
        <v>0.45</v>
      </c>
      <c r="I518">
        <v>4250</v>
      </c>
      <c r="J518" s="4">
        <v>1912.5</v>
      </c>
      <c r="K518" s="4">
        <v>765</v>
      </c>
      <c r="L518" s="5">
        <v>0.4</v>
      </c>
      <c r="M518" t="s">
        <v>126</v>
      </c>
      <c r="N518" t="s">
        <v>361</v>
      </c>
    </row>
    <row r="519" spans="1:14">
      <c r="A519" t="s">
        <v>151</v>
      </c>
      <c r="B519">
        <v>1128299</v>
      </c>
      <c r="C519" s="2">
        <v>44242</v>
      </c>
      <c r="D519" t="s">
        <v>28</v>
      </c>
      <c r="E519" t="s">
        <v>193</v>
      </c>
      <c r="F519" t="s">
        <v>200</v>
      </c>
      <c r="G519" t="s">
        <v>148</v>
      </c>
      <c r="H519" s="3">
        <v>0.45</v>
      </c>
      <c r="I519">
        <v>2750</v>
      </c>
      <c r="J519" s="4">
        <v>1237.5</v>
      </c>
      <c r="K519" s="4">
        <v>433.125</v>
      </c>
      <c r="L519" s="5">
        <v>0.35</v>
      </c>
      <c r="M519" t="s">
        <v>126</v>
      </c>
      <c r="N519" t="s">
        <v>361</v>
      </c>
    </row>
    <row r="520" spans="1:14">
      <c r="A520" t="s">
        <v>151</v>
      </c>
      <c r="B520">
        <v>1128299</v>
      </c>
      <c r="C520" s="2">
        <v>44242</v>
      </c>
      <c r="D520" t="s">
        <v>28</v>
      </c>
      <c r="E520" t="s">
        <v>193</v>
      </c>
      <c r="F520" t="s">
        <v>200</v>
      </c>
      <c r="G520" t="s">
        <v>147</v>
      </c>
      <c r="H520" s="3">
        <v>0.5</v>
      </c>
      <c r="I520">
        <v>2000</v>
      </c>
      <c r="J520" s="4">
        <v>1000</v>
      </c>
      <c r="K520" s="4">
        <v>550</v>
      </c>
      <c r="L520" s="5">
        <v>0.55000000000000004</v>
      </c>
      <c r="M520" t="s">
        <v>126</v>
      </c>
      <c r="N520" t="s">
        <v>361</v>
      </c>
    </row>
    <row r="521" spans="1:14">
      <c r="A521" t="s">
        <v>151</v>
      </c>
      <c r="B521">
        <v>1128299</v>
      </c>
      <c r="C521" s="2">
        <v>44242</v>
      </c>
      <c r="D521" t="s">
        <v>28</v>
      </c>
      <c r="E521" t="s">
        <v>193</v>
      </c>
      <c r="F521" t="s">
        <v>200</v>
      </c>
      <c r="G521" t="s">
        <v>144</v>
      </c>
      <c r="H521" s="3">
        <v>0.45</v>
      </c>
      <c r="I521">
        <v>4000</v>
      </c>
      <c r="J521" s="4">
        <v>1800</v>
      </c>
      <c r="K521" s="4">
        <v>360</v>
      </c>
      <c r="L521" s="5">
        <v>0.2</v>
      </c>
      <c r="M521" t="s">
        <v>126</v>
      </c>
      <c r="N521" t="s">
        <v>361</v>
      </c>
    </row>
    <row r="522" spans="1:14">
      <c r="A522" t="s">
        <v>151</v>
      </c>
      <c r="B522">
        <v>1128299</v>
      </c>
      <c r="C522" s="2">
        <v>44269</v>
      </c>
      <c r="D522" t="s">
        <v>28</v>
      </c>
      <c r="E522" t="s">
        <v>193</v>
      </c>
      <c r="F522" t="s">
        <v>200</v>
      </c>
      <c r="G522" t="s">
        <v>27</v>
      </c>
      <c r="H522" s="3">
        <v>0.45</v>
      </c>
      <c r="I522">
        <v>5500</v>
      </c>
      <c r="J522" s="4">
        <v>2475</v>
      </c>
      <c r="K522" s="4">
        <v>990</v>
      </c>
      <c r="L522" s="5">
        <v>0.4</v>
      </c>
      <c r="M522" t="s">
        <v>24</v>
      </c>
      <c r="N522" t="s">
        <v>361</v>
      </c>
    </row>
    <row r="523" spans="1:14">
      <c r="A523" t="s">
        <v>151</v>
      </c>
      <c r="B523">
        <v>1128299</v>
      </c>
      <c r="C523" s="2">
        <v>44269</v>
      </c>
      <c r="D523" t="s">
        <v>28</v>
      </c>
      <c r="E523" t="s">
        <v>193</v>
      </c>
      <c r="F523" t="s">
        <v>200</v>
      </c>
      <c r="G523" t="s">
        <v>145</v>
      </c>
      <c r="H523" s="3">
        <v>0.54999999999999993</v>
      </c>
      <c r="I523">
        <v>4000</v>
      </c>
      <c r="J523" s="4">
        <v>2199.9999999999995</v>
      </c>
      <c r="K523" s="4">
        <v>549.99999999999989</v>
      </c>
      <c r="L523" s="5">
        <v>0.25</v>
      </c>
      <c r="M523" t="s">
        <v>24</v>
      </c>
      <c r="N523" t="s">
        <v>361</v>
      </c>
    </row>
    <row r="524" spans="1:14">
      <c r="A524" t="s">
        <v>151</v>
      </c>
      <c r="B524">
        <v>1128299</v>
      </c>
      <c r="C524" s="2">
        <v>44269</v>
      </c>
      <c r="D524" t="s">
        <v>28</v>
      </c>
      <c r="E524" t="s">
        <v>193</v>
      </c>
      <c r="F524" t="s">
        <v>200</v>
      </c>
      <c r="G524" t="s">
        <v>146</v>
      </c>
      <c r="H524" s="3">
        <v>0.54999999999999993</v>
      </c>
      <c r="I524">
        <v>4000</v>
      </c>
      <c r="J524" s="4">
        <v>2199.9999999999995</v>
      </c>
      <c r="K524" s="4">
        <v>879.99999999999989</v>
      </c>
      <c r="L524" s="5">
        <v>0.4</v>
      </c>
      <c r="M524" t="s">
        <v>24</v>
      </c>
      <c r="N524" t="s">
        <v>361</v>
      </c>
    </row>
    <row r="525" spans="1:14">
      <c r="A525" t="s">
        <v>151</v>
      </c>
      <c r="B525">
        <v>1128299</v>
      </c>
      <c r="C525" s="2">
        <v>44269</v>
      </c>
      <c r="D525" t="s">
        <v>28</v>
      </c>
      <c r="E525" t="s">
        <v>193</v>
      </c>
      <c r="F525" t="s">
        <v>200</v>
      </c>
      <c r="G525" t="s">
        <v>148</v>
      </c>
      <c r="H525" s="3">
        <v>0.54999999999999993</v>
      </c>
      <c r="I525">
        <v>3000</v>
      </c>
      <c r="J525" s="4">
        <v>1649.9999999999998</v>
      </c>
      <c r="K525" s="4">
        <v>577.49999999999989</v>
      </c>
      <c r="L525" s="5">
        <v>0.35</v>
      </c>
      <c r="M525" t="s">
        <v>24</v>
      </c>
      <c r="N525" t="s">
        <v>361</v>
      </c>
    </row>
    <row r="526" spans="1:14">
      <c r="A526" t="s">
        <v>151</v>
      </c>
      <c r="B526">
        <v>1128299</v>
      </c>
      <c r="C526" s="2">
        <v>44269</v>
      </c>
      <c r="D526" t="s">
        <v>28</v>
      </c>
      <c r="E526" t="s">
        <v>193</v>
      </c>
      <c r="F526" t="s">
        <v>200</v>
      </c>
      <c r="G526" t="s">
        <v>147</v>
      </c>
      <c r="H526" s="3">
        <v>0.6</v>
      </c>
      <c r="I526">
        <v>1750</v>
      </c>
      <c r="J526" s="4">
        <v>1050</v>
      </c>
      <c r="K526" s="4">
        <v>577.5</v>
      </c>
      <c r="L526" s="5">
        <v>0.55000000000000004</v>
      </c>
      <c r="M526" t="s">
        <v>24</v>
      </c>
      <c r="N526" t="s">
        <v>361</v>
      </c>
    </row>
    <row r="527" spans="1:14">
      <c r="A527" t="s">
        <v>151</v>
      </c>
      <c r="B527">
        <v>1128299</v>
      </c>
      <c r="C527" s="2">
        <v>44269</v>
      </c>
      <c r="D527" t="s">
        <v>28</v>
      </c>
      <c r="E527" t="s">
        <v>193</v>
      </c>
      <c r="F527" t="s">
        <v>200</v>
      </c>
      <c r="G527" t="s">
        <v>144</v>
      </c>
      <c r="H527" s="3">
        <v>0.54999999999999993</v>
      </c>
      <c r="I527">
        <v>3750</v>
      </c>
      <c r="J527" s="4">
        <v>2062.4999999999995</v>
      </c>
      <c r="K527" s="4">
        <v>412.49999999999994</v>
      </c>
      <c r="L527" s="5">
        <v>0.2</v>
      </c>
      <c r="M527" t="s">
        <v>24</v>
      </c>
      <c r="N527" t="s">
        <v>361</v>
      </c>
    </row>
    <row r="528" spans="1:14">
      <c r="A528" t="s">
        <v>151</v>
      </c>
      <c r="B528">
        <v>1128299</v>
      </c>
      <c r="C528" s="2">
        <v>44301</v>
      </c>
      <c r="D528" t="s">
        <v>28</v>
      </c>
      <c r="E528" t="s">
        <v>193</v>
      </c>
      <c r="F528" t="s">
        <v>200</v>
      </c>
      <c r="G528" t="s">
        <v>27</v>
      </c>
      <c r="H528" s="3">
        <v>0.6</v>
      </c>
      <c r="I528">
        <v>5500</v>
      </c>
      <c r="J528" s="4">
        <v>3300</v>
      </c>
      <c r="K528" s="4">
        <v>1320</v>
      </c>
      <c r="L528" s="5">
        <v>0.4</v>
      </c>
      <c r="M528" t="s">
        <v>127</v>
      </c>
      <c r="N528" t="s">
        <v>362</v>
      </c>
    </row>
    <row r="529" spans="1:14">
      <c r="A529" t="s">
        <v>151</v>
      </c>
      <c r="B529">
        <v>1128299</v>
      </c>
      <c r="C529" s="2">
        <v>44301</v>
      </c>
      <c r="D529" t="s">
        <v>28</v>
      </c>
      <c r="E529" t="s">
        <v>193</v>
      </c>
      <c r="F529" t="s">
        <v>200</v>
      </c>
      <c r="G529" t="s">
        <v>145</v>
      </c>
      <c r="H529" s="3">
        <v>0.65</v>
      </c>
      <c r="I529">
        <v>3500</v>
      </c>
      <c r="J529" s="4">
        <v>2275</v>
      </c>
      <c r="K529" s="4">
        <v>568.75</v>
      </c>
      <c r="L529" s="5">
        <v>0.25</v>
      </c>
      <c r="M529" t="s">
        <v>127</v>
      </c>
      <c r="N529" t="s">
        <v>362</v>
      </c>
    </row>
    <row r="530" spans="1:14">
      <c r="A530" t="s">
        <v>151</v>
      </c>
      <c r="B530">
        <v>1128299</v>
      </c>
      <c r="C530" s="2">
        <v>44301</v>
      </c>
      <c r="D530" t="s">
        <v>28</v>
      </c>
      <c r="E530" t="s">
        <v>193</v>
      </c>
      <c r="F530" t="s">
        <v>200</v>
      </c>
      <c r="G530" t="s">
        <v>146</v>
      </c>
      <c r="H530" s="3">
        <v>0.65</v>
      </c>
      <c r="I530">
        <v>4000</v>
      </c>
      <c r="J530" s="4">
        <v>2600</v>
      </c>
      <c r="K530" s="4">
        <v>1040</v>
      </c>
      <c r="L530" s="5">
        <v>0.4</v>
      </c>
      <c r="M530" t="s">
        <v>127</v>
      </c>
      <c r="N530" t="s">
        <v>362</v>
      </c>
    </row>
    <row r="531" spans="1:14">
      <c r="A531" t="s">
        <v>151</v>
      </c>
      <c r="B531">
        <v>1128299</v>
      </c>
      <c r="C531" s="2">
        <v>44301</v>
      </c>
      <c r="D531" t="s">
        <v>28</v>
      </c>
      <c r="E531" t="s">
        <v>193</v>
      </c>
      <c r="F531" t="s">
        <v>200</v>
      </c>
      <c r="G531" t="s">
        <v>148</v>
      </c>
      <c r="H531" s="3">
        <v>0.6</v>
      </c>
      <c r="I531">
        <v>3000</v>
      </c>
      <c r="J531" s="4">
        <v>1800</v>
      </c>
      <c r="K531" s="4">
        <v>630</v>
      </c>
      <c r="L531" s="5">
        <v>0.35</v>
      </c>
      <c r="M531" t="s">
        <v>127</v>
      </c>
      <c r="N531" t="s">
        <v>362</v>
      </c>
    </row>
    <row r="532" spans="1:14">
      <c r="A532" t="s">
        <v>151</v>
      </c>
      <c r="B532">
        <v>1128299</v>
      </c>
      <c r="C532" s="2">
        <v>44301</v>
      </c>
      <c r="D532" t="s">
        <v>28</v>
      </c>
      <c r="E532" t="s">
        <v>193</v>
      </c>
      <c r="F532" t="s">
        <v>200</v>
      </c>
      <c r="G532" t="s">
        <v>147</v>
      </c>
      <c r="H532" s="3">
        <v>0.65</v>
      </c>
      <c r="I532">
        <v>2000</v>
      </c>
      <c r="J532" s="4">
        <v>1300</v>
      </c>
      <c r="K532" s="4">
        <v>715.00000000000011</v>
      </c>
      <c r="L532" s="5">
        <v>0.55000000000000004</v>
      </c>
      <c r="M532" t="s">
        <v>127</v>
      </c>
      <c r="N532" t="s">
        <v>362</v>
      </c>
    </row>
    <row r="533" spans="1:14">
      <c r="A533" t="s">
        <v>151</v>
      </c>
      <c r="B533">
        <v>1128299</v>
      </c>
      <c r="C533" s="2">
        <v>44301</v>
      </c>
      <c r="D533" t="s">
        <v>28</v>
      </c>
      <c r="E533" t="s">
        <v>193</v>
      </c>
      <c r="F533" t="s">
        <v>200</v>
      </c>
      <c r="G533" t="s">
        <v>144</v>
      </c>
      <c r="H533" s="3">
        <v>0.8</v>
      </c>
      <c r="I533">
        <v>3500</v>
      </c>
      <c r="J533" s="4">
        <v>2800</v>
      </c>
      <c r="K533" s="4">
        <v>560</v>
      </c>
      <c r="L533" s="5">
        <v>0.2</v>
      </c>
      <c r="M533" t="s">
        <v>127</v>
      </c>
      <c r="N533" t="s">
        <v>362</v>
      </c>
    </row>
    <row r="534" spans="1:14">
      <c r="A534" t="s">
        <v>151</v>
      </c>
      <c r="B534">
        <v>1128299</v>
      </c>
      <c r="C534" s="2">
        <v>44332</v>
      </c>
      <c r="D534" t="s">
        <v>28</v>
      </c>
      <c r="E534" t="s">
        <v>193</v>
      </c>
      <c r="F534" t="s">
        <v>200</v>
      </c>
      <c r="G534" t="s">
        <v>27</v>
      </c>
      <c r="H534" s="3">
        <v>0.6</v>
      </c>
      <c r="I534">
        <v>5500</v>
      </c>
      <c r="J534" s="4">
        <v>3300</v>
      </c>
      <c r="K534" s="4">
        <v>1485</v>
      </c>
      <c r="L534" s="5">
        <v>0.45</v>
      </c>
      <c r="M534" t="s">
        <v>128</v>
      </c>
      <c r="N534" t="s">
        <v>362</v>
      </c>
    </row>
    <row r="535" spans="1:14">
      <c r="A535" t="s">
        <v>151</v>
      </c>
      <c r="B535">
        <v>1128299</v>
      </c>
      <c r="C535" s="2">
        <v>44332</v>
      </c>
      <c r="D535" t="s">
        <v>28</v>
      </c>
      <c r="E535" t="s">
        <v>193</v>
      </c>
      <c r="F535" t="s">
        <v>200</v>
      </c>
      <c r="G535" t="s">
        <v>145</v>
      </c>
      <c r="H535" s="3">
        <v>0.65</v>
      </c>
      <c r="I535">
        <v>4000</v>
      </c>
      <c r="J535" s="4">
        <v>2600</v>
      </c>
      <c r="K535" s="4">
        <v>780</v>
      </c>
      <c r="L535" s="5">
        <v>0.3</v>
      </c>
      <c r="M535" t="s">
        <v>128</v>
      </c>
      <c r="N535" t="s">
        <v>362</v>
      </c>
    </row>
    <row r="536" spans="1:14">
      <c r="A536" t="s">
        <v>151</v>
      </c>
      <c r="B536">
        <v>1128299</v>
      </c>
      <c r="C536" s="2">
        <v>44332</v>
      </c>
      <c r="D536" t="s">
        <v>28</v>
      </c>
      <c r="E536" t="s">
        <v>193</v>
      </c>
      <c r="F536" t="s">
        <v>200</v>
      </c>
      <c r="G536" t="s">
        <v>146</v>
      </c>
      <c r="H536" s="3">
        <v>0.65</v>
      </c>
      <c r="I536">
        <v>4000</v>
      </c>
      <c r="J536" s="4">
        <v>2600</v>
      </c>
      <c r="K536" s="4">
        <v>1170</v>
      </c>
      <c r="L536" s="5">
        <v>0.45</v>
      </c>
      <c r="M536" t="s">
        <v>128</v>
      </c>
      <c r="N536" t="s">
        <v>362</v>
      </c>
    </row>
    <row r="537" spans="1:14">
      <c r="A537" t="s">
        <v>151</v>
      </c>
      <c r="B537">
        <v>1128299</v>
      </c>
      <c r="C537" s="2">
        <v>44332</v>
      </c>
      <c r="D537" t="s">
        <v>28</v>
      </c>
      <c r="E537" t="s">
        <v>193</v>
      </c>
      <c r="F537" t="s">
        <v>200</v>
      </c>
      <c r="G537" t="s">
        <v>148</v>
      </c>
      <c r="H537" s="3">
        <v>0.6</v>
      </c>
      <c r="I537">
        <v>3000</v>
      </c>
      <c r="J537" s="4">
        <v>1800</v>
      </c>
      <c r="K537" s="4">
        <v>719.99999999999989</v>
      </c>
      <c r="L537" s="5">
        <v>0.39999999999999997</v>
      </c>
      <c r="M537" t="s">
        <v>128</v>
      </c>
      <c r="N537" t="s">
        <v>362</v>
      </c>
    </row>
    <row r="538" spans="1:14">
      <c r="A538" t="s">
        <v>151</v>
      </c>
      <c r="B538">
        <v>1128299</v>
      </c>
      <c r="C538" s="2">
        <v>44332</v>
      </c>
      <c r="D538" t="s">
        <v>28</v>
      </c>
      <c r="E538" t="s">
        <v>193</v>
      </c>
      <c r="F538" t="s">
        <v>200</v>
      </c>
      <c r="G538" t="s">
        <v>147</v>
      </c>
      <c r="H538" s="3">
        <v>0.65</v>
      </c>
      <c r="I538">
        <v>2000</v>
      </c>
      <c r="J538" s="4">
        <v>1300</v>
      </c>
      <c r="K538" s="4">
        <v>780.00000000000011</v>
      </c>
      <c r="L538" s="5">
        <v>0.60000000000000009</v>
      </c>
      <c r="M538" t="s">
        <v>128</v>
      </c>
      <c r="N538" t="s">
        <v>362</v>
      </c>
    </row>
    <row r="539" spans="1:14">
      <c r="A539" t="s">
        <v>151</v>
      </c>
      <c r="B539">
        <v>1128299</v>
      </c>
      <c r="C539" s="2">
        <v>44332</v>
      </c>
      <c r="D539" t="s">
        <v>28</v>
      </c>
      <c r="E539" t="s">
        <v>193</v>
      </c>
      <c r="F539" t="s">
        <v>200</v>
      </c>
      <c r="G539" t="s">
        <v>144</v>
      </c>
      <c r="H539" s="3">
        <v>0.8</v>
      </c>
      <c r="I539">
        <v>4500</v>
      </c>
      <c r="J539" s="4">
        <v>3600</v>
      </c>
      <c r="K539" s="4">
        <v>900</v>
      </c>
      <c r="L539" s="5">
        <v>0.25</v>
      </c>
      <c r="M539" t="s">
        <v>128</v>
      </c>
      <c r="N539" t="s">
        <v>362</v>
      </c>
    </row>
    <row r="540" spans="1:14">
      <c r="A540" t="s">
        <v>151</v>
      </c>
      <c r="B540">
        <v>1128299</v>
      </c>
      <c r="C540" s="2">
        <v>44362</v>
      </c>
      <c r="D540" t="s">
        <v>28</v>
      </c>
      <c r="E540" t="s">
        <v>193</v>
      </c>
      <c r="F540" t="s">
        <v>200</v>
      </c>
      <c r="G540" t="s">
        <v>27</v>
      </c>
      <c r="H540" s="3">
        <v>0.6</v>
      </c>
      <c r="I540">
        <v>7000</v>
      </c>
      <c r="J540" s="4">
        <v>4200</v>
      </c>
      <c r="K540" s="4">
        <v>1890</v>
      </c>
      <c r="L540" s="5">
        <v>0.45</v>
      </c>
      <c r="M540" t="s">
        <v>129</v>
      </c>
      <c r="N540" t="s">
        <v>362</v>
      </c>
    </row>
    <row r="541" spans="1:14">
      <c r="A541" t="s">
        <v>151</v>
      </c>
      <c r="B541">
        <v>1128299</v>
      </c>
      <c r="C541" s="2">
        <v>44362</v>
      </c>
      <c r="D541" t="s">
        <v>28</v>
      </c>
      <c r="E541" t="s">
        <v>193</v>
      </c>
      <c r="F541" t="s">
        <v>200</v>
      </c>
      <c r="G541" t="s">
        <v>145</v>
      </c>
      <c r="H541" s="3">
        <v>0.65</v>
      </c>
      <c r="I541">
        <v>5500</v>
      </c>
      <c r="J541" s="4">
        <v>3575</v>
      </c>
      <c r="K541" s="4">
        <v>1072.5</v>
      </c>
      <c r="L541" s="5">
        <v>0.3</v>
      </c>
      <c r="M541" t="s">
        <v>129</v>
      </c>
      <c r="N541" t="s">
        <v>362</v>
      </c>
    </row>
    <row r="542" spans="1:14">
      <c r="A542" t="s">
        <v>151</v>
      </c>
      <c r="B542">
        <v>1128299</v>
      </c>
      <c r="C542" s="2">
        <v>44362</v>
      </c>
      <c r="D542" t="s">
        <v>28</v>
      </c>
      <c r="E542" t="s">
        <v>193</v>
      </c>
      <c r="F542" t="s">
        <v>200</v>
      </c>
      <c r="G542" t="s">
        <v>146</v>
      </c>
      <c r="H542" s="3">
        <v>0.65</v>
      </c>
      <c r="I542">
        <v>5500</v>
      </c>
      <c r="J542" s="4">
        <v>3575</v>
      </c>
      <c r="K542" s="4">
        <v>1608.75</v>
      </c>
      <c r="L542" s="5">
        <v>0.45</v>
      </c>
      <c r="M542" t="s">
        <v>129</v>
      </c>
      <c r="N542" t="s">
        <v>362</v>
      </c>
    </row>
    <row r="543" spans="1:14">
      <c r="A543" t="s">
        <v>151</v>
      </c>
      <c r="B543">
        <v>1128299</v>
      </c>
      <c r="C543" s="2">
        <v>44362</v>
      </c>
      <c r="D543" t="s">
        <v>28</v>
      </c>
      <c r="E543" t="s">
        <v>193</v>
      </c>
      <c r="F543" t="s">
        <v>200</v>
      </c>
      <c r="G543" t="s">
        <v>148</v>
      </c>
      <c r="H543" s="3">
        <v>0.6</v>
      </c>
      <c r="I543">
        <v>4250</v>
      </c>
      <c r="J543" s="4">
        <v>2550</v>
      </c>
      <c r="K543" s="4">
        <v>1019.9999999999999</v>
      </c>
      <c r="L543" s="5">
        <v>0.39999999999999997</v>
      </c>
      <c r="M543" t="s">
        <v>129</v>
      </c>
      <c r="N543" t="s">
        <v>362</v>
      </c>
    </row>
    <row r="544" spans="1:14">
      <c r="A544" t="s">
        <v>151</v>
      </c>
      <c r="B544">
        <v>1128299</v>
      </c>
      <c r="C544" s="2">
        <v>44362</v>
      </c>
      <c r="D544" t="s">
        <v>28</v>
      </c>
      <c r="E544" t="s">
        <v>193</v>
      </c>
      <c r="F544" t="s">
        <v>200</v>
      </c>
      <c r="G544" t="s">
        <v>147</v>
      </c>
      <c r="H544" s="3">
        <v>0.65</v>
      </c>
      <c r="I544">
        <v>3000</v>
      </c>
      <c r="J544" s="4">
        <v>1950</v>
      </c>
      <c r="K544" s="4">
        <v>1170.0000000000002</v>
      </c>
      <c r="L544" s="5">
        <v>0.60000000000000009</v>
      </c>
      <c r="M544" t="s">
        <v>129</v>
      </c>
      <c r="N544" t="s">
        <v>362</v>
      </c>
    </row>
    <row r="545" spans="1:14">
      <c r="A545" t="s">
        <v>151</v>
      </c>
      <c r="B545">
        <v>1128299</v>
      </c>
      <c r="C545" s="2">
        <v>44362</v>
      </c>
      <c r="D545" t="s">
        <v>28</v>
      </c>
      <c r="E545" t="s">
        <v>193</v>
      </c>
      <c r="F545" t="s">
        <v>200</v>
      </c>
      <c r="G545" t="s">
        <v>144</v>
      </c>
      <c r="H545" s="3">
        <v>0.8</v>
      </c>
      <c r="I545">
        <v>6000</v>
      </c>
      <c r="J545" s="4">
        <v>4800</v>
      </c>
      <c r="K545" s="4">
        <v>1200</v>
      </c>
      <c r="L545" s="5">
        <v>0.25</v>
      </c>
      <c r="M545" t="s">
        <v>129</v>
      </c>
      <c r="N545" t="s">
        <v>362</v>
      </c>
    </row>
    <row r="546" spans="1:14">
      <c r="A546" t="s">
        <v>151</v>
      </c>
      <c r="B546">
        <v>1128299</v>
      </c>
      <c r="C546" s="2">
        <v>44391</v>
      </c>
      <c r="D546" t="s">
        <v>28</v>
      </c>
      <c r="E546" t="s">
        <v>193</v>
      </c>
      <c r="F546" t="s">
        <v>200</v>
      </c>
      <c r="G546" t="s">
        <v>27</v>
      </c>
      <c r="H546" s="3">
        <v>0.6</v>
      </c>
      <c r="I546">
        <v>7500</v>
      </c>
      <c r="J546" s="4">
        <v>4500</v>
      </c>
      <c r="K546" s="4">
        <v>1800</v>
      </c>
      <c r="L546" s="5">
        <v>0.4</v>
      </c>
      <c r="M546" t="s">
        <v>130</v>
      </c>
      <c r="N546" t="s">
        <v>363</v>
      </c>
    </row>
    <row r="547" spans="1:14">
      <c r="A547" t="s">
        <v>151</v>
      </c>
      <c r="B547">
        <v>1128299</v>
      </c>
      <c r="C547" s="2">
        <v>44391</v>
      </c>
      <c r="D547" t="s">
        <v>28</v>
      </c>
      <c r="E547" t="s">
        <v>193</v>
      </c>
      <c r="F547" t="s">
        <v>200</v>
      </c>
      <c r="G547" t="s">
        <v>145</v>
      </c>
      <c r="H547" s="3">
        <v>0.65</v>
      </c>
      <c r="I547">
        <v>6000</v>
      </c>
      <c r="J547" s="4">
        <v>3900</v>
      </c>
      <c r="K547" s="4">
        <v>975</v>
      </c>
      <c r="L547" s="5">
        <v>0.25</v>
      </c>
      <c r="M547" t="s">
        <v>130</v>
      </c>
      <c r="N547" t="s">
        <v>363</v>
      </c>
    </row>
    <row r="548" spans="1:14">
      <c r="A548" t="s">
        <v>151</v>
      </c>
      <c r="B548">
        <v>1128299</v>
      </c>
      <c r="C548" s="2">
        <v>44391</v>
      </c>
      <c r="D548" t="s">
        <v>28</v>
      </c>
      <c r="E548" t="s">
        <v>193</v>
      </c>
      <c r="F548" t="s">
        <v>200</v>
      </c>
      <c r="G548" t="s">
        <v>146</v>
      </c>
      <c r="H548" s="3">
        <v>0.65</v>
      </c>
      <c r="I548">
        <v>5500</v>
      </c>
      <c r="J548" s="4">
        <v>3575</v>
      </c>
      <c r="K548" s="4">
        <v>1430</v>
      </c>
      <c r="L548" s="5">
        <v>0.4</v>
      </c>
      <c r="M548" t="s">
        <v>130</v>
      </c>
      <c r="N548" t="s">
        <v>363</v>
      </c>
    </row>
    <row r="549" spans="1:14">
      <c r="A549" t="s">
        <v>151</v>
      </c>
      <c r="B549">
        <v>1128299</v>
      </c>
      <c r="C549" s="2">
        <v>44391</v>
      </c>
      <c r="D549" t="s">
        <v>28</v>
      </c>
      <c r="E549" t="s">
        <v>193</v>
      </c>
      <c r="F549" t="s">
        <v>200</v>
      </c>
      <c r="G549" t="s">
        <v>148</v>
      </c>
      <c r="H549" s="3">
        <v>0.6</v>
      </c>
      <c r="I549">
        <v>4500</v>
      </c>
      <c r="J549" s="4">
        <v>2700</v>
      </c>
      <c r="K549" s="4">
        <v>944.99999999999989</v>
      </c>
      <c r="L549" s="5">
        <v>0.35</v>
      </c>
      <c r="M549" t="s">
        <v>130</v>
      </c>
      <c r="N549" t="s">
        <v>363</v>
      </c>
    </row>
    <row r="550" spans="1:14">
      <c r="A550" t="s">
        <v>151</v>
      </c>
      <c r="B550">
        <v>1128299</v>
      </c>
      <c r="C550" s="2">
        <v>44391</v>
      </c>
      <c r="D550" t="s">
        <v>28</v>
      </c>
      <c r="E550" t="s">
        <v>193</v>
      </c>
      <c r="F550" t="s">
        <v>200</v>
      </c>
      <c r="G550" t="s">
        <v>147</v>
      </c>
      <c r="H550" s="3">
        <v>0.65</v>
      </c>
      <c r="I550">
        <v>5000</v>
      </c>
      <c r="J550" s="4">
        <v>3250</v>
      </c>
      <c r="K550" s="4">
        <v>1787.5000000000002</v>
      </c>
      <c r="L550" s="5">
        <v>0.55000000000000004</v>
      </c>
      <c r="M550" t="s">
        <v>130</v>
      </c>
      <c r="N550" t="s">
        <v>363</v>
      </c>
    </row>
    <row r="551" spans="1:14">
      <c r="A551" t="s">
        <v>151</v>
      </c>
      <c r="B551">
        <v>1128299</v>
      </c>
      <c r="C551" s="2">
        <v>44391</v>
      </c>
      <c r="D551" t="s">
        <v>28</v>
      </c>
      <c r="E551" t="s">
        <v>193</v>
      </c>
      <c r="F551" t="s">
        <v>200</v>
      </c>
      <c r="G551" t="s">
        <v>144</v>
      </c>
      <c r="H551" s="3">
        <v>0.8</v>
      </c>
      <c r="I551">
        <v>5000</v>
      </c>
      <c r="J551" s="4">
        <v>4000</v>
      </c>
      <c r="K551" s="4">
        <v>800</v>
      </c>
      <c r="L551" s="5">
        <v>0.2</v>
      </c>
      <c r="M551" t="s">
        <v>130</v>
      </c>
      <c r="N551" t="s">
        <v>363</v>
      </c>
    </row>
    <row r="552" spans="1:14">
      <c r="A552" t="s">
        <v>151</v>
      </c>
      <c r="B552">
        <v>1128299</v>
      </c>
      <c r="C552" s="2">
        <v>44423</v>
      </c>
      <c r="D552" t="s">
        <v>28</v>
      </c>
      <c r="E552" t="s">
        <v>193</v>
      </c>
      <c r="F552" t="s">
        <v>200</v>
      </c>
      <c r="G552" t="s">
        <v>27</v>
      </c>
      <c r="H552" s="3">
        <v>0.65</v>
      </c>
      <c r="I552">
        <v>7000</v>
      </c>
      <c r="J552" s="4">
        <v>4550</v>
      </c>
      <c r="K552" s="4">
        <v>1820</v>
      </c>
      <c r="L552" s="5">
        <v>0.4</v>
      </c>
      <c r="M552" t="s">
        <v>131</v>
      </c>
      <c r="N552" t="s">
        <v>363</v>
      </c>
    </row>
    <row r="553" spans="1:14">
      <c r="A553" t="s">
        <v>151</v>
      </c>
      <c r="B553">
        <v>1128299</v>
      </c>
      <c r="C553" s="2">
        <v>44423</v>
      </c>
      <c r="D553" t="s">
        <v>28</v>
      </c>
      <c r="E553" t="s">
        <v>193</v>
      </c>
      <c r="F553" t="s">
        <v>200</v>
      </c>
      <c r="G553" t="s">
        <v>145</v>
      </c>
      <c r="H553" s="3">
        <v>0.70000000000000007</v>
      </c>
      <c r="I553">
        <v>6500</v>
      </c>
      <c r="J553" s="4">
        <v>4550</v>
      </c>
      <c r="K553" s="4">
        <v>1137.5</v>
      </c>
      <c r="L553" s="5">
        <v>0.25</v>
      </c>
      <c r="M553" t="s">
        <v>131</v>
      </c>
      <c r="N553" t="s">
        <v>363</v>
      </c>
    </row>
    <row r="554" spans="1:14">
      <c r="A554" t="s">
        <v>151</v>
      </c>
      <c r="B554">
        <v>1128299</v>
      </c>
      <c r="C554" s="2">
        <v>44423</v>
      </c>
      <c r="D554" t="s">
        <v>28</v>
      </c>
      <c r="E554" t="s">
        <v>193</v>
      </c>
      <c r="F554" t="s">
        <v>200</v>
      </c>
      <c r="G554" t="s">
        <v>146</v>
      </c>
      <c r="H554" s="3">
        <v>0.65</v>
      </c>
      <c r="I554">
        <v>5250</v>
      </c>
      <c r="J554" s="4">
        <v>3412.5</v>
      </c>
      <c r="K554" s="4">
        <v>1365</v>
      </c>
      <c r="L554" s="5">
        <v>0.4</v>
      </c>
      <c r="M554" t="s">
        <v>131</v>
      </c>
      <c r="N554" t="s">
        <v>363</v>
      </c>
    </row>
    <row r="555" spans="1:14">
      <c r="A555" t="s">
        <v>151</v>
      </c>
      <c r="B555">
        <v>1128299</v>
      </c>
      <c r="C555" s="2">
        <v>44423</v>
      </c>
      <c r="D555" t="s">
        <v>28</v>
      </c>
      <c r="E555" t="s">
        <v>193</v>
      </c>
      <c r="F555" t="s">
        <v>200</v>
      </c>
      <c r="G555" t="s">
        <v>148</v>
      </c>
      <c r="H555" s="3">
        <v>0.65</v>
      </c>
      <c r="I555">
        <v>4750</v>
      </c>
      <c r="J555" s="4">
        <v>3087.5</v>
      </c>
      <c r="K555" s="4">
        <v>1080.625</v>
      </c>
      <c r="L555" s="5">
        <v>0.35</v>
      </c>
      <c r="M555" t="s">
        <v>131</v>
      </c>
      <c r="N555" t="s">
        <v>363</v>
      </c>
    </row>
    <row r="556" spans="1:14">
      <c r="A556" t="s">
        <v>151</v>
      </c>
      <c r="B556">
        <v>1128299</v>
      </c>
      <c r="C556" s="2">
        <v>44423</v>
      </c>
      <c r="D556" t="s">
        <v>28</v>
      </c>
      <c r="E556" t="s">
        <v>193</v>
      </c>
      <c r="F556" t="s">
        <v>200</v>
      </c>
      <c r="G556" t="s">
        <v>147</v>
      </c>
      <c r="H556" s="3">
        <v>0.75</v>
      </c>
      <c r="I556">
        <v>4750</v>
      </c>
      <c r="J556" s="4">
        <v>3562.5</v>
      </c>
      <c r="K556" s="4">
        <v>1959.3750000000002</v>
      </c>
      <c r="L556" s="5">
        <v>0.55000000000000004</v>
      </c>
      <c r="M556" t="s">
        <v>131</v>
      </c>
      <c r="N556" t="s">
        <v>363</v>
      </c>
    </row>
    <row r="557" spans="1:14">
      <c r="A557" t="s">
        <v>151</v>
      </c>
      <c r="B557">
        <v>1128299</v>
      </c>
      <c r="C557" s="2">
        <v>44423</v>
      </c>
      <c r="D557" t="s">
        <v>28</v>
      </c>
      <c r="E557" t="s">
        <v>193</v>
      </c>
      <c r="F557" t="s">
        <v>200</v>
      </c>
      <c r="G557" t="s">
        <v>144</v>
      </c>
      <c r="H557" s="3">
        <v>0.8</v>
      </c>
      <c r="I557">
        <v>4000</v>
      </c>
      <c r="J557" s="4">
        <v>3200</v>
      </c>
      <c r="K557" s="4">
        <v>640</v>
      </c>
      <c r="L557" s="5">
        <v>0.2</v>
      </c>
      <c r="M557" t="s">
        <v>131</v>
      </c>
      <c r="N557" t="s">
        <v>363</v>
      </c>
    </row>
    <row r="558" spans="1:14">
      <c r="A558" t="s">
        <v>151</v>
      </c>
      <c r="B558">
        <v>1128299</v>
      </c>
      <c r="C558" s="2">
        <v>44455</v>
      </c>
      <c r="D558" t="s">
        <v>28</v>
      </c>
      <c r="E558" t="s">
        <v>193</v>
      </c>
      <c r="F558" t="s">
        <v>200</v>
      </c>
      <c r="G558" t="s">
        <v>27</v>
      </c>
      <c r="H558" s="3">
        <v>0.60000000000000009</v>
      </c>
      <c r="I558">
        <v>6000</v>
      </c>
      <c r="J558" s="4">
        <v>3600.0000000000005</v>
      </c>
      <c r="K558" s="4">
        <v>1260.0000000000002</v>
      </c>
      <c r="L558" s="5">
        <v>0.35000000000000003</v>
      </c>
      <c r="M558" t="s">
        <v>132</v>
      </c>
      <c r="N558" t="s">
        <v>363</v>
      </c>
    </row>
    <row r="559" spans="1:14">
      <c r="A559" t="s">
        <v>151</v>
      </c>
      <c r="B559">
        <v>1128299</v>
      </c>
      <c r="C559" s="2">
        <v>44455</v>
      </c>
      <c r="D559" t="s">
        <v>28</v>
      </c>
      <c r="E559" t="s">
        <v>193</v>
      </c>
      <c r="F559" t="s">
        <v>200</v>
      </c>
      <c r="G559" t="s">
        <v>145</v>
      </c>
      <c r="H559" s="3">
        <v>0.65000000000000013</v>
      </c>
      <c r="I559">
        <v>6000</v>
      </c>
      <c r="J559" s="4">
        <v>3900.0000000000009</v>
      </c>
      <c r="K559" s="4">
        <v>780.00000000000023</v>
      </c>
      <c r="L559" s="5">
        <v>0.2</v>
      </c>
      <c r="M559" t="s">
        <v>132</v>
      </c>
      <c r="N559" t="s">
        <v>363</v>
      </c>
    </row>
    <row r="560" spans="1:14">
      <c r="A560" t="s">
        <v>151</v>
      </c>
      <c r="B560">
        <v>1128299</v>
      </c>
      <c r="C560" s="2">
        <v>44455</v>
      </c>
      <c r="D560" t="s">
        <v>28</v>
      </c>
      <c r="E560" t="s">
        <v>193</v>
      </c>
      <c r="F560" t="s">
        <v>200</v>
      </c>
      <c r="G560" t="s">
        <v>146</v>
      </c>
      <c r="H560" s="3">
        <v>0.60000000000000009</v>
      </c>
      <c r="I560">
        <v>4500</v>
      </c>
      <c r="J560" s="4">
        <v>2700.0000000000005</v>
      </c>
      <c r="K560" s="4">
        <v>945.00000000000023</v>
      </c>
      <c r="L560" s="5">
        <v>0.35000000000000003</v>
      </c>
      <c r="M560" t="s">
        <v>132</v>
      </c>
      <c r="N560" t="s">
        <v>363</v>
      </c>
    </row>
    <row r="561" spans="1:14">
      <c r="A561" t="s">
        <v>151</v>
      </c>
      <c r="B561">
        <v>1128299</v>
      </c>
      <c r="C561" s="2">
        <v>44455</v>
      </c>
      <c r="D561" t="s">
        <v>28</v>
      </c>
      <c r="E561" t="s">
        <v>193</v>
      </c>
      <c r="F561" t="s">
        <v>200</v>
      </c>
      <c r="G561" t="s">
        <v>148</v>
      </c>
      <c r="H561" s="3">
        <v>0.60000000000000009</v>
      </c>
      <c r="I561">
        <v>4000</v>
      </c>
      <c r="J561" s="4">
        <v>2400.0000000000005</v>
      </c>
      <c r="K561" s="4">
        <v>720.00000000000011</v>
      </c>
      <c r="L561" s="5">
        <v>0.3</v>
      </c>
      <c r="M561" t="s">
        <v>132</v>
      </c>
      <c r="N561" t="s">
        <v>363</v>
      </c>
    </row>
    <row r="562" spans="1:14">
      <c r="A562" t="s">
        <v>151</v>
      </c>
      <c r="B562">
        <v>1128299</v>
      </c>
      <c r="C562" s="2">
        <v>44455</v>
      </c>
      <c r="D562" t="s">
        <v>28</v>
      </c>
      <c r="E562" t="s">
        <v>193</v>
      </c>
      <c r="F562" t="s">
        <v>200</v>
      </c>
      <c r="G562" t="s">
        <v>147</v>
      </c>
      <c r="H562" s="3">
        <v>0.70000000000000007</v>
      </c>
      <c r="I562">
        <v>4000</v>
      </c>
      <c r="J562" s="4">
        <v>2800.0000000000005</v>
      </c>
      <c r="K562" s="4">
        <v>1400.0000000000005</v>
      </c>
      <c r="L562" s="5">
        <v>0.50000000000000011</v>
      </c>
      <c r="M562" t="s">
        <v>132</v>
      </c>
      <c r="N562" t="s">
        <v>363</v>
      </c>
    </row>
    <row r="563" spans="1:14">
      <c r="A563" t="s">
        <v>151</v>
      </c>
      <c r="B563">
        <v>1128299</v>
      </c>
      <c r="C563" s="2">
        <v>44455</v>
      </c>
      <c r="D563" t="s">
        <v>28</v>
      </c>
      <c r="E563" t="s">
        <v>193</v>
      </c>
      <c r="F563" t="s">
        <v>200</v>
      </c>
      <c r="G563" t="s">
        <v>144</v>
      </c>
      <c r="H563" s="3">
        <v>0.75000000000000011</v>
      </c>
      <c r="I563">
        <v>4500</v>
      </c>
      <c r="J563" s="4">
        <v>3375.0000000000005</v>
      </c>
      <c r="K563" s="4">
        <v>506.25000000000017</v>
      </c>
      <c r="L563" s="5">
        <v>0.15000000000000002</v>
      </c>
      <c r="M563" t="s">
        <v>132</v>
      </c>
      <c r="N563" t="s">
        <v>363</v>
      </c>
    </row>
    <row r="564" spans="1:14">
      <c r="A564" t="s">
        <v>151</v>
      </c>
      <c r="B564">
        <v>1128299</v>
      </c>
      <c r="C564" s="2">
        <v>44484</v>
      </c>
      <c r="D564" t="s">
        <v>28</v>
      </c>
      <c r="E564" t="s">
        <v>193</v>
      </c>
      <c r="F564" t="s">
        <v>200</v>
      </c>
      <c r="G564" t="s">
        <v>27</v>
      </c>
      <c r="H564" s="3">
        <v>0.60000000000000009</v>
      </c>
      <c r="I564">
        <v>5500</v>
      </c>
      <c r="J564" s="4">
        <v>3300.0000000000005</v>
      </c>
      <c r="K564" s="4">
        <v>1155.0000000000002</v>
      </c>
      <c r="L564" s="5">
        <v>0.35000000000000003</v>
      </c>
      <c r="M564" t="s">
        <v>133</v>
      </c>
      <c r="N564" t="s">
        <v>364</v>
      </c>
    </row>
    <row r="565" spans="1:14">
      <c r="A565" t="s">
        <v>151</v>
      </c>
      <c r="B565">
        <v>1128299</v>
      </c>
      <c r="C565" s="2">
        <v>44484</v>
      </c>
      <c r="D565" t="s">
        <v>28</v>
      </c>
      <c r="E565" t="s">
        <v>193</v>
      </c>
      <c r="F565" t="s">
        <v>200</v>
      </c>
      <c r="G565" t="s">
        <v>145</v>
      </c>
      <c r="H565" s="3">
        <v>0.65000000000000013</v>
      </c>
      <c r="I565">
        <v>5500</v>
      </c>
      <c r="J565" s="4">
        <v>3575.0000000000009</v>
      </c>
      <c r="K565" s="4">
        <v>715.00000000000023</v>
      </c>
      <c r="L565" s="5">
        <v>0.2</v>
      </c>
      <c r="M565" t="s">
        <v>133</v>
      </c>
      <c r="N565" t="s">
        <v>364</v>
      </c>
    </row>
    <row r="566" spans="1:14">
      <c r="A566" t="s">
        <v>151</v>
      </c>
      <c r="B566">
        <v>1128299</v>
      </c>
      <c r="C566" s="2">
        <v>44484</v>
      </c>
      <c r="D566" t="s">
        <v>28</v>
      </c>
      <c r="E566" t="s">
        <v>193</v>
      </c>
      <c r="F566" t="s">
        <v>200</v>
      </c>
      <c r="G566" t="s">
        <v>146</v>
      </c>
      <c r="H566" s="3">
        <v>0.60000000000000009</v>
      </c>
      <c r="I566">
        <v>3750</v>
      </c>
      <c r="J566" s="4">
        <v>2250.0000000000005</v>
      </c>
      <c r="K566" s="4">
        <v>787.50000000000023</v>
      </c>
      <c r="L566" s="5">
        <v>0.35000000000000003</v>
      </c>
      <c r="M566" t="s">
        <v>133</v>
      </c>
      <c r="N566" t="s">
        <v>364</v>
      </c>
    </row>
    <row r="567" spans="1:14">
      <c r="A567" t="s">
        <v>151</v>
      </c>
      <c r="B567">
        <v>1128299</v>
      </c>
      <c r="C567" s="2">
        <v>44484</v>
      </c>
      <c r="D567" t="s">
        <v>28</v>
      </c>
      <c r="E567" t="s">
        <v>193</v>
      </c>
      <c r="F567" t="s">
        <v>200</v>
      </c>
      <c r="G567" t="s">
        <v>148</v>
      </c>
      <c r="H567" s="3">
        <v>0.60000000000000009</v>
      </c>
      <c r="I567">
        <v>3500</v>
      </c>
      <c r="J567" s="4">
        <v>2100.0000000000005</v>
      </c>
      <c r="K567" s="4">
        <v>630.00000000000011</v>
      </c>
      <c r="L567" s="5">
        <v>0.3</v>
      </c>
      <c r="M567" t="s">
        <v>133</v>
      </c>
      <c r="N567" t="s">
        <v>364</v>
      </c>
    </row>
    <row r="568" spans="1:14">
      <c r="A568" t="s">
        <v>151</v>
      </c>
      <c r="B568">
        <v>1128299</v>
      </c>
      <c r="C568" s="2">
        <v>44484</v>
      </c>
      <c r="D568" t="s">
        <v>28</v>
      </c>
      <c r="E568" t="s">
        <v>193</v>
      </c>
      <c r="F568" t="s">
        <v>200</v>
      </c>
      <c r="G568" t="s">
        <v>147</v>
      </c>
      <c r="H568" s="3">
        <v>0.70000000000000007</v>
      </c>
      <c r="I568">
        <v>3250</v>
      </c>
      <c r="J568" s="4">
        <v>2275</v>
      </c>
      <c r="K568" s="4">
        <v>1137.5000000000002</v>
      </c>
      <c r="L568" s="5">
        <v>0.50000000000000011</v>
      </c>
      <c r="M568" t="s">
        <v>133</v>
      </c>
      <c r="N568" t="s">
        <v>364</v>
      </c>
    </row>
    <row r="569" spans="1:14">
      <c r="A569" t="s">
        <v>151</v>
      </c>
      <c r="B569">
        <v>1128299</v>
      </c>
      <c r="C569" s="2">
        <v>44484</v>
      </c>
      <c r="D569" t="s">
        <v>28</v>
      </c>
      <c r="E569" t="s">
        <v>193</v>
      </c>
      <c r="F569" t="s">
        <v>200</v>
      </c>
      <c r="G569" t="s">
        <v>144</v>
      </c>
      <c r="H569" s="3">
        <v>0.75000000000000011</v>
      </c>
      <c r="I569">
        <v>3750</v>
      </c>
      <c r="J569" s="4">
        <v>2812.5000000000005</v>
      </c>
      <c r="K569" s="4">
        <v>421.87500000000011</v>
      </c>
      <c r="L569" s="5">
        <v>0.15000000000000002</v>
      </c>
      <c r="M569" t="s">
        <v>133</v>
      </c>
      <c r="N569" t="s">
        <v>364</v>
      </c>
    </row>
    <row r="570" spans="1:14">
      <c r="A570" t="s">
        <v>151</v>
      </c>
      <c r="B570">
        <v>1128299</v>
      </c>
      <c r="C570" s="2">
        <v>44515</v>
      </c>
      <c r="D570" t="s">
        <v>28</v>
      </c>
      <c r="E570" t="s">
        <v>193</v>
      </c>
      <c r="F570" t="s">
        <v>200</v>
      </c>
      <c r="G570" t="s">
        <v>27</v>
      </c>
      <c r="H570" s="3">
        <v>0.60000000000000009</v>
      </c>
      <c r="I570">
        <v>5750</v>
      </c>
      <c r="J570" s="4">
        <v>3450.0000000000005</v>
      </c>
      <c r="K570" s="4">
        <v>1207.5000000000002</v>
      </c>
      <c r="L570" s="5">
        <v>0.35000000000000003</v>
      </c>
      <c r="M570" t="s">
        <v>134</v>
      </c>
      <c r="N570" t="s">
        <v>364</v>
      </c>
    </row>
    <row r="571" spans="1:14">
      <c r="A571" t="s">
        <v>151</v>
      </c>
      <c r="B571">
        <v>1128299</v>
      </c>
      <c r="C571" s="2">
        <v>44515</v>
      </c>
      <c r="D571" t="s">
        <v>28</v>
      </c>
      <c r="E571" t="s">
        <v>193</v>
      </c>
      <c r="F571" t="s">
        <v>200</v>
      </c>
      <c r="G571" t="s">
        <v>145</v>
      </c>
      <c r="H571" s="3">
        <v>0.65000000000000013</v>
      </c>
      <c r="I571">
        <v>5750</v>
      </c>
      <c r="J571" s="4">
        <v>3737.5000000000009</v>
      </c>
      <c r="K571" s="4">
        <v>747.50000000000023</v>
      </c>
      <c r="L571" s="5">
        <v>0.2</v>
      </c>
      <c r="M571" t="s">
        <v>134</v>
      </c>
      <c r="N571" t="s">
        <v>364</v>
      </c>
    </row>
    <row r="572" spans="1:14">
      <c r="A572" t="s">
        <v>151</v>
      </c>
      <c r="B572">
        <v>1128299</v>
      </c>
      <c r="C572" s="2">
        <v>44515</v>
      </c>
      <c r="D572" t="s">
        <v>28</v>
      </c>
      <c r="E572" t="s">
        <v>193</v>
      </c>
      <c r="F572" t="s">
        <v>200</v>
      </c>
      <c r="G572" t="s">
        <v>146</v>
      </c>
      <c r="H572" s="3">
        <v>0.60000000000000009</v>
      </c>
      <c r="I572">
        <v>4250</v>
      </c>
      <c r="J572" s="4">
        <v>2550.0000000000005</v>
      </c>
      <c r="K572" s="4">
        <v>892.50000000000023</v>
      </c>
      <c r="L572" s="5">
        <v>0.35000000000000003</v>
      </c>
      <c r="M572" t="s">
        <v>134</v>
      </c>
      <c r="N572" t="s">
        <v>364</v>
      </c>
    </row>
    <row r="573" spans="1:14">
      <c r="A573" t="s">
        <v>151</v>
      </c>
      <c r="B573">
        <v>1128299</v>
      </c>
      <c r="C573" s="2">
        <v>44515</v>
      </c>
      <c r="D573" t="s">
        <v>28</v>
      </c>
      <c r="E573" t="s">
        <v>193</v>
      </c>
      <c r="F573" t="s">
        <v>200</v>
      </c>
      <c r="G573" t="s">
        <v>148</v>
      </c>
      <c r="H573" s="3">
        <v>0.60000000000000009</v>
      </c>
      <c r="I573">
        <v>4000</v>
      </c>
      <c r="J573" s="4">
        <v>2400.0000000000005</v>
      </c>
      <c r="K573" s="4">
        <v>720.00000000000011</v>
      </c>
      <c r="L573" s="5">
        <v>0.3</v>
      </c>
      <c r="M573" t="s">
        <v>134</v>
      </c>
      <c r="N573" t="s">
        <v>364</v>
      </c>
    </row>
    <row r="574" spans="1:14">
      <c r="A574" t="s">
        <v>151</v>
      </c>
      <c r="B574">
        <v>1128299</v>
      </c>
      <c r="C574" s="2">
        <v>44515</v>
      </c>
      <c r="D574" t="s">
        <v>28</v>
      </c>
      <c r="E574" t="s">
        <v>193</v>
      </c>
      <c r="F574" t="s">
        <v>200</v>
      </c>
      <c r="G574" t="s">
        <v>147</v>
      </c>
      <c r="H574" s="3">
        <v>0.70000000000000007</v>
      </c>
      <c r="I574">
        <v>3500</v>
      </c>
      <c r="J574" s="4">
        <v>2450.0000000000005</v>
      </c>
      <c r="K574" s="4">
        <v>1225.0000000000005</v>
      </c>
      <c r="L574" s="5">
        <v>0.50000000000000011</v>
      </c>
      <c r="M574" t="s">
        <v>134</v>
      </c>
      <c r="N574" t="s">
        <v>364</v>
      </c>
    </row>
    <row r="575" spans="1:14">
      <c r="A575" t="s">
        <v>151</v>
      </c>
      <c r="B575">
        <v>1128299</v>
      </c>
      <c r="C575" s="2">
        <v>44515</v>
      </c>
      <c r="D575" t="s">
        <v>28</v>
      </c>
      <c r="E575" t="s">
        <v>193</v>
      </c>
      <c r="F575" t="s">
        <v>200</v>
      </c>
      <c r="G575" t="s">
        <v>144</v>
      </c>
      <c r="H575" s="3">
        <v>0.75000000000000011</v>
      </c>
      <c r="I575">
        <v>4750</v>
      </c>
      <c r="J575" s="4">
        <v>3562.5000000000005</v>
      </c>
      <c r="K575" s="4">
        <v>534.37500000000011</v>
      </c>
      <c r="L575" s="5">
        <v>0.15000000000000002</v>
      </c>
      <c r="M575" t="s">
        <v>134</v>
      </c>
      <c r="N575" t="s">
        <v>364</v>
      </c>
    </row>
    <row r="576" spans="1:14">
      <c r="A576" t="s">
        <v>151</v>
      </c>
      <c r="B576">
        <v>1128299</v>
      </c>
      <c r="C576" s="2">
        <v>44544</v>
      </c>
      <c r="D576" t="s">
        <v>28</v>
      </c>
      <c r="E576" t="s">
        <v>193</v>
      </c>
      <c r="F576" t="s">
        <v>200</v>
      </c>
      <c r="G576" t="s">
        <v>27</v>
      </c>
      <c r="H576" s="3">
        <v>0.60000000000000009</v>
      </c>
      <c r="I576">
        <v>6750</v>
      </c>
      <c r="J576" s="4">
        <v>4050.0000000000005</v>
      </c>
      <c r="K576" s="4">
        <v>1417.5000000000002</v>
      </c>
      <c r="L576" s="5">
        <v>0.35000000000000003</v>
      </c>
      <c r="M576" t="s">
        <v>23</v>
      </c>
      <c r="N576" t="s">
        <v>364</v>
      </c>
    </row>
    <row r="577" spans="1:14">
      <c r="A577" t="s">
        <v>151</v>
      </c>
      <c r="B577">
        <v>1128299</v>
      </c>
      <c r="C577" s="2">
        <v>44544</v>
      </c>
      <c r="D577" t="s">
        <v>28</v>
      </c>
      <c r="E577" t="s">
        <v>193</v>
      </c>
      <c r="F577" t="s">
        <v>200</v>
      </c>
      <c r="G577" t="s">
        <v>145</v>
      </c>
      <c r="H577" s="3">
        <v>0.65000000000000013</v>
      </c>
      <c r="I577">
        <v>6750</v>
      </c>
      <c r="J577" s="4">
        <v>4387.5000000000009</v>
      </c>
      <c r="K577" s="4">
        <v>877.50000000000023</v>
      </c>
      <c r="L577" s="5">
        <v>0.2</v>
      </c>
      <c r="M577" t="s">
        <v>23</v>
      </c>
      <c r="N577" t="s">
        <v>364</v>
      </c>
    </row>
    <row r="578" spans="1:14">
      <c r="A578" t="s">
        <v>151</v>
      </c>
      <c r="B578">
        <v>1128299</v>
      </c>
      <c r="C578" s="2">
        <v>44544</v>
      </c>
      <c r="D578" t="s">
        <v>28</v>
      </c>
      <c r="E578" t="s">
        <v>193</v>
      </c>
      <c r="F578" t="s">
        <v>200</v>
      </c>
      <c r="G578" t="s">
        <v>146</v>
      </c>
      <c r="H578" s="3">
        <v>0.60000000000000009</v>
      </c>
      <c r="I578">
        <v>4750</v>
      </c>
      <c r="J578" s="4">
        <v>2850.0000000000005</v>
      </c>
      <c r="K578" s="4">
        <v>997.50000000000023</v>
      </c>
      <c r="L578" s="5">
        <v>0.35000000000000003</v>
      </c>
      <c r="M578" t="s">
        <v>23</v>
      </c>
      <c r="N578" t="s">
        <v>364</v>
      </c>
    </row>
    <row r="579" spans="1:14">
      <c r="A579" t="s">
        <v>151</v>
      </c>
      <c r="B579">
        <v>1128299</v>
      </c>
      <c r="C579" s="2">
        <v>44544</v>
      </c>
      <c r="D579" t="s">
        <v>28</v>
      </c>
      <c r="E579" t="s">
        <v>193</v>
      </c>
      <c r="F579" t="s">
        <v>200</v>
      </c>
      <c r="G579" t="s">
        <v>148</v>
      </c>
      <c r="H579" s="3">
        <v>0.60000000000000009</v>
      </c>
      <c r="I579">
        <v>4750</v>
      </c>
      <c r="J579" s="4">
        <v>2850.0000000000005</v>
      </c>
      <c r="K579" s="4">
        <v>855.00000000000011</v>
      </c>
      <c r="L579" s="5">
        <v>0.3</v>
      </c>
      <c r="M579" t="s">
        <v>23</v>
      </c>
      <c r="N579" t="s">
        <v>364</v>
      </c>
    </row>
    <row r="580" spans="1:14">
      <c r="A580" t="s">
        <v>151</v>
      </c>
      <c r="B580">
        <v>1128299</v>
      </c>
      <c r="C580" s="2">
        <v>44544</v>
      </c>
      <c r="D580" t="s">
        <v>28</v>
      </c>
      <c r="E580" t="s">
        <v>193</v>
      </c>
      <c r="F580" t="s">
        <v>200</v>
      </c>
      <c r="G580" t="s">
        <v>147</v>
      </c>
      <c r="H580" s="3">
        <v>0.70000000000000007</v>
      </c>
      <c r="I580">
        <v>4000</v>
      </c>
      <c r="J580" s="4">
        <v>2800.0000000000005</v>
      </c>
      <c r="K580" s="4">
        <v>1400.0000000000005</v>
      </c>
      <c r="L580" s="5">
        <v>0.50000000000000011</v>
      </c>
      <c r="M580" t="s">
        <v>23</v>
      </c>
      <c r="N580" t="s">
        <v>364</v>
      </c>
    </row>
    <row r="581" spans="1:14">
      <c r="A581" t="s">
        <v>151</v>
      </c>
      <c r="B581">
        <v>1128299</v>
      </c>
      <c r="C581" s="2">
        <v>44544</v>
      </c>
      <c r="D581" t="s">
        <v>28</v>
      </c>
      <c r="E581" t="s">
        <v>193</v>
      </c>
      <c r="F581" t="s">
        <v>200</v>
      </c>
      <c r="G581" t="s">
        <v>144</v>
      </c>
      <c r="H581" s="3">
        <v>0.75000000000000011</v>
      </c>
      <c r="I581">
        <v>5000</v>
      </c>
      <c r="J581" s="4">
        <v>3750.0000000000005</v>
      </c>
      <c r="K581" s="4">
        <v>562.50000000000011</v>
      </c>
      <c r="L581" s="5">
        <v>0.15000000000000002</v>
      </c>
      <c r="M581" t="s">
        <v>23</v>
      </c>
      <c r="N581" t="s">
        <v>364</v>
      </c>
    </row>
    <row r="582" spans="1:14">
      <c r="A582" t="s">
        <v>151</v>
      </c>
      <c r="B582">
        <v>1128299</v>
      </c>
      <c r="C582" s="2">
        <v>44201</v>
      </c>
      <c r="D582" t="s">
        <v>28</v>
      </c>
      <c r="E582" t="s">
        <v>187</v>
      </c>
      <c r="F582" t="s">
        <v>192</v>
      </c>
      <c r="G582" t="s">
        <v>27</v>
      </c>
      <c r="H582" s="3">
        <v>0.3</v>
      </c>
      <c r="I582">
        <v>4250</v>
      </c>
      <c r="J582" s="4">
        <v>1275</v>
      </c>
      <c r="K582" s="4">
        <v>446.25000000000006</v>
      </c>
      <c r="L582" s="5">
        <v>0.35000000000000003</v>
      </c>
      <c r="M582" t="s">
        <v>125</v>
      </c>
      <c r="N582" t="s">
        <v>361</v>
      </c>
    </row>
    <row r="583" spans="1:14">
      <c r="A583" t="s">
        <v>151</v>
      </c>
      <c r="B583">
        <v>1128299</v>
      </c>
      <c r="C583" s="2">
        <v>44201</v>
      </c>
      <c r="D583" t="s">
        <v>28</v>
      </c>
      <c r="E583" t="s">
        <v>187</v>
      </c>
      <c r="F583" t="s">
        <v>192</v>
      </c>
      <c r="G583" t="s">
        <v>145</v>
      </c>
      <c r="H583" s="3">
        <v>0.4</v>
      </c>
      <c r="I583">
        <v>4250</v>
      </c>
      <c r="J583" s="4">
        <v>1700</v>
      </c>
      <c r="K583" s="4">
        <v>340</v>
      </c>
      <c r="L583" s="5">
        <v>0.2</v>
      </c>
      <c r="M583" t="s">
        <v>125</v>
      </c>
      <c r="N583" t="s">
        <v>361</v>
      </c>
    </row>
    <row r="584" spans="1:14">
      <c r="A584" t="s">
        <v>151</v>
      </c>
      <c r="B584">
        <v>1128299</v>
      </c>
      <c r="C584" s="2">
        <v>44201</v>
      </c>
      <c r="D584" t="s">
        <v>28</v>
      </c>
      <c r="E584" t="s">
        <v>187</v>
      </c>
      <c r="F584" t="s">
        <v>192</v>
      </c>
      <c r="G584" t="s">
        <v>146</v>
      </c>
      <c r="H584" s="3">
        <v>0.4</v>
      </c>
      <c r="I584">
        <v>4250</v>
      </c>
      <c r="J584" s="4">
        <v>1700</v>
      </c>
      <c r="K584" s="4">
        <v>595</v>
      </c>
      <c r="L584" s="5">
        <v>0.35000000000000003</v>
      </c>
      <c r="M584" t="s">
        <v>125</v>
      </c>
      <c r="N584" t="s">
        <v>361</v>
      </c>
    </row>
    <row r="585" spans="1:14">
      <c r="A585" t="s">
        <v>151</v>
      </c>
      <c r="B585">
        <v>1128299</v>
      </c>
      <c r="C585" s="2">
        <v>44201</v>
      </c>
      <c r="D585" t="s">
        <v>28</v>
      </c>
      <c r="E585" t="s">
        <v>187</v>
      </c>
      <c r="F585" t="s">
        <v>192</v>
      </c>
      <c r="G585" t="s">
        <v>148</v>
      </c>
      <c r="H585" s="3">
        <v>0.4</v>
      </c>
      <c r="I585">
        <v>2750</v>
      </c>
      <c r="J585" s="4">
        <v>1100</v>
      </c>
      <c r="K585" s="4">
        <v>330</v>
      </c>
      <c r="L585" s="5">
        <v>0.3</v>
      </c>
      <c r="M585" t="s">
        <v>125</v>
      </c>
      <c r="N585" t="s">
        <v>361</v>
      </c>
    </row>
    <row r="586" spans="1:14">
      <c r="A586" t="s">
        <v>151</v>
      </c>
      <c r="B586">
        <v>1128299</v>
      </c>
      <c r="C586" s="2">
        <v>44201</v>
      </c>
      <c r="D586" t="s">
        <v>28</v>
      </c>
      <c r="E586" t="s">
        <v>187</v>
      </c>
      <c r="F586" t="s">
        <v>192</v>
      </c>
      <c r="G586" t="s">
        <v>147</v>
      </c>
      <c r="H586" s="3">
        <v>0.45</v>
      </c>
      <c r="I586">
        <v>2250</v>
      </c>
      <c r="J586" s="4">
        <v>1012.5</v>
      </c>
      <c r="K586" s="4">
        <v>506.25</v>
      </c>
      <c r="L586" s="5">
        <v>0.5</v>
      </c>
      <c r="M586" t="s">
        <v>125</v>
      </c>
      <c r="N586" t="s">
        <v>361</v>
      </c>
    </row>
    <row r="587" spans="1:14">
      <c r="A587" t="s">
        <v>151</v>
      </c>
      <c r="B587">
        <v>1128299</v>
      </c>
      <c r="C587" s="2">
        <v>44201</v>
      </c>
      <c r="D587" t="s">
        <v>28</v>
      </c>
      <c r="E587" t="s">
        <v>187</v>
      </c>
      <c r="F587" t="s">
        <v>192</v>
      </c>
      <c r="G587" t="s">
        <v>144</v>
      </c>
      <c r="H587" s="3">
        <v>0.4</v>
      </c>
      <c r="I587">
        <v>4750</v>
      </c>
      <c r="J587" s="4">
        <v>1900</v>
      </c>
      <c r="K587" s="4">
        <v>285.00000000000006</v>
      </c>
      <c r="L587" s="5">
        <v>0.15000000000000002</v>
      </c>
      <c r="M587" t="s">
        <v>125</v>
      </c>
      <c r="N587" t="s">
        <v>361</v>
      </c>
    </row>
    <row r="588" spans="1:14">
      <c r="A588" t="s">
        <v>151</v>
      </c>
      <c r="B588">
        <v>1128299</v>
      </c>
      <c r="C588" s="2">
        <v>44232</v>
      </c>
      <c r="D588" t="s">
        <v>28</v>
      </c>
      <c r="E588" t="s">
        <v>187</v>
      </c>
      <c r="F588" t="s">
        <v>192</v>
      </c>
      <c r="G588" t="s">
        <v>27</v>
      </c>
      <c r="H588" s="3">
        <v>0.3</v>
      </c>
      <c r="I588">
        <v>5250</v>
      </c>
      <c r="J588" s="4">
        <v>1575</v>
      </c>
      <c r="K588" s="4">
        <v>551.25</v>
      </c>
      <c r="L588" s="5">
        <v>0.35000000000000003</v>
      </c>
      <c r="M588" t="s">
        <v>126</v>
      </c>
      <c r="N588" t="s">
        <v>361</v>
      </c>
    </row>
    <row r="589" spans="1:14">
      <c r="A589" t="s">
        <v>151</v>
      </c>
      <c r="B589">
        <v>1128299</v>
      </c>
      <c r="C589" s="2">
        <v>44232</v>
      </c>
      <c r="D589" t="s">
        <v>28</v>
      </c>
      <c r="E589" t="s">
        <v>187</v>
      </c>
      <c r="F589" t="s">
        <v>192</v>
      </c>
      <c r="G589" t="s">
        <v>145</v>
      </c>
      <c r="H589" s="3">
        <v>0.4</v>
      </c>
      <c r="I589">
        <v>4250</v>
      </c>
      <c r="J589" s="4">
        <v>1700</v>
      </c>
      <c r="K589" s="4">
        <v>340</v>
      </c>
      <c r="L589" s="5">
        <v>0.2</v>
      </c>
      <c r="M589" t="s">
        <v>126</v>
      </c>
      <c r="N589" t="s">
        <v>361</v>
      </c>
    </row>
    <row r="590" spans="1:14">
      <c r="A590" t="s">
        <v>151</v>
      </c>
      <c r="B590">
        <v>1128299</v>
      </c>
      <c r="C590" s="2">
        <v>44232</v>
      </c>
      <c r="D590" t="s">
        <v>28</v>
      </c>
      <c r="E590" t="s">
        <v>187</v>
      </c>
      <c r="F590" t="s">
        <v>192</v>
      </c>
      <c r="G590" t="s">
        <v>146</v>
      </c>
      <c r="H590" s="3">
        <v>0.4</v>
      </c>
      <c r="I590">
        <v>4250</v>
      </c>
      <c r="J590" s="4">
        <v>1700</v>
      </c>
      <c r="K590" s="4">
        <v>595</v>
      </c>
      <c r="L590" s="5">
        <v>0.35000000000000003</v>
      </c>
      <c r="M590" t="s">
        <v>126</v>
      </c>
      <c r="N590" t="s">
        <v>361</v>
      </c>
    </row>
    <row r="591" spans="1:14">
      <c r="A591" t="s">
        <v>151</v>
      </c>
      <c r="B591">
        <v>1128299</v>
      </c>
      <c r="C591" s="2">
        <v>44232</v>
      </c>
      <c r="D591" t="s">
        <v>28</v>
      </c>
      <c r="E591" t="s">
        <v>187</v>
      </c>
      <c r="F591" t="s">
        <v>192</v>
      </c>
      <c r="G591" t="s">
        <v>148</v>
      </c>
      <c r="H591" s="3">
        <v>0.4</v>
      </c>
      <c r="I591">
        <v>2750</v>
      </c>
      <c r="J591" s="4">
        <v>1100</v>
      </c>
      <c r="K591" s="4">
        <v>330</v>
      </c>
      <c r="L591" s="5">
        <v>0.3</v>
      </c>
      <c r="M591" t="s">
        <v>126</v>
      </c>
      <c r="N591" t="s">
        <v>361</v>
      </c>
    </row>
    <row r="592" spans="1:14">
      <c r="A592" t="s">
        <v>151</v>
      </c>
      <c r="B592">
        <v>1128299</v>
      </c>
      <c r="C592" s="2">
        <v>44232</v>
      </c>
      <c r="D592" t="s">
        <v>28</v>
      </c>
      <c r="E592" t="s">
        <v>187</v>
      </c>
      <c r="F592" t="s">
        <v>192</v>
      </c>
      <c r="G592" t="s">
        <v>147</v>
      </c>
      <c r="H592" s="3">
        <v>0.45</v>
      </c>
      <c r="I592">
        <v>2000</v>
      </c>
      <c r="J592" s="4">
        <v>900</v>
      </c>
      <c r="K592" s="4">
        <v>450</v>
      </c>
      <c r="L592" s="5">
        <v>0.5</v>
      </c>
      <c r="M592" t="s">
        <v>126</v>
      </c>
      <c r="N592" t="s">
        <v>361</v>
      </c>
    </row>
    <row r="593" spans="1:14">
      <c r="A593" t="s">
        <v>151</v>
      </c>
      <c r="B593">
        <v>1128299</v>
      </c>
      <c r="C593" s="2">
        <v>44232</v>
      </c>
      <c r="D593" t="s">
        <v>28</v>
      </c>
      <c r="E593" t="s">
        <v>187</v>
      </c>
      <c r="F593" t="s">
        <v>192</v>
      </c>
      <c r="G593" t="s">
        <v>144</v>
      </c>
      <c r="H593" s="3">
        <v>0.4</v>
      </c>
      <c r="I593">
        <v>4000</v>
      </c>
      <c r="J593" s="4">
        <v>1600</v>
      </c>
      <c r="K593" s="4">
        <v>240.00000000000003</v>
      </c>
      <c r="L593" s="5">
        <v>0.15000000000000002</v>
      </c>
      <c r="M593" t="s">
        <v>126</v>
      </c>
      <c r="N593" t="s">
        <v>361</v>
      </c>
    </row>
    <row r="594" spans="1:14">
      <c r="A594" t="s">
        <v>151</v>
      </c>
      <c r="B594">
        <v>1128299</v>
      </c>
      <c r="C594" s="2">
        <v>44259</v>
      </c>
      <c r="D594" t="s">
        <v>28</v>
      </c>
      <c r="E594" t="s">
        <v>187</v>
      </c>
      <c r="F594" t="s">
        <v>192</v>
      </c>
      <c r="G594" t="s">
        <v>27</v>
      </c>
      <c r="H594" s="3">
        <v>0.4</v>
      </c>
      <c r="I594">
        <v>5500</v>
      </c>
      <c r="J594" s="4">
        <v>2200</v>
      </c>
      <c r="K594" s="4">
        <v>770.00000000000011</v>
      </c>
      <c r="L594" s="5">
        <v>0.35000000000000003</v>
      </c>
      <c r="M594" t="s">
        <v>24</v>
      </c>
      <c r="N594" t="s">
        <v>361</v>
      </c>
    </row>
    <row r="595" spans="1:14">
      <c r="A595" t="s">
        <v>151</v>
      </c>
      <c r="B595">
        <v>1128299</v>
      </c>
      <c r="C595" s="2">
        <v>44259</v>
      </c>
      <c r="D595" t="s">
        <v>28</v>
      </c>
      <c r="E595" t="s">
        <v>187</v>
      </c>
      <c r="F595" t="s">
        <v>192</v>
      </c>
      <c r="G595" t="s">
        <v>145</v>
      </c>
      <c r="H595" s="3">
        <v>0.49999999999999994</v>
      </c>
      <c r="I595">
        <v>4000</v>
      </c>
      <c r="J595" s="4">
        <v>1999.9999999999998</v>
      </c>
      <c r="K595" s="4">
        <v>400</v>
      </c>
      <c r="L595" s="5">
        <v>0.2</v>
      </c>
      <c r="M595" t="s">
        <v>24</v>
      </c>
      <c r="N595" t="s">
        <v>361</v>
      </c>
    </row>
    <row r="596" spans="1:14">
      <c r="A596" t="s">
        <v>151</v>
      </c>
      <c r="B596">
        <v>1128299</v>
      </c>
      <c r="C596" s="2">
        <v>44259</v>
      </c>
      <c r="D596" t="s">
        <v>28</v>
      </c>
      <c r="E596" t="s">
        <v>187</v>
      </c>
      <c r="F596" t="s">
        <v>192</v>
      </c>
      <c r="G596" t="s">
        <v>146</v>
      </c>
      <c r="H596" s="3">
        <v>0.54999999999999993</v>
      </c>
      <c r="I596">
        <v>4000</v>
      </c>
      <c r="J596" s="4">
        <v>2199.9999999999995</v>
      </c>
      <c r="K596" s="4">
        <v>769.99999999999989</v>
      </c>
      <c r="L596" s="5">
        <v>0.35000000000000003</v>
      </c>
      <c r="M596" t="s">
        <v>24</v>
      </c>
      <c r="N596" t="s">
        <v>361</v>
      </c>
    </row>
    <row r="597" spans="1:14">
      <c r="A597" t="s">
        <v>151</v>
      </c>
      <c r="B597">
        <v>1128299</v>
      </c>
      <c r="C597" s="2">
        <v>44259</v>
      </c>
      <c r="D597" t="s">
        <v>28</v>
      </c>
      <c r="E597" t="s">
        <v>187</v>
      </c>
      <c r="F597" t="s">
        <v>192</v>
      </c>
      <c r="G597" t="s">
        <v>148</v>
      </c>
      <c r="H597" s="3">
        <v>0.54999999999999993</v>
      </c>
      <c r="I597">
        <v>3000</v>
      </c>
      <c r="J597" s="4">
        <v>1649.9999999999998</v>
      </c>
      <c r="K597" s="4">
        <v>494.99999999999989</v>
      </c>
      <c r="L597" s="5">
        <v>0.3</v>
      </c>
      <c r="M597" t="s">
        <v>24</v>
      </c>
      <c r="N597" t="s">
        <v>361</v>
      </c>
    </row>
    <row r="598" spans="1:14">
      <c r="A598" t="s">
        <v>151</v>
      </c>
      <c r="B598">
        <v>1128299</v>
      </c>
      <c r="C598" s="2">
        <v>44259</v>
      </c>
      <c r="D598" t="s">
        <v>28</v>
      </c>
      <c r="E598" t="s">
        <v>187</v>
      </c>
      <c r="F598" t="s">
        <v>192</v>
      </c>
      <c r="G598" t="s">
        <v>147</v>
      </c>
      <c r="H598" s="3">
        <v>0.6</v>
      </c>
      <c r="I598">
        <v>1500</v>
      </c>
      <c r="J598" s="4">
        <v>900</v>
      </c>
      <c r="K598" s="4">
        <v>450</v>
      </c>
      <c r="L598" s="5">
        <v>0.5</v>
      </c>
      <c r="M598" t="s">
        <v>24</v>
      </c>
      <c r="N598" t="s">
        <v>361</v>
      </c>
    </row>
    <row r="599" spans="1:14">
      <c r="A599" t="s">
        <v>151</v>
      </c>
      <c r="B599">
        <v>1128299</v>
      </c>
      <c r="C599" s="2">
        <v>44259</v>
      </c>
      <c r="D599" t="s">
        <v>28</v>
      </c>
      <c r="E599" t="s">
        <v>187</v>
      </c>
      <c r="F599" t="s">
        <v>192</v>
      </c>
      <c r="G599" t="s">
        <v>144</v>
      </c>
      <c r="H599" s="3">
        <v>0.54999999999999993</v>
      </c>
      <c r="I599">
        <v>3500</v>
      </c>
      <c r="J599" s="4">
        <v>1924.9999999999998</v>
      </c>
      <c r="K599" s="4">
        <v>288.75</v>
      </c>
      <c r="L599" s="5">
        <v>0.15000000000000002</v>
      </c>
      <c r="M599" t="s">
        <v>24</v>
      </c>
      <c r="N599" t="s">
        <v>361</v>
      </c>
    </row>
    <row r="600" spans="1:14">
      <c r="A600" t="s">
        <v>151</v>
      </c>
      <c r="B600">
        <v>1128299</v>
      </c>
      <c r="C600" s="2">
        <v>44291</v>
      </c>
      <c r="D600" t="s">
        <v>28</v>
      </c>
      <c r="E600" t="s">
        <v>187</v>
      </c>
      <c r="F600" t="s">
        <v>192</v>
      </c>
      <c r="G600" t="s">
        <v>27</v>
      </c>
      <c r="H600" s="3">
        <v>0.6</v>
      </c>
      <c r="I600">
        <v>5250</v>
      </c>
      <c r="J600" s="4">
        <v>3150</v>
      </c>
      <c r="K600" s="4">
        <v>1102.5</v>
      </c>
      <c r="L600" s="5">
        <v>0.35000000000000003</v>
      </c>
      <c r="M600" t="s">
        <v>127</v>
      </c>
      <c r="N600" t="s">
        <v>362</v>
      </c>
    </row>
    <row r="601" spans="1:14">
      <c r="A601" t="s">
        <v>151</v>
      </c>
      <c r="B601">
        <v>1128299</v>
      </c>
      <c r="C601" s="2">
        <v>44291</v>
      </c>
      <c r="D601" t="s">
        <v>28</v>
      </c>
      <c r="E601" t="s">
        <v>187</v>
      </c>
      <c r="F601" t="s">
        <v>192</v>
      </c>
      <c r="G601" t="s">
        <v>145</v>
      </c>
      <c r="H601" s="3">
        <v>0.65</v>
      </c>
      <c r="I601">
        <v>3250</v>
      </c>
      <c r="J601" s="4">
        <v>2112.5</v>
      </c>
      <c r="K601" s="4">
        <v>422.5</v>
      </c>
      <c r="L601" s="5">
        <v>0.2</v>
      </c>
      <c r="M601" t="s">
        <v>127</v>
      </c>
      <c r="N601" t="s">
        <v>362</v>
      </c>
    </row>
    <row r="602" spans="1:14">
      <c r="A602" t="s">
        <v>151</v>
      </c>
      <c r="B602">
        <v>1128299</v>
      </c>
      <c r="C602" s="2">
        <v>44291</v>
      </c>
      <c r="D602" t="s">
        <v>28</v>
      </c>
      <c r="E602" t="s">
        <v>187</v>
      </c>
      <c r="F602" t="s">
        <v>192</v>
      </c>
      <c r="G602" t="s">
        <v>146</v>
      </c>
      <c r="H602" s="3">
        <v>0.65</v>
      </c>
      <c r="I602">
        <v>3750</v>
      </c>
      <c r="J602" s="4">
        <v>2437.5</v>
      </c>
      <c r="K602" s="4">
        <v>853.12500000000011</v>
      </c>
      <c r="L602" s="5">
        <v>0.35000000000000003</v>
      </c>
      <c r="M602" t="s">
        <v>127</v>
      </c>
      <c r="N602" t="s">
        <v>362</v>
      </c>
    </row>
    <row r="603" spans="1:14">
      <c r="A603" t="s">
        <v>151</v>
      </c>
      <c r="B603">
        <v>1128299</v>
      </c>
      <c r="C603" s="2">
        <v>44291</v>
      </c>
      <c r="D603" t="s">
        <v>28</v>
      </c>
      <c r="E603" t="s">
        <v>187</v>
      </c>
      <c r="F603" t="s">
        <v>192</v>
      </c>
      <c r="G603" t="s">
        <v>148</v>
      </c>
      <c r="H603" s="3">
        <v>0.6</v>
      </c>
      <c r="I603">
        <v>2750</v>
      </c>
      <c r="J603" s="4">
        <v>1650</v>
      </c>
      <c r="K603" s="4">
        <v>495</v>
      </c>
      <c r="L603" s="5">
        <v>0.3</v>
      </c>
      <c r="M603" t="s">
        <v>127</v>
      </c>
      <c r="N603" t="s">
        <v>362</v>
      </c>
    </row>
    <row r="604" spans="1:14">
      <c r="A604" t="s">
        <v>151</v>
      </c>
      <c r="B604">
        <v>1128299</v>
      </c>
      <c r="C604" s="2">
        <v>44291</v>
      </c>
      <c r="D604" t="s">
        <v>28</v>
      </c>
      <c r="E604" t="s">
        <v>187</v>
      </c>
      <c r="F604" t="s">
        <v>192</v>
      </c>
      <c r="G604" t="s">
        <v>147</v>
      </c>
      <c r="H604" s="3">
        <v>0.65</v>
      </c>
      <c r="I604">
        <v>1750</v>
      </c>
      <c r="J604" s="4">
        <v>1137.5</v>
      </c>
      <c r="K604" s="4">
        <v>568.75</v>
      </c>
      <c r="L604" s="5">
        <v>0.5</v>
      </c>
      <c r="M604" t="s">
        <v>127</v>
      </c>
      <c r="N604" t="s">
        <v>362</v>
      </c>
    </row>
    <row r="605" spans="1:14">
      <c r="A605" t="s">
        <v>151</v>
      </c>
      <c r="B605">
        <v>1128299</v>
      </c>
      <c r="C605" s="2">
        <v>44291</v>
      </c>
      <c r="D605" t="s">
        <v>28</v>
      </c>
      <c r="E605" t="s">
        <v>187</v>
      </c>
      <c r="F605" t="s">
        <v>192</v>
      </c>
      <c r="G605" t="s">
        <v>144</v>
      </c>
      <c r="H605" s="3">
        <v>0.8</v>
      </c>
      <c r="I605">
        <v>3250</v>
      </c>
      <c r="J605" s="4">
        <v>2600</v>
      </c>
      <c r="K605" s="4">
        <v>390.00000000000006</v>
      </c>
      <c r="L605" s="5">
        <v>0.15000000000000002</v>
      </c>
      <c r="M605" t="s">
        <v>127</v>
      </c>
      <c r="N605" t="s">
        <v>362</v>
      </c>
    </row>
    <row r="606" spans="1:14">
      <c r="A606" t="s">
        <v>151</v>
      </c>
      <c r="B606">
        <v>1128299</v>
      </c>
      <c r="C606" s="2">
        <v>44322</v>
      </c>
      <c r="D606" t="s">
        <v>28</v>
      </c>
      <c r="E606" t="s">
        <v>187</v>
      </c>
      <c r="F606" t="s">
        <v>192</v>
      </c>
      <c r="G606" t="s">
        <v>27</v>
      </c>
      <c r="H606" s="3">
        <v>0.6</v>
      </c>
      <c r="I606">
        <v>5250</v>
      </c>
      <c r="J606" s="4">
        <v>3150</v>
      </c>
      <c r="K606" s="4">
        <v>1575</v>
      </c>
      <c r="L606" s="5">
        <v>0.5</v>
      </c>
      <c r="M606" t="s">
        <v>128</v>
      </c>
      <c r="N606" t="s">
        <v>362</v>
      </c>
    </row>
    <row r="607" spans="1:14">
      <c r="A607" t="s">
        <v>151</v>
      </c>
      <c r="B607">
        <v>1128299</v>
      </c>
      <c r="C607" s="2">
        <v>44322</v>
      </c>
      <c r="D607" t="s">
        <v>28</v>
      </c>
      <c r="E607" t="s">
        <v>187</v>
      </c>
      <c r="F607" t="s">
        <v>192</v>
      </c>
      <c r="G607" t="s">
        <v>145</v>
      </c>
      <c r="H607" s="3">
        <v>0.65</v>
      </c>
      <c r="I607">
        <v>3750</v>
      </c>
      <c r="J607" s="4">
        <v>2437.5</v>
      </c>
      <c r="K607" s="4">
        <v>853.125</v>
      </c>
      <c r="L607" s="5">
        <v>0.35</v>
      </c>
      <c r="M607" t="s">
        <v>128</v>
      </c>
      <c r="N607" t="s">
        <v>362</v>
      </c>
    </row>
    <row r="608" spans="1:14">
      <c r="A608" t="s">
        <v>151</v>
      </c>
      <c r="B608">
        <v>1128299</v>
      </c>
      <c r="C608" s="2">
        <v>44322</v>
      </c>
      <c r="D608" t="s">
        <v>28</v>
      </c>
      <c r="E608" t="s">
        <v>187</v>
      </c>
      <c r="F608" t="s">
        <v>192</v>
      </c>
      <c r="G608" t="s">
        <v>146</v>
      </c>
      <c r="H608" s="3">
        <v>0.65</v>
      </c>
      <c r="I608">
        <v>3750</v>
      </c>
      <c r="J608" s="4">
        <v>2437.5</v>
      </c>
      <c r="K608" s="4">
        <v>1218.75</v>
      </c>
      <c r="L608" s="5">
        <v>0.5</v>
      </c>
      <c r="M608" t="s">
        <v>128</v>
      </c>
      <c r="N608" t="s">
        <v>362</v>
      </c>
    </row>
    <row r="609" spans="1:14">
      <c r="A609" t="s">
        <v>151</v>
      </c>
      <c r="B609">
        <v>1128299</v>
      </c>
      <c r="C609" s="2">
        <v>44322</v>
      </c>
      <c r="D609" t="s">
        <v>28</v>
      </c>
      <c r="E609" t="s">
        <v>187</v>
      </c>
      <c r="F609" t="s">
        <v>192</v>
      </c>
      <c r="G609" t="s">
        <v>148</v>
      </c>
      <c r="H609" s="3">
        <v>0.6</v>
      </c>
      <c r="I609">
        <v>2750</v>
      </c>
      <c r="J609" s="4">
        <v>1650</v>
      </c>
      <c r="K609" s="4">
        <v>742.49999999999989</v>
      </c>
      <c r="L609" s="5">
        <v>0.44999999999999996</v>
      </c>
      <c r="M609" t="s">
        <v>128</v>
      </c>
      <c r="N609" t="s">
        <v>362</v>
      </c>
    </row>
    <row r="610" spans="1:14">
      <c r="A610" t="s">
        <v>151</v>
      </c>
      <c r="B610">
        <v>1128299</v>
      </c>
      <c r="C610" s="2">
        <v>44322</v>
      </c>
      <c r="D610" t="s">
        <v>28</v>
      </c>
      <c r="E610" t="s">
        <v>187</v>
      </c>
      <c r="F610" t="s">
        <v>192</v>
      </c>
      <c r="G610" t="s">
        <v>147</v>
      </c>
      <c r="H610" s="3">
        <v>0.65</v>
      </c>
      <c r="I610">
        <v>1750</v>
      </c>
      <c r="J610" s="4">
        <v>1137.5</v>
      </c>
      <c r="K610" s="4">
        <v>739.37500000000011</v>
      </c>
      <c r="L610" s="5">
        <v>0.65000000000000013</v>
      </c>
      <c r="M610" t="s">
        <v>128</v>
      </c>
      <c r="N610" t="s">
        <v>362</v>
      </c>
    </row>
    <row r="611" spans="1:14">
      <c r="A611" t="s">
        <v>151</v>
      </c>
      <c r="B611">
        <v>1128299</v>
      </c>
      <c r="C611" s="2">
        <v>44322</v>
      </c>
      <c r="D611" t="s">
        <v>28</v>
      </c>
      <c r="E611" t="s">
        <v>187</v>
      </c>
      <c r="F611" t="s">
        <v>192</v>
      </c>
      <c r="G611" t="s">
        <v>144</v>
      </c>
      <c r="H611" s="3">
        <v>0.8</v>
      </c>
      <c r="I611">
        <v>4750</v>
      </c>
      <c r="J611" s="4">
        <v>3800</v>
      </c>
      <c r="K611" s="4">
        <v>1140</v>
      </c>
      <c r="L611" s="5">
        <v>0.3</v>
      </c>
      <c r="M611" t="s">
        <v>128</v>
      </c>
      <c r="N611" t="s">
        <v>362</v>
      </c>
    </row>
    <row r="612" spans="1:14">
      <c r="A612" t="s">
        <v>151</v>
      </c>
      <c r="B612">
        <v>1128299</v>
      </c>
      <c r="C612" s="2">
        <v>44352</v>
      </c>
      <c r="D612" t="s">
        <v>28</v>
      </c>
      <c r="E612" t="s">
        <v>187</v>
      </c>
      <c r="F612" t="s">
        <v>192</v>
      </c>
      <c r="G612" t="s">
        <v>27</v>
      </c>
      <c r="H612" s="3">
        <v>0.6</v>
      </c>
      <c r="I612">
        <v>7250</v>
      </c>
      <c r="J612" s="4">
        <v>4350</v>
      </c>
      <c r="K612" s="4">
        <v>2175</v>
      </c>
      <c r="L612" s="5">
        <v>0.5</v>
      </c>
      <c r="M612" t="s">
        <v>129</v>
      </c>
      <c r="N612" t="s">
        <v>362</v>
      </c>
    </row>
    <row r="613" spans="1:14">
      <c r="A613" t="s">
        <v>151</v>
      </c>
      <c r="B613">
        <v>1128299</v>
      </c>
      <c r="C613" s="2">
        <v>44352</v>
      </c>
      <c r="D613" t="s">
        <v>28</v>
      </c>
      <c r="E613" t="s">
        <v>187</v>
      </c>
      <c r="F613" t="s">
        <v>192</v>
      </c>
      <c r="G613" t="s">
        <v>145</v>
      </c>
      <c r="H613" s="3">
        <v>0.65</v>
      </c>
      <c r="I613">
        <v>5750</v>
      </c>
      <c r="J613" s="4">
        <v>3737.5</v>
      </c>
      <c r="K613" s="4">
        <v>1308.125</v>
      </c>
      <c r="L613" s="5">
        <v>0.35</v>
      </c>
      <c r="M613" t="s">
        <v>129</v>
      </c>
      <c r="N613" t="s">
        <v>362</v>
      </c>
    </row>
    <row r="614" spans="1:14">
      <c r="A614" t="s">
        <v>151</v>
      </c>
      <c r="B614">
        <v>1128299</v>
      </c>
      <c r="C614" s="2">
        <v>44352</v>
      </c>
      <c r="D614" t="s">
        <v>28</v>
      </c>
      <c r="E614" t="s">
        <v>187</v>
      </c>
      <c r="F614" t="s">
        <v>192</v>
      </c>
      <c r="G614" t="s">
        <v>146</v>
      </c>
      <c r="H614" s="3">
        <v>0.65</v>
      </c>
      <c r="I614">
        <v>5750</v>
      </c>
      <c r="J614" s="4">
        <v>3737.5</v>
      </c>
      <c r="K614" s="4">
        <v>1868.75</v>
      </c>
      <c r="L614" s="5">
        <v>0.5</v>
      </c>
      <c r="M614" t="s">
        <v>129</v>
      </c>
      <c r="N614" t="s">
        <v>362</v>
      </c>
    </row>
    <row r="615" spans="1:14">
      <c r="A615" t="s">
        <v>151</v>
      </c>
      <c r="B615">
        <v>1128299</v>
      </c>
      <c r="C615" s="2">
        <v>44352</v>
      </c>
      <c r="D615" t="s">
        <v>28</v>
      </c>
      <c r="E615" t="s">
        <v>187</v>
      </c>
      <c r="F615" t="s">
        <v>192</v>
      </c>
      <c r="G615" t="s">
        <v>148</v>
      </c>
      <c r="H615" s="3">
        <v>0.65</v>
      </c>
      <c r="I615">
        <v>4500</v>
      </c>
      <c r="J615" s="4">
        <v>2925</v>
      </c>
      <c r="K615" s="4">
        <v>1316.2499999999998</v>
      </c>
      <c r="L615" s="5">
        <v>0.44999999999999996</v>
      </c>
      <c r="M615" t="s">
        <v>129</v>
      </c>
      <c r="N615" t="s">
        <v>362</v>
      </c>
    </row>
    <row r="616" spans="1:14">
      <c r="A616" t="s">
        <v>151</v>
      </c>
      <c r="B616">
        <v>1128299</v>
      </c>
      <c r="C616" s="2">
        <v>44352</v>
      </c>
      <c r="D616" t="s">
        <v>28</v>
      </c>
      <c r="E616" t="s">
        <v>187</v>
      </c>
      <c r="F616" t="s">
        <v>192</v>
      </c>
      <c r="G616" t="s">
        <v>147</v>
      </c>
      <c r="H616" s="3">
        <v>0.70000000000000007</v>
      </c>
      <c r="I616">
        <v>3250</v>
      </c>
      <c r="J616" s="4">
        <v>2275</v>
      </c>
      <c r="K616" s="4">
        <v>1478.7500000000002</v>
      </c>
      <c r="L616" s="5">
        <v>0.65000000000000013</v>
      </c>
      <c r="M616" t="s">
        <v>129</v>
      </c>
      <c r="N616" t="s">
        <v>362</v>
      </c>
    </row>
    <row r="617" spans="1:14">
      <c r="A617" t="s">
        <v>151</v>
      </c>
      <c r="B617">
        <v>1128299</v>
      </c>
      <c r="C617" s="2">
        <v>44352</v>
      </c>
      <c r="D617" t="s">
        <v>28</v>
      </c>
      <c r="E617" t="s">
        <v>187</v>
      </c>
      <c r="F617" t="s">
        <v>192</v>
      </c>
      <c r="G617" t="s">
        <v>144</v>
      </c>
      <c r="H617" s="3">
        <v>0.85000000000000009</v>
      </c>
      <c r="I617">
        <v>6250</v>
      </c>
      <c r="J617" s="4">
        <v>5312.5000000000009</v>
      </c>
      <c r="K617" s="4">
        <v>1593.7500000000002</v>
      </c>
      <c r="L617" s="5">
        <v>0.3</v>
      </c>
      <c r="M617" t="s">
        <v>129</v>
      </c>
      <c r="N617" t="s">
        <v>362</v>
      </c>
    </row>
    <row r="618" spans="1:14">
      <c r="A618" t="s">
        <v>151</v>
      </c>
      <c r="B618">
        <v>1128299</v>
      </c>
      <c r="C618" s="2">
        <v>44381</v>
      </c>
      <c r="D618" t="s">
        <v>28</v>
      </c>
      <c r="E618" t="s">
        <v>187</v>
      </c>
      <c r="F618" t="s">
        <v>192</v>
      </c>
      <c r="G618" t="s">
        <v>27</v>
      </c>
      <c r="H618" s="3">
        <v>0.65</v>
      </c>
      <c r="I618">
        <v>7750</v>
      </c>
      <c r="J618" s="4">
        <v>5037.5</v>
      </c>
      <c r="K618" s="4">
        <v>2266.875</v>
      </c>
      <c r="L618" s="5">
        <v>0.45</v>
      </c>
      <c r="M618" t="s">
        <v>130</v>
      </c>
      <c r="N618" t="s">
        <v>363</v>
      </c>
    </row>
    <row r="619" spans="1:14">
      <c r="A619" t="s">
        <v>151</v>
      </c>
      <c r="B619">
        <v>1128299</v>
      </c>
      <c r="C619" s="2">
        <v>44381</v>
      </c>
      <c r="D619" t="s">
        <v>28</v>
      </c>
      <c r="E619" t="s">
        <v>187</v>
      </c>
      <c r="F619" t="s">
        <v>192</v>
      </c>
      <c r="G619" t="s">
        <v>145</v>
      </c>
      <c r="H619" s="3">
        <v>0.70000000000000007</v>
      </c>
      <c r="I619">
        <v>6250</v>
      </c>
      <c r="J619" s="4">
        <v>4375</v>
      </c>
      <c r="K619" s="4">
        <v>1312.5</v>
      </c>
      <c r="L619" s="5">
        <v>0.3</v>
      </c>
      <c r="M619" t="s">
        <v>130</v>
      </c>
      <c r="N619" t="s">
        <v>363</v>
      </c>
    </row>
    <row r="620" spans="1:14">
      <c r="A620" t="s">
        <v>151</v>
      </c>
      <c r="B620">
        <v>1128299</v>
      </c>
      <c r="C620" s="2">
        <v>44381</v>
      </c>
      <c r="D620" t="s">
        <v>28</v>
      </c>
      <c r="E620" t="s">
        <v>187</v>
      </c>
      <c r="F620" t="s">
        <v>192</v>
      </c>
      <c r="G620" t="s">
        <v>146</v>
      </c>
      <c r="H620" s="3">
        <v>0.70000000000000007</v>
      </c>
      <c r="I620">
        <v>5750</v>
      </c>
      <c r="J620" s="4">
        <v>4025.0000000000005</v>
      </c>
      <c r="K620" s="4">
        <v>1811.2500000000002</v>
      </c>
      <c r="L620" s="5">
        <v>0.45</v>
      </c>
      <c r="M620" t="s">
        <v>130</v>
      </c>
      <c r="N620" t="s">
        <v>363</v>
      </c>
    </row>
    <row r="621" spans="1:14">
      <c r="A621" t="s">
        <v>151</v>
      </c>
      <c r="B621">
        <v>1128299</v>
      </c>
      <c r="C621" s="2">
        <v>44381</v>
      </c>
      <c r="D621" t="s">
        <v>28</v>
      </c>
      <c r="E621" t="s">
        <v>187</v>
      </c>
      <c r="F621" t="s">
        <v>192</v>
      </c>
      <c r="G621" t="s">
        <v>148</v>
      </c>
      <c r="H621" s="3">
        <v>0.65</v>
      </c>
      <c r="I621">
        <v>4750</v>
      </c>
      <c r="J621" s="4">
        <v>3087.5</v>
      </c>
      <c r="K621" s="4">
        <v>1235</v>
      </c>
      <c r="L621" s="5">
        <v>0.39999999999999997</v>
      </c>
      <c r="M621" t="s">
        <v>130</v>
      </c>
      <c r="N621" t="s">
        <v>363</v>
      </c>
    </row>
    <row r="622" spans="1:14">
      <c r="A622" t="s">
        <v>151</v>
      </c>
      <c r="B622">
        <v>1128299</v>
      </c>
      <c r="C622" s="2">
        <v>44381</v>
      </c>
      <c r="D622" t="s">
        <v>28</v>
      </c>
      <c r="E622" t="s">
        <v>187</v>
      </c>
      <c r="F622" t="s">
        <v>192</v>
      </c>
      <c r="G622" t="s">
        <v>147</v>
      </c>
      <c r="H622" s="3">
        <v>0.70000000000000007</v>
      </c>
      <c r="I622">
        <v>5250</v>
      </c>
      <c r="J622" s="4">
        <v>3675.0000000000005</v>
      </c>
      <c r="K622" s="4">
        <v>2205.0000000000005</v>
      </c>
      <c r="L622" s="5">
        <v>0.60000000000000009</v>
      </c>
      <c r="M622" t="s">
        <v>130</v>
      </c>
      <c r="N622" t="s">
        <v>363</v>
      </c>
    </row>
    <row r="623" spans="1:14">
      <c r="A623" t="s">
        <v>151</v>
      </c>
      <c r="B623">
        <v>1128299</v>
      </c>
      <c r="C623" s="2">
        <v>44381</v>
      </c>
      <c r="D623" t="s">
        <v>28</v>
      </c>
      <c r="E623" t="s">
        <v>187</v>
      </c>
      <c r="F623" t="s">
        <v>192</v>
      </c>
      <c r="G623" t="s">
        <v>144</v>
      </c>
      <c r="H623" s="3">
        <v>0.85000000000000009</v>
      </c>
      <c r="I623">
        <v>5250</v>
      </c>
      <c r="J623" s="4">
        <v>4462.5000000000009</v>
      </c>
      <c r="K623" s="4">
        <v>1115.6250000000002</v>
      </c>
      <c r="L623" s="5">
        <v>0.25</v>
      </c>
      <c r="M623" t="s">
        <v>130</v>
      </c>
      <c r="N623" t="s">
        <v>363</v>
      </c>
    </row>
    <row r="624" spans="1:14">
      <c r="A624" t="s">
        <v>151</v>
      </c>
      <c r="B624">
        <v>1128299</v>
      </c>
      <c r="C624" s="2">
        <v>44413</v>
      </c>
      <c r="D624" t="s">
        <v>28</v>
      </c>
      <c r="E624" t="s">
        <v>187</v>
      </c>
      <c r="F624" t="s">
        <v>192</v>
      </c>
      <c r="G624" t="s">
        <v>27</v>
      </c>
      <c r="H624" s="3">
        <v>0.70000000000000007</v>
      </c>
      <c r="I624">
        <v>7250</v>
      </c>
      <c r="J624" s="4">
        <v>5075.0000000000009</v>
      </c>
      <c r="K624" s="4">
        <v>2283.7500000000005</v>
      </c>
      <c r="L624" s="5">
        <v>0.45</v>
      </c>
      <c r="M624" t="s">
        <v>131</v>
      </c>
      <c r="N624" t="s">
        <v>363</v>
      </c>
    </row>
    <row r="625" spans="1:14">
      <c r="A625" t="s">
        <v>151</v>
      </c>
      <c r="B625">
        <v>1128299</v>
      </c>
      <c r="C625" s="2">
        <v>44413</v>
      </c>
      <c r="D625" t="s">
        <v>28</v>
      </c>
      <c r="E625" t="s">
        <v>187</v>
      </c>
      <c r="F625" t="s">
        <v>192</v>
      </c>
      <c r="G625" t="s">
        <v>145</v>
      </c>
      <c r="H625" s="3">
        <v>0.75000000000000011</v>
      </c>
      <c r="I625">
        <v>6750</v>
      </c>
      <c r="J625" s="4">
        <v>5062.5000000000009</v>
      </c>
      <c r="K625" s="4">
        <v>1518.7500000000002</v>
      </c>
      <c r="L625" s="5">
        <v>0.3</v>
      </c>
      <c r="M625" t="s">
        <v>131</v>
      </c>
      <c r="N625" t="s">
        <v>363</v>
      </c>
    </row>
    <row r="626" spans="1:14">
      <c r="A626" t="s">
        <v>151</v>
      </c>
      <c r="B626">
        <v>1128299</v>
      </c>
      <c r="C626" s="2">
        <v>44413</v>
      </c>
      <c r="D626" t="s">
        <v>28</v>
      </c>
      <c r="E626" t="s">
        <v>187</v>
      </c>
      <c r="F626" t="s">
        <v>192</v>
      </c>
      <c r="G626" t="s">
        <v>146</v>
      </c>
      <c r="H626" s="3">
        <v>0.70000000000000007</v>
      </c>
      <c r="I626">
        <v>5500</v>
      </c>
      <c r="J626" s="4">
        <v>3850.0000000000005</v>
      </c>
      <c r="K626" s="4">
        <v>1732.5000000000002</v>
      </c>
      <c r="L626" s="5">
        <v>0.45</v>
      </c>
      <c r="M626" t="s">
        <v>131</v>
      </c>
      <c r="N626" t="s">
        <v>363</v>
      </c>
    </row>
    <row r="627" spans="1:14">
      <c r="A627" t="s">
        <v>151</v>
      </c>
      <c r="B627">
        <v>1128299</v>
      </c>
      <c r="C627" s="2">
        <v>44413</v>
      </c>
      <c r="D627" t="s">
        <v>28</v>
      </c>
      <c r="E627" t="s">
        <v>187</v>
      </c>
      <c r="F627" t="s">
        <v>192</v>
      </c>
      <c r="G627" t="s">
        <v>148</v>
      </c>
      <c r="H627" s="3">
        <v>0.70000000000000007</v>
      </c>
      <c r="I627">
        <v>5000</v>
      </c>
      <c r="J627" s="4">
        <v>3500.0000000000005</v>
      </c>
      <c r="K627" s="4">
        <v>1400</v>
      </c>
      <c r="L627" s="5">
        <v>0.39999999999999997</v>
      </c>
      <c r="M627" t="s">
        <v>131</v>
      </c>
      <c r="N627" t="s">
        <v>363</v>
      </c>
    </row>
    <row r="628" spans="1:14">
      <c r="A628" t="s">
        <v>151</v>
      </c>
      <c r="B628">
        <v>1128299</v>
      </c>
      <c r="C628" s="2">
        <v>44413</v>
      </c>
      <c r="D628" t="s">
        <v>28</v>
      </c>
      <c r="E628" t="s">
        <v>187</v>
      </c>
      <c r="F628" t="s">
        <v>192</v>
      </c>
      <c r="G628" t="s">
        <v>147</v>
      </c>
      <c r="H628" s="3">
        <v>0.75</v>
      </c>
      <c r="I628">
        <v>5000</v>
      </c>
      <c r="J628" s="4">
        <v>3750</v>
      </c>
      <c r="K628" s="4">
        <v>2250.0000000000005</v>
      </c>
      <c r="L628" s="5">
        <v>0.60000000000000009</v>
      </c>
      <c r="M628" t="s">
        <v>131</v>
      </c>
      <c r="N628" t="s">
        <v>363</v>
      </c>
    </row>
    <row r="629" spans="1:14">
      <c r="A629" t="s">
        <v>151</v>
      </c>
      <c r="B629">
        <v>1128299</v>
      </c>
      <c r="C629" s="2">
        <v>44413</v>
      </c>
      <c r="D629" t="s">
        <v>28</v>
      </c>
      <c r="E629" t="s">
        <v>187</v>
      </c>
      <c r="F629" t="s">
        <v>192</v>
      </c>
      <c r="G629" t="s">
        <v>144</v>
      </c>
      <c r="H629" s="3">
        <v>0.8</v>
      </c>
      <c r="I629">
        <v>4000</v>
      </c>
      <c r="J629" s="4">
        <v>3200</v>
      </c>
      <c r="K629" s="4">
        <v>800</v>
      </c>
      <c r="L629" s="5">
        <v>0.25</v>
      </c>
      <c r="M629" t="s">
        <v>131</v>
      </c>
      <c r="N629" t="s">
        <v>363</v>
      </c>
    </row>
    <row r="630" spans="1:14">
      <c r="A630" t="s">
        <v>151</v>
      </c>
      <c r="B630">
        <v>1128299</v>
      </c>
      <c r="C630" s="2">
        <v>44445</v>
      </c>
      <c r="D630" t="s">
        <v>28</v>
      </c>
      <c r="E630" t="s">
        <v>187</v>
      </c>
      <c r="F630" t="s">
        <v>192</v>
      </c>
      <c r="G630" t="s">
        <v>27</v>
      </c>
      <c r="H630" s="3">
        <v>0.65000000000000013</v>
      </c>
      <c r="I630">
        <v>6000</v>
      </c>
      <c r="J630" s="4">
        <v>3900.0000000000009</v>
      </c>
      <c r="K630" s="4">
        <v>1560.0000000000005</v>
      </c>
      <c r="L630" s="5">
        <v>0.4</v>
      </c>
      <c r="M630" t="s">
        <v>132</v>
      </c>
      <c r="N630" t="s">
        <v>363</v>
      </c>
    </row>
    <row r="631" spans="1:14">
      <c r="A631" t="s">
        <v>151</v>
      </c>
      <c r="B631">
        <v>1128299</v>
      </c>
      <c r="C631" s="2">
        <v>44445</v>
      </c>
      <c r="D631" t="s">
        <v>28</v>
      </c>
      <c r="E631" t="s">
        <v>187</v>
      </c>
      <c r="F631" t="s">
        <v>192</v>
      </c>
      <c r="G631" t="s">
        <v>145</v>
      </c>
      <c r="H631" s="3">
        <v>0.70000000000000018</v>
      </c>
      <c r="I631">
        <v>6000</v>
      </c>
      <c r="J631" s="4">
        <v>4200.0000000000009</v>
      </c>
      <c r="K631" s="4">
        <v>1050.0000000000002</v>
      </c>
      <c r="L631" s="5">
        <v>0.25</v>
      </c>
      <c r="M631" t="s">
        <v>132</v>
      </c>
      <c r="N631" t="s">
        <v>363</v>
      </c>
    </row>
    <row r="632" spans="1:14">
      <c r="A632" t="s">
        <v>151</v>
      </c>
      <c r="B632">
        <v>1128299</v>
      </c>
      <c r="C632" s="2">
        <v>44445</v>
      </c>
      <c r="D632" t="s">
        <v>28</v>
      </c>
      <c r="E632" t="s">
        <v>187</v>
      </c>
      <c r="F632" t="s">
        <v>192</v>
      </c>
      <c r="G632" t="s">
        <v>146</v>
      </c>
      <c r="H632" s="3">
        <v>0.65000000000000013</v>
      </c>
      <c r="I632">
        <v>4500</v>
      </c>
      <c r="J632" s="4">
        <v>2925.0000000000005</v>
      </c>
      <c r="K632" s="4">
        <v>1170.0000000000002</v>
      </c>
      <c r="L632" s="5">
        <v>0.4</v>
      </c>
      <c r="M632" t="s">
        <v>132</v>
      </c>
      <c r="N632" t="s">
        <v>363</v>
      </c>
    </row>
    <row r="633" spans="1:14">
      <c r="A633" t="s">
        <v>151</v>
      </c>
      <c r="B633">
        <v>1128299</v>
      </c>
      <c r="C633" s="2">
        <v>44445</v>
      </c>
      <c r="D633" t="s">
        <v>28</v>
      </c>
      <c r="E633" t="s">
        <v>187</v>
      </c>
      <c r="F633" t="s">
        <v>192</v>
      </c>
      <c r="G633" t="s">
        <v>148</v>
      </c>
      <c r="H633" s="3">
        <v>0.65000000000000013</v>
      </c>
      <c r="I633">
        <v>4000</v>
      </c>
      <c r="J633" s="4">
        <v>2600.0000000000005</v>
      </c>
      <c r="K633" s="4">
        <v>910.00000000000011</v>
      </c>
      <c r="L633" s="5">
        <v>0.35</v>
      </c>
      <c r="M633" t="s">
        <v>132</v>
      </c>
      <c r="N633" t="s">
        <v>363</v>
      </c>
    </row>
    <row r="634" spans="1:14">
      <c r="A634" t="s">
        <v>151</v>
      </c>
      <c r="B634">
        <v>1128299</v>
      </c>
      <c r="C634" s="2">
        <v>44445</v>
      </c>
      <c r="D634" t="s">
        <v>28</v>
      </c>
      <c r="E634" t="s">
        <v>187</v>
      </c>
      <c r="F634" t="s">
        <v>192</v>
      </c>
      <c r="G634" t="s">
        <v>147</v>
      </c>
      <c r="H634" s="3">
        <v>0.75000000000000011</v>
      </c>
      <c r="I634">
        <v>4000</v>
      </c>
      <c r="J634" s="4">
        <v>3000.0000000000005</v>
      </c>
      <c r="K634" s="4">
        <v>1650.0000000000007</v>
      </c>
      <c r="L634" s="5">
        <v>0.55000000000000016</v>
      </c>
      <c r="M634" t="s">
        <v>132</v>
      </c>
      <c r="N634" t="s">
        <v>363</v>
      </c>
    </row>
    <row r="635" spans="1:14">
      <c r="A635" t="s">
        <v>151</v>
      </c>
      <c r="B635">
        <v>1128299</v>
      </c>
      <c r="C635" s="2">
        <v>44445</v>
      </c>
      <c r="D635" t="s">
        <v>28</v>
      </c>
      <c r="E635" t="s">
        <v>187</v>
      </c>
      <c r="F635" t="s">
        <v>192</v>
      </c>
      <c r="G635" t="s">
        <v>144</v>
      </c>
      <c r="H635" s="3">
        <v>0.70000000000000007</v>
      </c>
      <c r="I635">
        <v>4250</v>
      </c>
      <c r="J635" s="4">
        <v>2975.0000000000005</v>
      </c>
      <c r="K635" s="4">
        <v>595.00000000000011</v>
      </c>
      <c r="L635" s="5">
        <v>0.2</v>
      </c>
      <c r="M635" t="s">
        <v>132</v>
      </c>
      <c r="N635" t="s">
        <v>363</v>
      </c>
    </row>
    <row r="636" spans="1:14">
      <c r="A636" t="s">
        <v>151</v>
      </c>
      <c r="B636">
        <v>1128299</v>
      </c>
      <c r="C636" s="2">
        <v>44474</v>
      </c>
      <c r="D636" t="s">
        <v>28</v>
      </c>
      <c r="E636" t="s">
        <v>187</v>
      </c>
      <c r="F636" t="s">
        <v>192</v>
      </c>
      <c r="G636" t="s">
        <v>27</v>
      </c>
      <c r="H636" s="3">
        <v>0.55000000000000004</v>
      </c>
      <c r="I636">
        <v>5250</v>
      </c>
      <c r="J636" s="4">
        <v>2887.5000000000005</v>
      </c>
      <c r="K636" s="4">
        <v>1155.0000000000002</v>
      </c>
      <c r="L636" s="5">
        <v>0.4</v>
      </c>
      <c r="M636" t="s">
        <v>133</v>
      </c>
      <c r="N636" t="s">
        <v>364</v>
      </c>
    </row>
    <row r="637" spans="1:14">
      <c r="A637" t="s">
        <v>151</v>
      </c>
      <c r="B637">
        <v>1128299</v>
      </c>
      <c r="C637" s="2">
        <v>44474</v>
      </c>
      <c r="D637" t="s">
        <v>28</v>
      </c>
      <c r="E637" t="s">
        <v>187</v>
      </c>
      <c r="F637" t="s">
        <v>192</v>
      </c>
      <c r="G637" t="s">
        <v>145</v>
      </c>
      <c r="H637" s="3">
        <v>0.60000000000000009</v>
      </c>
      <c r="I637">
        <v>5250</v>
      </c>
      <c r="J637" s="4">
        <v>3150.0000000000005</v>
      </c>
      <c r="K637" s="4">
        <v>787.50000000000011</v>
      </c>
      <c r="L637" s="5">
        <v>0.25</v>
      </c>
      <c r="M637" t="s">
        <v>133</v>
      </c>
      <c r="N637" t="s">
        <v>364</v>
      </c>
    </row>
    <row r="638" spans="1:14">
      <c r="A638" t="s">
        <v>151</v>
      </c>
      <c r="B638">
        <v>1128299</v>
      </c>
      <c r="C638" s="2">
        <v>44474</v>
      </c>
      <c r="D638" t="s">
        <v>28</v>
      </c>
      <c r="E638" t="s">
        <v>187</v>
      </c>
      <c r="F638" t="s">
        <v>192</v>
      </c>
      <c r="G638" t="s">
        <v>146</v>
      </c>
      <c r="H638" s="3">
        <v>0.55000000000000004</v>
      </c>
      <c r="I638">
        <v>3500</v>
      </c>
      <c r="J638" s="4">
        <v>1925.0000000000002</v>
      </c>
      <c r="K638" s="4">
        <v>770.00000000000011</v>
      </c>
      <c r="L638" s="5">
        <v>0.4</v>
      </c>
      <c r="M638" t="s">
        <v>133</v>
      </c>
      <c r="N638" t="s">
        <v>364</v>
      </c>
    </row>
    <row r="639" spans="1:14">
      <c r="A639" t="s">
        <v>151</v>
      </c>
      <c r="B639">
        <v>1128299</v>
      </c>
      <c r="C639" s="2">
        <v>44474</v>
      </c>
      <c r="D639" t="s">
        <v>28</v>
      </c>
      <c r="E639" t="s">
        <v>187</v>
      </c>
      <c r="F639" t="s">
        <v>192</v>
      </c>
      <c r="G639" t="s">
        <v>148</v>
      </c>
      <c r="H639" s="3">
        <v>0.55000000000000004</v>
      </c>
      <c r="I639">
        <v>3250</v>
      </c>
      <c r="J639" s="4">
        <v>1787.5000000000002</v>
      </c>
      <c r="K639" s="4">
        <v>625.625</v>
      </c>
      <c r="L639" s="5">
        <v>0.35</v>
      </c>
      <c r="M639" t="s">
        <v>133</v>
      </c>
      <c r="N639" t="s">
        <v>364</v>
      </c>
    </row>
    <row r="640" spans="1:14">
      <c r="A640" t="s">
        <v>151</v>
      </c>
      <c r="B640">
        <v>1128299</v>
      </c>
      <c r="C640" s="2">
        <v>44474</v>
      </c>
      <c r="D640" t="s">
        <v>28</v>
      </c>
      <c r="E640" t="s">
        <v>187</v>
      </c>
      <c r="F640" t="s">
        <v>192</v>
      </c>
      <c r="G640" t="s">
        <v>147</v>
      </c>
      <c r="H640" s="3">
        <v>0.65</v>
      </c>
      <c r="I640">
        <v>3000</v>
      </c>
      <c r="J640" s="4">
        <v>1950</v>
      </c>
      <c r="K640" s="4">
        <v>1072.5000000000002</v>
      </c>
      <c r="L640" s="5">
        <v>0.55000000000000016</v>
      </c>
      <c r="M640" t="s">
        <v>133</v>
      </c>
      <c r="N640" t="s">
        <v>364</v>
      </c>
    </row>
    <row r="641" spans="1:14">
      <c r="A641" t="s">
        <v>151</v>
      </c>
      <c r="B641">
        <v>1128299</v>
      </c>
      <c r="C641" s="2">
        <v>44474</v>
      </c>
      <c r="D641" t="s">
        <v>28</v>
      </c>
      <c r="E641" t="s">
        <v>187</v>
      </c>
      <c r="F641" t="s">
        <v>192</v>
      </c>
      <c r="G641" t="s">
        <v>144</v>
      </c>
      <c r="H641" s="3">
        <v>0.70000000000000007</v>
      </c>
      <c r="I641">
        <v>3500</v>
      </c>
      <c r="J641" s="4">
        <v>2450.0000000000005</v>
      </c>
      <c r="K641" s="4">
        <v>490.00000000000011</v>
      </c>
      <c r="L641" s="5">
        <v>0.2</v>
      </c>
      <c r="M641" t="s">
        <v>133</v>
      </c>
      <c r="N641" t="s">
        <v>364</v>
      </c>
    </row>
    <row r="642" spans="1:14">
      <c r="A642" t="s">
        <v>151</v>
      </c>
      <c r="B642">
        <v>1128299</v>
      </c>
      <c r="C642" s="2">
        <v>44505</v>
      </c>
      <c r="D642" t="s">
        <v>28</v>
      </c>
      <c r="E642" t="s">
        <v>187</v>
      </c>
      <c r="F642" t="s">
        <v>192</v>
      </c>
      <c r="G642" t="s">
        <v>27</v>
      </c>
      <c r="H642" s="3">
        <v>0.55000000000000004</v>
      </c>
      <c r="I642">
        <v>5750</v>
      </c>
      <c r="J642" s="4">
        <v>3162.5000000000005</v>
      </c>
      <c r="K642" s="4">
        <v>1265.0000000000002</v>
      </c>
      <c r="L642" s="5">
        <v>0.4</v>
      </c>
      <c r="M642" t="s">
        <v>134</v>
      </c>
      <c r="N642" t="s">
        <v>364</v>
      </c>
    </row>
    <row r="643" spans="1:14">
      <c r="A643" t="s">
        <v>151</v>
      </c>
      <c r="B643">
        <v>1128299</v>
      </c>
      <c r="C643" s="2">
        <v>44505</v>
      </c>
      <c r="D643" t="s">
        <v>28</v>
      </c>
      <c r="E643" t="s">
        <v>187</v>
      </c>
      <c r="F643" t="s">
        <v>192</v>
      </c>
      <c r="G643" t="s">
        <v>145</v>
      </c>
      <c r="H643" s="3">
        <v>0.60000000000000009</v>
      </c>
      <c r="I643">
        <v>5750</v>
      </c>
      <c r="J643" s="4">
        <v>3450.0000000000005</v>
      </c>
      <c r="K643" s="4">
        <v>862.50000000000011</v>
      </c>
      <c r="L643" s="5">
        <v>0.25</v>
      </c>
      <c r="M643" t="s">
        <v>134</v>
      </c>
      <c r="N643" t="s">
        <v>364</v>
      </c>
    </row>
    <row r="644" spans="1:14">
      <c r="A644" t="s">
        <v>151</v>
      </c>
      <c r="B644">
        <v>1128299</v>
      </c>
      <c r="C644" s="2">
        <v>44505</v>
      </c>
      <c r="D644" t="s">
        <v>28</v>
      </c>
      <c r="E644" t="s">
        <v>187</v>
      </c>
      <c r="F644" t="s">
        <v>192</v>
      </c>
      <c r="G644" t="s">
        <v>146</v>
      </c>
      <c r="H644" s="3">
        <v>0.55000000000000004</v>
      </c>
      <c r="I644">
        <v>4250</v>
      </c>
      <c r="J644" s="4">
        <v>2337.5</v>
      </c>
      <c r="K644" s="4">
        <v>935</v>
      </c>
      <c r="L644" s="5">
        <v>0.4</v>
      </c>
      <c r="M644" t="s">
        <v>134</v>
      </c>
      <c r="N644" t="s">
        <v>364</v>
      </c>
    </row>
    <row r="645" spans="1:14">
      <c r="A645" t="s">
        <v>151</v>
      </c>
      <c r="B645">
        <v>1128299</v>
      </c>
      <c r="C645" s="2">
        <v>44505</v>
      </c>
      <c r="D645" t="s">
        <v>28</v>
      </c>
      <c r="E645" t="s">
        <v>187</v>
      </c>
      <c r="F645" t="s">
        <v>192</v>
      </c>
      <c r="G645" t="s">
        <v>148</v>
      </c>
      <c r="H645" s="3">
        <v>0.65000000000000013</v>
      </c>
      <c r="I645">
        <v>4000</v>
      </c>
      <c r="J645" s="4">
        <v>2600.0000000000005</v>
      </c>
      <c r="K645" s="4">
        <v>910.00000000000011</v>
      </c>
      <c r="L645" s="5">
        <v>0.35</v>
      </c>
      <c r="M645" t="s">
        <v>134</v>
      </c>
      <c r="N645" t="s">
        <v>364</v>
      </c>
    </row>
    <row r="646" spans="1:14">
      <c r="A646" t="s">
        <v>151</v>
      </c>
      <c r="B646">
        <v>1128299</v>
      </c>
      <c r="C646" s="2">
        <v>44505</v>
      </c>
      <c r="D646" t="s">
        <v>28</v>
      </c>
      <c r="E646" t="s">
        <v>187</v>
      </c>
      <c r="F646" t="s">
        <v>192</v>
      </c>
      <c r="G646" t="s">
        <v>147</v>
      </c>
      <c r="H646" s="3">
        <v>0.75000000000000011</v>
      </c>
      <c r="I646">
        <v>3750</v>
      </c>
      <c r="J646" s="4">
        <v>2812.5000000000005</v>
      </c>
      <c r="K646" s="4">
        <v>1546.8750000000007</v>
      </c>
      <c r="L646" s="5">
        <v>0.55000000000000016</v>
      </c>
      <c r="M646" t="s">
        <v>134</v>
      </c>
      <c r="N646" t="s">
        <v>364</v>
      </c>
    </row>
    <row r="647" spans="1:14">
      <c r="A647" t="s">
        <v>151</v>
      </c>
      <c r="B647">
        <v>1128299</v>
      </c>
      <c r="C647" s="2">
        <v>44505</v>
      </c>
      <c r="D647" t="s">
        <v>28</v>
      </c>
      <c r="E647" t="s">
        <v>187</v>
      </c>
      <c r="F647" t="s">
        <v>192</v>
      </c>
      <c r="G647" t="s">
        <v>144</v>
      </c>
      <c r="H647" s="3">
        <v>0.80000000000000016</v>
      </c>
      <c r="I647">
        <v>5000</v>
      </c>
      <c r="J647" s="4">
        <v>4000.0000000000009</v>
      </c>
      <c r="K647" s="4">
        <v>800.00000000000023</v>
      </c>
      <c r="L647" s="5">
        <v>0.2</v>
      </c>
      <c r="M647" t="s">
        <v>134</v>
      </c>
      <c r="N647" t="s">
        <v>364</v>
      </c>
    </row>
    <row r="648" spans="1:14">
      <c r="A648" t="s">
        <v>151</v>
      </c>
      <c r="B648">
        <v>1128299</v>
      </c>
      <c r="C648" s="2">
        <v>44534</v>
      </c>
      <c r="D648" t="s">
        <v>28</v>
      </c>
      <c r="E648" t="s">
        <v>187</v>
      </c>
      <c r="F648" t="s">
        <v>192</v>
      </c>
      <c r="G648" t="s">
        <v>27</v>
      </c>
      <c r="H648" s="3">
        <v>0.65000000000000013</v>
      </c>
      <c r="I648">
        <v>7000</v>
      </c>
      <c r="J648" s="4">
        <v>4550.0000000000009</v>
      </c>
      <c r="K648" s="4">
        <v>1820.0000000000005</v>
      </c>
      <c r="L648" s="5">
        <v>0.4</v>
      </c>
      <c r="M648" t="s">
        <v>23</v>
      </c>
      <c r="N648" t="s">
        <v>364</v>
      </c>
    </row>
    <row r="649" spans="1:14">
      <c r="A649" t="s">
        <v>151</v>
      </c>
      <c r="B649">
        <v>1128299</v>
      </c>
      <c r="C649" s="2">
        <v>44534</v>
      </c>
      <c r="D649" t="s">
        <v>28</v>
      </c>
      <c r="E649" t="s">
        <v>187</v>
      </c>
      <c r="F649" t="s">
        <v>192</v>
      </c>
      <c r="G649" t="s">
        <v>145</v>
      </c>
      <c r="H649" s="3">
        <v>0.70000000000000018</v>
      </c>
      <c r="I649">
        <v>7000</v>
      </c>
      <c r="J649" s="4">
        <v>4900.0000000000009</v>
      </c>
      <c r="K649" s="4">
        <v>1225.0000000000002</v>
      </c>
      <c r="L649" s="5">
        <v>0.25</v>
      </c>
      <c r="M649" t="s">
        <v>23</v>
      </c>
      <c r="N649" t="s">
        <v>364</v>
      </c>
    </row>
    <row r="650" spans="1:14">
      <c r="A650" t="s">
        <v>151</v>
      </c>
      <c r="B650">
        <v>1128299</v>
      </c>
      <c r="C650" s="2">
        <v>44534</v>
      </c>
      <c r="D650" t="s">
        <v>28</v>
      </c>
      <c r="E650" t="s">
        <v>187</v>
      </c>
      <c r="F650" t="s">
        <v>192</v>
      </c>
      <c r="G650" t="s">
        <v>146</v>
      </c>
      <c r="H650" s="3">
        <v>0.65000000000000013</v>
      </c>
      <c r="I650">
        <v>5000</v>
      </c>
      <c r="J650" s="4">
        <v>3250.0000000000005</v>
      </c>
      <c r="K650" s="4">
        <v>1300.0000000000002</v>
      </c>
      <c r="L650" s="5">
        <v>0.4</v>
      </c>
      <c r="M650" t="s">
        <v>23</v>
      </c>
      <c r="N650" t="s">
        <v>364</v>
      </c>
    </row>
    <row r="651" spans="1:14">
      <c r="A651" t="s">
        <v>151</v>
      </c>
      <c r="B651">
        <v>1128299</v>
      </c>
      <c r="C651" s="2">
        <v>44534</v>
      </c>
      <c r="D651" t="s">
        <v>28</v>
      </c>
      <c r="E651" t="s">
        <v>187</v>
      </c>
      <c r="F651" t="s">
        <v>192</v>
      </c>
      <c r="G651" t="s">
        <v>148</v>
      </c>
      <c r="H651" s="3">
        <v>0.65000000000000013</v>
      </c>
      <c r="I651">
        <v>5000</v>
      </c>
      <c r="J651" s="4">
        <v>3250.0000000000005</v>
      </c>
      <c r="K651" s="4">
        <v>1137.5</v>
      </c>
      <c r="L651" s="5">
        <v>0.35</v>
      </c>
      <c r="M651" t="s">
        <v>23</v>
      </c>
      <c r="N651" t="s">
        <v>364</v>
      </c>
    </row>
    <row r="652" spans="1:14">
      <c r="A652" t="s">
        <v>151</v>
      </c>
      <c r="B652">
        <v>1128299</v>
      </c>
      <c r="C652" s="2">
        <v>44534</v>
      </c>
      <c r="D652" t="s">
        <v>28</v>
      </c>
      <c r="E652" t="s">
        <v>187</v>
      </c>
      <c r="F652" t="s">
        <v>192</v>
      </c>
      <c r="G652" t="s">
        <v>147</v>
      </c>
      <c r="H652" s="3">
        <v>0.75000000000000011</v>
      </c>
      <c r="I652">
        <v>4250</v>
      </c>
      <c r="J652" s="4">
        <v>3187.5000000000005</v>
      </c>
      <c r="K652" s="4">
        <v>1753.1250000000007</v>
      </c>
      <c r="L652" s="5">
        <v>0.55000000000000016</v>
      </c>
      <c r="M652" t="s">
        <v>23</v>
      </c>
      <c r="N652" t="s">
        <v>364</v>
      </c>
    </row>
    <row r="653" spans="1:14">
      <c r="A653" t="s">
        <v>151</v>
      </c>
      <c r="B653">
        <v>1128299</v>
      </c>
      <c r="C653" s="2">
        <v>44534</v>
      </c>
      <c r="D653" t="s">
        <v>28</v>
      </c>
      <c r="E653" t="s">
        <v>187</v>
      </c>
      <c r="F653" t="s">
        <v>192</v>
      </c>
      <c r="G653" t="s">
        <v>144</v>
      </c>
      <c r="H653" s="3">
        <v>0.80000000000000016</v>
      </c>
      <c r="I653">
        <v>5250</v>
      </c>
      <c r="J653" s="4">
        <v>4200.0000000000009</v>
      </c>
      <c r="K653" s="4">
        <v>840.00000000000023</v>
      </c>
      <c r="L653" s="5">
        <v>0.2</v>
      </c>
      <c r="M653" t="s">
        <v>23</v>
      </c>
      <c r="N653" t="s">
        <v>364</v>
      </c>
    </row>
    <row r="654" spans="1:14">
      <c r="A654" t="s">
        <v>151</v>
      </c>
      <c r="B654">
        <v>1128299</v>
      </c>
      <c r="C654" s="2">
        <v>44199</v>
      </c>
      <c r="D654" t="s">
        <v>28</v>
      </c>
      <c r="E654" t="s">
        <v>179</v>
      </c>
      <c r="F654" t="s">
        <v>180</v>
      </c>
      <c r="G654" t="s">
        <v>27</v>
      </c>
      <c r="H654" s="3">
        <v>0.4</v>
      </c>
      <c r="I654">
        <v>4500</v>
      </c>
      <c r="J654" s="4">
        <v>1800</v>
      </c>
      <c r="K654" s="4">
        <v>540</v>
      </c>
      <c r="L654" s="5">
        <v>0.3</v>
      </c>
      <c r="M654" t="s">
        <v>125</v>
      </c>
      <c r="N654" t="s">
        <v>361</v>
      </c>
    </row>
    <row r="655" spans="1:14">
      <c r="A655" t="s">
        <v>151</v>
      </c>
      <c r="B655">
        <v>1128299</v>
      </c>
      <c r="C655" s="2">
        <v>44199</v>
      </c>
      <c r="D655" t="s">
        <v>28</v>
      </c>
      <c r="E655" t="s">
        <v>179</v>
      </c>
      <c r="F655" t="s">
        <v>180</v>
      </c>
      <c r="G655" t="s">
        <v>145</v>
      </c>
      <c r="H655" s="3">
        <v>0.5</v>
      </c>
      <c r="I655">
        <v>4500</v>
      </c>
      <c r="J655" s="4">
        <v>2250</v>
      </c>
      <c r="K655" s="4">
        <v>562.5</v>
      </c>
      <c r="L655" s="5">
        <v>0.25</v>
      </c>
      <c r="M655" t="s">
        <v>125</v>
      </c>
      <c r="N655" t="s">
        <v>361</v>
      </c>
    </row>
    <row r="656" spans="1:14">
      <c r="A656" t="s">
        <v>151</v>
      </c>
      <c r="B656">
        <v>1128299</v>
      </c>
      <c r="C656" s="2">
        <v>44199</v>
      </c>
      <c r="D656" t="s">
        <v>28</v>
      </c>
      <c r="E656" t="s">
        <v>179</v>
      </c>
      <c r="F656" t="s">
        <v>180</v>
      </c>
      <c r="G656" t="s">
        <v>146</v>
      </c>
      <c r="H656" s="3">
        <v>0.5</v>
      </c>
      <c r="I656">
        <v>4500</v>
      </c>
      <c r="J656" s="4">
        <v>2250</v>
      </c>
      <c r="K656" s="4">
        <v>562.5</v>
      </c>
      <c r="L656" s="5">
        <v>0.25</v>
      </c>
      <c r="M656" t="s">
        <v>125</v>
      </c>
      <c r="N656" t="s">
        <v>361</v>
      </c>
    </row>
    <row r="657" spans="1:14">
      <c r="A657" t="s">
        <v>151</v>
      </c>
      <c r="B657">
        <v>1128299</v>
      </c>
      <c r="C657" s="2">
        <v>44199</v>
      </c>
      <c r="D657" t="s">
        <v>28</v>
      </c>
      <c r="E657" t="s">
        <v>179</v>
      </c>
      <c r="F657" t="s">
        <v>180</v>
      </c>
      <c r="G657" t="s">
        <v>148</v>
      </c>
      <c r="H657" s="3">
        <v>0.5</v>
      </c>
      <c r="I657">
        <v>3000</v>
      </c>
      <c r="J657" s="4">
        <v>1500</v>
      </c>
      <c r="K657" s="4">
        <v>450</v>
      </c>
      <c r="L657" s="5">
        <v>0.3</v>
      </c>
      <c r="M657" t="s">
        <v>125</v>
      </c>
      <c r="N657" t="s">
        <v>361</v>
      </c>
    </row>
    <row r="658" spans="1:14">
      <c r="A658" t="s">
        <v>151</v>
      </c>
      <c r="B658">
        <v>1128299</v>
      </c>
      <c r="C658" s="2">
        <v>44199</v>
      </c>
      <c r="D658" t="s">
        <v>28</v>
      </c>
      <c r="E658" t="s">
        <v>179</v>
      </c>
      <c r="F658" t="s">
        <v>180</v>
      </c>
      <c r="G658" t="s">
        <v>147</v>
      </c>
      <c r="H658" s="3">
        <v>0.55000000000000004</v>
      </c>
      <c r="I658">
        <v>2500</v>
      </c>
      <c r="J658" s="4">
        <v>1375</v>
      </c>
      <c r="K658" s="4">
        <v>343.75</v>
      </c>
      <c r="L658" s="5">
        <v>0.25</v>
      </c>
      <c r="M658" t="s">
        <v>125</v>
      </c>
      <c r="N658" t="s">
        <v>361</v>
      </c>
    </row>
    <row r="659" spans="1:14">
      <c r="A659" t="s">
        <v>151</v>
      </c>
      <c r="B659">
        <v>1128299</v>
      </c>
      <c r="C659" s="2">
        <v>44199</v>
      </c>
      <c r="D659" t="s">
        <v>28</v>
      </c>
      <c r="E659" t="s">
        <v>179</v>
      </c>
      <c r="F659" t="s">
        <v>180</v>
      </c>
      <c r="G659" t="s">
        <v>144</v>
      </c>
      <c r="H659" s="3">
        <v>0.5</v>
      </c>
      <c r="I659">
        <v>5000</v>
      </c>
      <c r="J659" s="4">
        <v>2500</v>
      </c>
      <c r="K659" s="4">
        <v>500</v>
      </c>
      <c r="L659" s="5">
        <v>0.2</v>
      </c>
      <c r="M659" t="s">
        <v>125</v>
      </c>
      <c r="N659" t="s">
        <v>361</v>
      </c>
    </row>
    <row r="660" spans="1:14">
      <c r="A660" t="s">
        <v>151</v>
      </c>
      <c r="B660">
        <v>1128299</v>
      </c>
      <c r="C660" s="2">
        <v>44230</v>
      </c>
      <c r="D660" t="s">
        <v>28</v>
      </c>
      <c r="E660" t="s">
        <v>179</v>
      </c>
      <c r="F660" t="s">
        <v>180</v>
      </c>
      <c r="G660" t="s">
        <v>27</v>
      </c>
      <c r="H660" s="3">
        <v>0.4</v>
      </c>
      <c r="I660">
        <v>5500</v>
      </c>
      <c r="J660" s="4">
        <v>2200</v>
      </c>
      <c r="K660" s="4">
        <v>660</v>
      </c>
      <c r="L660" s="5">
        <v>0.3</v>
      </c>
      <c r="M660" t="s">
        <v>126</v>
      </c>
      <c r="N660" t="s">
        <v>361</v>
      </c>
    </row>
    <row r="661" spans="1:14">
      <c r="A661" t="s">
        <v>151</v>
      </c>
      <c r="B661">
        <v>1128299</v>
      </c>
      <c r="C661" s="2">
        <v>44230</v>
      </c>
      <c r="D661" t="s">
        <v>28</v>
      </c>
      <c r="E661" t="s">
        <v>179</v>
      </c>
      <c r="F661" t="s">
        <v>180</v>
      </c>
      <c r="G661" t="s">
        <v>145</v>
      </c>
      <c r="H661" s="3">
        <v>0.5</v>
      </c>
      <c r="I661">
        <v>4500</v>
      </c>
      <c r="J661" s="4">
        <v>2250</v>
      </c>
      <c r="K661" s="4">
        <v>562.5</v>
      </c>
      <c r="L661" s="5">
        <v>0.25</v>
      </c>
      <c r="M661" t="s">
        <v>126</v>
      </c>
      <c r="N661" t="s">
        <v>361</v>
      </c>
    </row>
    <row r="662" spans="1:14">
      <c r="A662" t="s">
        <v>151</v>
      </c>
      <c r="B662">
        <v>1128299</v>
      </c>
      <c r="C662" s="2">
        <v>44230</v>
      </c>
      <c r="D662" t="s">
        <v>28</v>
      </c>
      <c r="E662" t="s">
        <v>179</v>
      </c>
      <c r="F662" t="s">
        <v>180</v>
      </c>
      <c r="G662" t="s">
        <v>146</v>
      </c>
      <c r="H662" s="3">
        <v>0.5</v>
      </c>
      <c r="I662">
        <v>4500</v>
      </c>
      <c r="J662" s="4">
        <v>2250</v>
      </c>
      <c r="K662" s="4">
        <v>562.5</v>
      </c>
      <c r="L662" s="5">
        <v>0.25</v>
      </c>
      <c r="M662" t="s">
        <v>126</v>
      </c>
      <c r="N662" t="s">
        <v>361</v>
      </c>
    </row>
    <row r="663" spans="1:14">
      <c r="A663" t="s">
        <v>151</v>
      </c>
      <c r="B663">
        <v>1128299</v>
      </c>
      <c r="C663" s="2">
        <v>44230</v>
      </c>
      <c r="D663" t="s">
        <v>28</v>
      </c>
      <c r="E663" t="s">
        <v>179</v>
      </c>
      <c r="F663" t="s">
        <v>180</v>
      </c>
      <c r="G663" t="s">
        <v>148</v>
      </c>
      <c r="H663" s="3">
        <v>0.5</v>
      </c>
      <c r="I663">
        <v>3000</v>
      </c>
      <c r="J663" s="4">
        <v>1500</v>
      </c>
      <c r="K663" s="4">
        <v>450</v>
      </c>
      <c r="L663" s="5">
        <v>0.3</v>
      </c>
      <c r="M663" t="s">
        <v>126</v>
      </c>
      <c r="N663" t="s">
        <v>361</v>
      </c>
    </row>
    <row r="664" spans="1:14">
      <c r="A664" t="s">
        <v>151</v>
      </c>
      <c r="B664">
        <v>1128299</v>
      </c>
      <c r="C664" s="2">
        <v>44230</v>
      </c>
      <c r="D664" t="s">
        <v>28</v>
      </c>
      <c r="E664" t="s">
        <v>179</v>
      </c>
      <c r="F664" t="s">
        <v>180</v>
      </c>
      <c r="G664" t="s">
        <v>147</v>
      </c>
      <c r="H664" s="3">
        <v>0.55000000000000004</v>
      </c>
      <c r="I664">
        <v>2250</v>
      </c>
      <c r="J664" s="4">
        <v>1237.5</v>
      </c>
      <c r="K664" s="4">
        <v>309.375</v>
      </c>
      <c r="L664" s="5">
        <v>0.25</v>
      </c>
      <c r="M664" t="s">
        <v>126</v>
      </c>
      <c r="N664" t="s">
        <v>361</v>
      </c>
    </row>
    <row r="665" spans="1:14">
      <c r="A665" t="s">
        <v>151</v>
      </c>
      <c r="B665">
        <v>1128299</v>
      </c>
      <c r="C665" s="2">
        <v>44230</v>
      </c>
      <c r="D665" t="s">
        <v>28</v>
      </c>
      <c r="E665" t="s">
        <v>179</v>
      </c>
      <c r="F665" t="s">
        <v>180</v>
      </c>
      <c r="G665" t="s">
        <v>144</v>
      </c>
      <c r="H665" s="3">
        <v>0.5</v>
      </c>
      <c r="I665">
        <v>4250</v>
      </c>
      <c r="J665" s="4">
        <v>2125</v>
      </c>
      <c r="K665" s="4">
        <v>425</v>
      </c>
      <c r="L665" s="5">
        <v>0.2</v>
      </c>
      <c r="M665" t="s">
        <v>126</v>
      </c>
      <c r="N665" t="s">
        <v>361</v>
      </c>
    </row>
    <row r="666" spans="1:14">
      <c r="A666" t="s">
        <v>151</v>
      </c>
      <c r="B666">
        <v>1128299</v>
      </c>
      <c r="C666" s="2">
        <v>44257</v>
      </c>
      <c r="D666" t="s">
        <v>28</v>
      </c>
      <c r="E666" t="s">
        <v>179</v>
      </c>
      <c r="F666" t="s">
        <v>180</v>
      </c>
      <c r="G666" t="s">
        <v>27</v>
      </c>
      <c r="H666" s="3">
        <v>0.5</v>
      </c>
      <c r="I666">
        <v>5750</v>
      </c>
      <c r="J666" s="4">
        <v>2875</v>
      </c>
      <c r="K666" s="4">
        <v>862.5</v>
      </c>
      <c r="L666" s="5">
        <v>0.3</v>
      </c>
      <c r="M666" t="s">
        <v>24</v>
      </c>
      <c r="N666" t="s">
        <v>361</v>
      </c>
    </row>
    <row r="667" spans="1:14">
      <c r="A667" t="s">
        <v>151</v>
      </c>
      <c r="B667">
        <v>1128299</v>
      </c>
      <c r="C667" s="2">
        <v>44257</v>
      </c>
      <c r="D667" t="s">
        <v>28</v>
      </c>
      <c r="E667" t="s">
        <v>179</v>
      </c>
      <c r="F667" t="s">
        <v>180</v>
      </c>
      <c r="G667" t="s">
        <v>145</v>
      </c>
      <c r="H667" s="3">
        <v>0.6</v>
      </c>
      <c r="I667">
        <v>4250</v>
      </c>
      <c r="J667" s="4">
        <v>2550</v>
      </c>
      <c r="K667" s="4">
        <v>637.5</v>
      </c>
      <c r="L667" s="5">
        <v>0.25</v>
      </c>
      <c r="M667" t="s">
        <v>24</v>
      </c>
      <c r="N667" t="s">
        <v>361</v>
      </c>
    </row>
    <row r="668" spans="1:14">
      <c r="A668" t="s">
        <v>151</v>
      </c>
      <c r="B668">
        <v>1128299</v>
      </c>
      <c r="C668" s="2">
        <v>44257</v>
      </c>
      <c r="D668" t="s">
        <v>28</v>
      </c>
      <c r="E668" t="s">
        <v>179</v>
      </c>
      <c r="F668" t="s">
        <v>180</v>
      </c>
      <c r="G668" t="s">
        <v>146</v>
      </c>
      <c r="H668" s="3">
        <v>0.64999999999999991</v>
      </c>
      <c r="I668">
        <v>4250</v>
      </c>
      <c r="J668" s="4">
        <v>2762.4999999999995</v>
      </c>
      <c r="K668" s="4">
        <v>690.62499999999989</v>
      </c>
      <c r="L668" s="5">
        <v>0.25</v>
      </c>
      <c r="M668" t="s">
        <v>24</v>
      </c>
      <c r="N668" t="s">
        <v>361</v>
      </c>
    </row>
    <row r="669" spans="1:14">
      <c r="A669" t="s">
        <v>151</v>
      </c>
      <c r="B669">
        <v>1128299</v>
      </c>
      <c r="C669" s="2">
        <v>44257</v>
      </c>
      <c r="D669" t="s">
        <v>28</v>
      </c>
      <c r="E669" t="s">
        <v>179</v>
      </c>
      <c r="F669" t="s">
        <v>180</v>
      </c>
      <c r="G669" t="s">
        <v>148</v>
      </c>
      <c r="H669" s="3">
        <v>0.64999999999999991</v>
      </c>
      <c r="I669">
        <v>3250</v>
      </c>
      <c r="J669" s="4">
        <v>2112.4999999999995</v>
      </c>
      <c r="K669" s="4">
        <v>633.74999999999989</v>
      </c>
      <c r="L669" s="5">
        <v>0.3</v>
      </c>
      <c r="M669" t="s">
        <v>24</v>
      </c>
      <c r="N669" t="s">
        <v>361</v>
      </c>
    </row>
    <row r="670" spans="1:14">
      <c r="A670" t="s">
        <v>151</v>
      </c>
      <c r="B670">
        <v>1128299</v>
      </c>
      <c r="C670" s="2">
        <v>44257</v>
      </c>
      <c r="D670" t="s">
        <v>28</v>
      </c>
      <c r="E670" t="s">
        <v>179</v>
      </c>
      <c r="F670" t="s">
        <v>180</v>
      </c>
      <c r="G670" t="s">
        <v>147</v>
      </c>
      <c r="H670" s="3">
        <v>0.7</v>
      </c>
      <c r="I670">
        <v>1750</v>
      </c>
      <c r="J670" s="4">
        <v>1225</v>
      </c>
      <c r="K670" s="4">
        <v>306.25</v>
      </c>
      <c r="L670" s="5">
        <v>0.25</v>
      </c>
      <c r="M670" t="s">
        <v>24</v>
      </c>
      <c r="N670" t="s">
        <v>361</v>
      </c>
    </row>
    <row r="671" spans="1:14">
      <c r="A671" t="s">
        <v>151</v>
      </c>
      <c r="B671">
        <v>1128299</v>
      </c>
      <c r="C671" s="2">
        <v>44257</v>
      </c>
      <c r="D671" t="s">
        <v>28</v>
      </c>
      <c r="E671" t="s">
        <v>179</v>
      </c>
      <c r="F671" t="s">
        <v>180</v>
      </c>
      <c r="G671" t="s">
        <v>144</v>
      </c>
      <c r="H671" s="3">
        <v>0.64999999999999991</v>
      </c>
      <c r="I671">
        <v>3750</v>
      </c>
      <c r="J671" s="4">
        <v>2437.4999999999995</v>
      </c>
      <c r="K671" s="4">
        <v>487.49999999999994</v>
      </c>
      <c r="L671" s="5">
        <v>0.2</v>
      </c>
      <c r="M671" t="s">
        <v>24</v>
      </c>
      <c r="N671" t="s">
        <v>361</v>
      </c>
    </row>
    <row r="672" spans="1:14">
      <c r="A672" t="s">
        <v>151</v>
      </c>
      <c r="B672">
        <v>1128299</v>
      </c>
      <c r="C672" s="2">
        <v>44289</v>
      </c>
      <c r="D672" t="s">
        <v>28</v>
      </c>
      <c r="E672" t="s">
        <v>179</v>
      </c>
      <c r="F672" t="s">
        <v>180</v>
      </c>
      <c r="G672" t="s">
        <v>27</v>
      </c>
      <c r="H672" s="3">
        <v>0.7</v>
      </c>
      <c r="I672">
        <v>5500</v>
      </c>
      <c r="J672" s="4">
        <v>3849.9999999999995</v>
      </c>
      <c r="K672" s="4">
        <v>1154.9999999999998</v>
      </c>
      <c r="L672" s="5">
        <v>0.3</v>
      </c>
      <c r="M672" t="s">
        <v>127</v>
      </c>
      <c r="N672" t="s">
        <v>362</v>
      </c>
    </row>
    <row r="673" spans="1:14">
      <c r="A673" t="s">
        <v>151</v>
      </c>
      <c r="B673">
        <v>1128299</v>
      </c>
      <c r="C673" s="2">
        <v>44289</v>
      </c>
      <c r="D673" t="s">
        <v>28</v>
      </c>
      <c r="E673" t="s">
        <v>179</v>
      </c>
      <c r="F673" t="s">
        <v>180</v>
      </c>
      <c r="G673" t="s">
        <v>145</v>
      </c>
      <c r="H673" s="3">
        <v>0.75</v>
      </c>
      <c r="I673">
        <v>3500</v>
      </c>
      <c r="J673" s="4">
        <v>2625</v>
      </c>
      <c r="K673" s="4">
        <v>656.25</v>
      </c>
      <c r="L673" s="5">
        <v>0.25</v>
      </c>
      <c r="M673" t="s">
        <v>127</v>
      </c>
      <c r="N673" t="s">
        <v>362</v>
      </c>
    </row>
    <row r="674" spans="1:14">
      <c r="A674" t="s">
        <v>151</v>
      </c>
      <c r="B674">
        <v>1128299</v>
      </c>
      <c r="C674" s="2">
        <v>44289</v>
      </c>
      <c r="D674" t="s">
        <v>28</v>
      </c>
      <c r="E674" t="s">
        <v>179</v>
      </c>
      <c r="F674" t="s">
        <v>180</v>
      </c>
      <c r="G674" t="s">
        <v>146</v>
      </c>
      <c r="H674" s="3">
        <v>0.75</v>
      </c>
      <c r="I674">
        <v>4000</v>
      </c>
      <c r="J674" s="4">
        <v>3000</v>
      </c>
      <c r="K674" s="4">
        <v>750</v>
      </c>
      <c r="L674" s="5">
        <v>0.25</v>
      </c>
      <c r="M674" t="s">
        <v>127</v>
      </c>
      <c r="N674" t="s">
        <v>362</v>
      </c>
    </row>
    <row r="675" spans="1:14">
      <c r="A675" t="s">
        <v>151</v>
      </c>
      <c r="B675">
        <v>1128299</v>
      </c>
      <c r="C675" s="2">
        <v>44289</v>
      </c>
      <c r="D675" t="s">
        <v>28</v>
      </c>
      <c r="E675" t="s">
        <v>179</v>
      </c>
      <c r="F675" t="s">
        <v>180</v>
      </c>
      <c r="G675" t="s">
        <v>148</v>
      </c>
      <c r="H675" s="3">
        <v>0.6</v>
      </c>
      <c r="I675">
        <v>3000</v>
      </c>
      <c r="J675" s="4">
        <v>1800</v>
      </c>
      <c r="K675" s="4">
        <v>540</v>
      </c>
      <c r="L675" s="5">
        <v>0.3</v>
      </c>
      <c r="M675" t="s">
        <v>127</v>
      </c>
      <c r="N675" t="s">
        <v>362</v>
      </c>
    </row>
    <row r="676" spans="1:14">
      <c r="A676" t="s">
        <v>151</v>
      </c>
      <c r="B676">
        <v>1128299</v>
      </c>
      <c r="C676" s="2">
        <v>44289</v>
      </c>
      <c r="D676" t="s">
        <v>28</v>
      </c>
      <c r="E676" t="s">
        <v>179</v>
      </c>
      <c r="F676" t="s">
        <v>180</v>
      </c>
      <c r="G676" t="s">
        <v>147</v>
      </c>
      <c r="H676" s="3">
        <v>0.65</v>
      </c>
      <c r="I676">
        <v>2000</v>
      </c>
      <c r="J676" s="4">
        <v>1300</v>
      </c>
      <c r="K676" s="4">
        <v>325</v>
      </c>
      <c r="L676" s="5">
        <v>0.25</v>
      </c>
      <c r="M676" t="s">
        <v>127</v>
      </c>
      <c r="N676" t="s">
        <v>362</v>
      </c>
    </row>
    <row r="677" spans="1:14">
      <c r="A677" t="s">
        <v>151</v>
      </c>
      <c r="B677">
        <v>1128299</v>
      </c>
      <c r="C677" s="2">
        <v>44289</v>
      </c>
      <c r="D677" t="s">
        <v>28</v>
      </c>
      <c r="E677" t="s">
        <v>179</v>
      </c>
      <c r="F677" t="s">
        <v>180</v>
      </c>
      <c r="G677" t="s">
        <v>144</v>
      </c>
      <c r="H677" s="3">
        <v>0.8</v>
      </c>
      <c r="I677">
        <v>3500</v>
      </c>
      <c r="J677" s="4">
        <v>2800</v>
      </c>
      <c r="K677" s="4">
        <v>560</v>
      </c>
      <c r="L677" s="5">
        <v>0.2</v>
      </c>
      <c r="M677" t="s">
        <v>127</v>
      </c>
      <c r="N677" t="s">
        <v>362</v>
      </c>
    </row>
    <row r="678" spans="1:14">
      <c r="A678" t="s">
        <v>151</v>
      </c>
      <c r="B678">
        <v>1128299</v>
      </c>
      <c r="C678" s="2">
        <v>44320</v>
      </c>
      <c r="D678" t="s">
        <v>28</v>
      </c>
      <c r="E678" t="s">
        <v>179</v>
      </c>
      <c r="F678" t="s">
        <v>180</v>
      </c>
      <c r="G678" t="s">
        <v>27</v>
      </c>
      <c r="H678" s="3">
        <v>0.6</v>
      </c>
      <c r="I678">
        <v>5500</v>
      </c>
      <c r="J678" s="4">
        <v>3300</v>
      </c>
      <c r="K678" s="4">
        <v>990</v>
      </c>
      <c r="L678" s="5">
        <v>0.3</v>
      </c>
      <c r="M678" t="s">
        <v>128</v>
      </c>
      <c r="N678" t="s">
        <v>362</v>
      </c>
    </row>
    <row r="679" spans="1:14">
      <c r="A679" t="s">
        <v>151</v>
      </c>
      <c r="B679">
        <v>1128299</v>
      </c>
      <c r="C679" s="2">
        <v>44320</v>
      </c>
      <c r="D679" t="s">
        <v>28</v>
      </c>
      <c r="E679" t="s">
        <v>179</v>
      </c>
      <c r="F679" t="s">
        <v>180</v>
      </c>
      <c r="G679" t="s">
        <v>145</v>
      </c>
      <c r="H679" s="3">
        <v>0.65</v>
      </c>
      <c r="I679">
        <v>4000</v>
      </c>
      <c r="J679" s="4">
        <v>2600</v>
      </c>
      <c r="K679" s="4">
        <v>650</v>
      </c>
      <c r="L679" s="5">
        <v>0.25</v>
      </c>
      <c r="M679" t="s">
        <v>128</v>
      </c>
      <c r="N679" t="s">
        <v>362</v>
      </c>
    </row>
    <row r="680" spans="1:14">
      <c r="A680" t="s">
        <v>151</v>
      </c>
      <c r="B680">
        <v>1128299</v>
      </c>
      <c r="C680" s="2">
        <v>44320</v>
      </c>
      <c r="D680" t="s">
        <v>28</v>
      </c>
      <c r="E680" t="s">
        <v>179</v>
      </c>
      <c r="F680" t="s">
        <v>180</v>
      </c>
      <c r="G680" t="s">
        <v>146</v>
      </c>
      <c r="H680" s="3">
        <v>0.65</v>
      </c>
      <c r="I680">
        <v>4000</v>
      </c>
      <c r="J680" s="4">
        <v>2600</v>
      </c>
      <c r="K680" s="4">
        <v>650</v>
      </c>
      <c r="L680" s="5">
        <v>0.25</v>
      </c>
      <c r="M680" t="s">
        <v>128</v>
      </c>
      <c r="N680" t="s">
        <v>362</v>
      </c>
    </row>
    <row r="681" spans="1:14">
      <c r="A681" t="s">
        <v>151</v>
      </c>
      <c r="B681">
        <v>1128299</v>
      </c>
      <c r="C681" s="2">
        <v>44320</v>
      </c>
      <c r="D681" t="s">
        <v>28</v>
      </c>
      <c r="E681" t="s">
        <v>179</v>
      </c>
      <c r="F681" t="s">
        <v>180</v>
      </c>
      <c r="G681" t="s">
        <v>148</v>
      </c>
      <c r="H681" s="3">
        <v>0.6</v>
      </c>
      <c r="I681">
        <v>3000</v>
      </c>
      <c r="J681" s="4">
        <v>1800</v>
      </c>
      <c r="K681" s="4">
        <v>540</v>
      </c>
      <c r="L681" s="5">
        <v>0.3</v>
      </c>
      <c r="M681" t="s">
        <v>128</v>
      </c>
      <c r="N681" t="s">
        <v>362</v>
      </c>
    </row>
    <row r="682" spans="1:14">
      <c r="A682" t="s">
        <v>151</v>
      </c>
      <c r="B682">
        <v>1128299</v>
      </c>
      <c r="C682" s="2">
        <v>44320</v>
      </c>
      <c r="D682" t="s">
        <v>28</v>
      </c>
      <c r="E682" t="s">
        <v>179</v>
      </c>
      <c r="F682" t="s">
        <v>180</v>
      </c>
      <c r="G682" t="s">
        <v>147</v>
      </c>
      <c r="H682" s="3">
        <v>0.65</v>
      </c>
      <c r="I682">
        <v>2000</v>
      </c>
      <c r="J682" s="4">
        <v>1300</v>
      </c>
      <c r="K682" s="4">
        <v>325</v>
      </c>
      <c r="L682" s="5">
        <v>0.25</v>
      </c>
      <c r="M682" t="s">
        <v>128</v>
      </c>
      <c r="N682" t="s">
        <v>362</v>
      </c>
    </row>
    <row r="683" spans="1:14">
      <c r="A683" t="s">
        <v>151</v>
      </c>
      <c r="B683">
        <v>1128299</v>
      </c>
      <c r="C683" s="2">
        <v>44320</v>
      </c>
      <c r="D683" t="s">
        <v>28</v>
      </c>
      <c r="E683" t="s">
        <v>179</v>
      </c>
      <c r="F683" t="s">
        <v>180</v>
      </c>
      <c r="G683" t="s">
        <v>144</v>
      </c>
      <c r="H683" s="3">
        <v>0.8</v>
      </c>
      <c r="I683">
        <v>5000</v>
      </c>
      <c r="J683" s="4">
        <v>4000</v>
      </c>
      <c r="K683" s="4">
        <v>800</v>
      </c>
      <c r="L683" s="5">
        <v>0.2</v>
      </c>
      <c r="M683" t="s">
        <v>128</v>
      </c>
      <c r="N683" t="s">
        <v>362</v>
      </c>
    </row>
    <row r="684" spans="1:14">
      <c r="A684" t="s">
        <v>151</v>
      </c>
      <c r="B684">
        <v>1128299</v>
      </c>
      <c r="C684" s="2">
        <v>44350</v>
      </c>
      <c r="D684" t="s">
        <v>28</v>
      </c>
      <c r="E684" t="s">
        <v>179</v>
      </c>
      <c r="F684" t="s">
        <v>180</v>
      </c>
      <c r="G684" t="s">
        <v>27</v>
      </c>
      <c r="H684" s="3">
        <v>0.75</v>
      </c>
      <c r="I684">
        <v>7500</v>
      </c>
      <c r="J684" s="4">
        <v>5625</v>
      </c>
      <c r="K684" s="4">
        <v>1687.5</v>
      </c>
      <c r="L684" s="5">
        <v>0.3</v>
      </c>
      <c r="M684" t="s">
        <v>129</v>
      </c>
      <c r="N684" t="s">
        <v>362</v>
      </c>
    </row>
    <row r="685" spans="1:14">
      <c r="A685" t="s">
        <v>151</v>
      </c>
      <c r="B685">
        <v>1128299</v>
      </c>
      <c r="C685" s="2">
        <v>44350</v>
      </c>
      <c r="D685" t="s">
        <v>28</v>
      </c>
      <c r="E685" t="s">
        <v>179</v>
      </c>
      <c r="F685" t="s">
        <v>180</v>
      </c>
      <c r="G685" t="s">
        <v>145</v>
      </c>
      <c r="H685" s="3">
        <v>0.8</v>
      </c>
      <c r="I685">
        <v>6250</v>
      </c>
      <c r="J685" s="4">
        <v>5000</v>
      </c>
      <c r="K685" s="4">
        <v>1250</v>
      </c>
      <c r="L685" s="5">
        <v>0.25</v>
      </c>
      <c r="M685" t="s">
        <v>129</v>
      </c>
      <c r="N685" t="s">
        <v>362</v>
      </c>
    </row>
    <row r="686" spans="1:14">
      <c r="A686" t="s">
        <v>151</v>
      </c>
      <c r="B686">
        <v>1128299</v>
      </c>
      <c r="C686" s="2">
        <v>44350</v>
      </c>
      <c r="D686" t="s">
        <v>28</v>
      </c>
      <c r="E686" t="s">
        <v>179</v>
      </c>
      <c r="F686" t="s">
        <v>180</v>
      </c>
      <c r="G686" t="s">
        <v>146</v>
      </c>
      <c r="H686" s="3">
        <v>0.8</v>
      </c>
      <c r="I686">
        <v>6250</v>
      </c>
      <c r="J686" s="4">
        <v>5000</v>
      </c>
      <c r="K686" s="4">
        <v>1250</v>
      </c>
      <c r="L686" s="5">
        <v>0.25</v>
      </c>
      <c r="M686" t="s">
        <v>129</v>
      </c>
      <c r="N686" t="s">
        <v>362</v>
      </c>
    </row>
    <row r="687" spans="1:14">
      <c r="A687" t="s">
        <v>151</v>
      </c>
      <c r="B687">
        <v>1128299</v>
      </c>
      <c r="C687" s="2">
        <v>44350</v>
      </c>
      <c r="D687" t="s">
        <v>28</v>
      </c>
      <c r="E687" t="s">
        <v>179</v>
      </c>
      <c r="F687" t="s">
        <v>180</v>
      </c>
      <c r="G687" t="s">
        <v>148</v>
      </c>
      <c r="H687" s="3">
        <v>0.8</v>
      </c>
      <c r="I687">
        <v>5000</v>
      </c>
      <c r="J687" s="4">
        <v>4000</v>
      </c>
      <c r="K687" s="4">
        <v>1200</v>
      </c>
      <c r="L687" s="5">
        <v>0.3</v>
      </c>
      <c r="M687" t="s">
        <v>129</v>
      </c>
      <c r="N687" t="s">
        <v>362</v>
      </c>
    </row>
    <row r="688" spans="1:14">
      <c r="A688" t="s">
        <v>151</v>
      </c>
      <c r="B688">
        <v>1128299</v>
      </c>
      <c r="C688" s="2">
        <v>44350</v>
      </c>
      <c r="D688" t="s">
        <v>28</v>
      </c>
      <c r="E688" t="s">
        <v>179</v>
      </c>
      <c r="F688" t="s">
        <v>180</v>
      </c>
      <c r="G688" t="s">
        <v>147</v>
      </c>
      <c r="H688" s="3">
        <v>0.85000000000000009</v>
      </c>
      <c r="I688">
        <v>3750</v>
      </c>
      <c r="J688" s="4">
        <v>3187.5000000000005</v>
      </c>
      <c r="K688" s="4">
        <v>796.87500000000011</v>
      </c>
      <c r="L688" s="5">
        <v>0.25</v>
      </c>
      <c r="M688" t="s">
        <v>129</v>
      </c>
      <c r="N688" t="s">
        <v>362</v>
      </c>
    </row>
    <row r="689" spans="1:14">
      <c r="A689" t="s">
        <v>151</v>
      </c>
      <c r="B689">
        <v>1128299</v>
      </c>
      <c r="C689" s="2">
        <v>44350</v>
      </c>
      <c r="D689" t="s">
        <v>28</v>
      </c>
      <c r="E689" t="s">
        <v>179</v>
      </c>
      <c r="F689" t="s">
        <v>180</v>
      </c>
      <c r="G689" t="s">
        <v>144</v>
      </c>
      <c r="H689" s="3">
        <v>1</v>
      </c>
      <c r="I689">
        <v>6750</v>
      </c>
      <c r="J689" s="4">
        <v>6750</v>
      </c>
      <c r="K689" s="4">
        <v>1350</v>
      </c>
      <c r="L689" s="5">
        <v>0.2</v>
      </c>
      <c r="M689" t="s">
        <v>129</v>
      </c>
      <c r="N689" t="s">
        <v>362</v>
      </c>
    </row>
    <row r="690" spans="1:14">
      <c r="A690" t="s">
        <v>151</v>
      </c>
      <c r="B690">
        <v>1128299</v>
      </c>
      <c r="C690" s="2">
        <v>44379</v>
      </c>
      <c r="D690" t="s">
        <v>28</v>
      </c>
      <c r="E690" t="s">
        <v>179</v>
      </c>
      <c r="F690" t="s">
        <v>180</v>
      </c>
      <c r="G690" t="s">
        <v>27</v>
      </c>
      <c r="H690" s="3">
        <v>0.8</v>
      </c>
      <c r="I690">
        <v>8250</v>
      </c>
      <c r="J690" s="4">
        <v>6600</v>
      </c>
      <c r="K690" s="4">
        <v>1980</v>
      </c>
      <c r="L690" s="5">
        <v>0.3</v>
      </c>
      <c r="M690" t="s">
        <v>130</v>
      </c>
      <c r="N690" t="s">
        <v>363</v>
      </c>
    </row>
    <row r="691" spans="1:14">
      <c r="A691" t="s">
        <v>151</v>
      </c>
      <c r="B691">
        <v>1128299</v>
      </c>
      <c r="C691" s="2">
        <v>44379</v>
      </c>
      <c r="D691" t="s">
        <v>28</v>
      </c>
      <c r="E691" t="s">
        <v>179</v>
      </c>
      <c r="F691" t="s">
        <v>180</v>
      </c>
      <c r="G691" t="s">
        <v>145</v>
      </c>
      <c r="H691" s="3">
        <v>0.85000000000000009</v>
      </c>
      <c r="I691">
        <v>6750</v>
      </c>
      <c r="J691" s="4">
        <v>5737.5000000000009</v>
      </c>
      <c r="K691" s="4">
        <v>1434.3750000000002</v>
      </c>
      <c r="L691" s="5">
        <v>0.25</v>
      </c>
      <c r="M691" t="s">
        <v>130</v>
      </c>
      <c r="N691" t="s">
        <v>363</v>
      </c>
    </row>
    <row r="692" spans="1:14">
      <c r="A692" t="s">
        <v>151</v>
      </c>
      <c r="B692">
        <v>1128299</v>
      </c>
      <c r="C692" s="2">
        <v>44379</v>
      </c>
      <c r="D692" t="s">
        <v>28</v>
      </c>
      <c r="E692" t="s">
        <v>179</v>
      </c>
      <c r="F692" t="s">
        <v>180</v>
      </c>
      <c r="G692" t="s">
        <v>146</v>
      </c>
      <c r="H692" s="3">
        <v>0.85000000000000009</v>
      </c>
      <c r="I692">
        <v>6250</v>
      </c>
      <c r="J692" s="4">
        <v>5312.5000000000009</v>
      </c>
      <c r="K692" s="4">
        <v>1328.1250000000002</v>
      </c>
      <c r="L692" s="5">
        <v>0.25</v>
      </c>
      <c r="M692" t="s">
        <v>130</v>
      </c>
      <c r="N692" t="s">
        <v>363</v>
      </c>
    </row>
    <row r="693" spans="1:14">
      <c r="A693" t="s">
        <v>151</v>
      </c>
      <c r="B693">
        <v>1128299</v>
      </c>
      <c r="C693" s="2">
        <v>44379</v>
      </c>
      <c r="D693" t="s">
        <v>28</v>
      </c>
      <c r="E693" t="s">
        <v>179</v>
      </c>
      <c r="F693" t="s">
        <v>180</v>
      </c>
      <c r="G693" t="s">
        <v>148</v>
      </c>
      <c r="H693" s="3">
        <v>0.8</v>
      </c>
      <c r="I693">
        <v>5250</v>
      </c>
      <c r="J693" s="4">
        <v>4200</v>
      </c>
      <c r="K693" s="4">
        <v>1260</v>
      </c>
      <c r="L693" s="5">
        <v>0.3</v>
      </c>
      <c r="M693" t="s">
        <v>130</v>
      </c>
      <c r="N693" t="s">
        <v>363</v>
      </c>
    </row>
    <row r="694" spans="1:14">
      <c r="A694" t="s">
        <v>151</v>
      </c>
      <c r="B694">
        <v>1128299</v>
      </c>
      <c r="C694" s="2">
        <v>44379</v>
      </c>
      <c r="D694" t="s">
        <v>28</v>
      </c>
      <c r="E694" t="s">
        <v>179</v>
      </c>
      <c r="F694" t="s">
        <v>180</v>
      </c>
      <c r="G694" t="s">
        <v>147</v>
      </c>
      <c r="H694" s="3">
        <v>0.85000000000000009</v>
      </c>
      <c r="I694">
        <v>5750</v>
      </c>
      <c r="J694" s="4">
        <v>4887.5000000000009</v>
      </c>
      <c r="K694" s="4">
        <v>1221.8750000000002</v>
      </c>
      <c r="L694" s="5">
        <v>0.25</v>
      </c>
      <c r="M694" t="s">
        <v>130</v>
      </c>
      <c r="N694" t="s">
        <v>363</v>
      </c>
    </row>
    <row r="695" spans="1:14">
      <c r="A695" t="s">
        <v>151</v>
      </c>
      <c r="B695">
        <v>1128299</v>
      </c>
      <c r="C695" s="2">
        <v>44379</v>
      </c>
      <c r="D695" t="s">
        <v>28</v>
      </c>
      <c r="E695" t="s">
        <v>179</v>
      </c>
      <c r="F695" t="s">
        <v>180</v>
      </c>
      <c r="G695" t="s">
        <v>144</v>
      </c>
      <c r="H695" s="3">
        <v>1</v>
      </c>
      <c r="I695">
        <v>5750</v>
      </c>
      <c r="J695" s="4">
        <v>5750</v>
      </c>
      <c r="K695" s="4">
        <v>1150</v>
      </c>
      <c r="L695" s="5">
        <v>0.2</v>
      </c>
      <c r="M695" t="s">
        <v>130</v>
      </c>
      <c r="N695" t="s">
        <v>363</v>
      </c>
    </row>
    <row r="696" spans="1:14">
      <c r="A696" t="s">
        <v>151</v>
      </c>
      <c r="B696">
        <v>1128299</v>
      </c>
      <c r="C696" s="2">
        <v>44411</v>
      </c>
      <c r="D696" t="s">
        <v>28</v>
      </c>
      <c r="E696" t="s">
        <v>179</v>
      </c>
      <c r="F696" t="s">
        <v>180</v>
      </c>
      <c r="G696" t="s">
        <v>27</v>
      </c>
      <c r="H696" s="3">
        <v>0.85000000000000009</v>
      </c>
      <c r="I696">
        <v>7750</v>
      </c>
      <c r="J696" s="4">
        <v>6587.5000000000009</v>
      </c>
      <c r="K696" s="4">
        <v>1976.2500000000002</v>
      </c>
      <c r="L696" s="5">
        <v>0.3</v>
      </c>
      <c r="M696" t="s">
        <v>131</v>
      </c>
      <c r="N696" t="s">
        <v>363</v>
      </c>
    </row>
    <row r="697" spans="1:14">
      <c r="A697" t="s">
        <v>151</v>
      </c>
      <c r="B697">
        <v>1128299</v>
      </c>
      <c r="C697" s="2">
        <v>44411</v>
      </c>
      <c r="D697" t="s">
        <v>28</v>
      </c>
      <c r="E697" t="s">
        <v>179</v>
      </c>
      <c r="F697" t="s">
        <v>180</v>
      </c>
      <c r="G697" t="s">
        <v>145</v>
      </c>
      <c r="H697" s="3">
        <v>0.80000000000000016</v>
      </c>
      <c r="I697">
        <v>7500</v>
      </c>
      <c r="J697" s="4">
        <v>6000.0000000000009</v>
      </c>
      <c r="K697" s="4">
        <v>1500.0000000000002</v>
      </c>
      <c r="L697" s="5">
        <v>0.25</v>
      </c>
      <c r="M697" t="s">
        <v>131</v>
      </c>
      <c r="N697" t="s">
        <v>363</v>
      </c>
    </row>
    <row r="698" spans="1:14">
      <c r="A698" t="s">
        <v>151</v>
      </c>
      <c r="B698">
        <v>1128299</v>
      </c>
      <c r="C698" s="2">
        <v>44411</v>
      </c>
      <c r="D698" t="s">
        <v>28</v>
      </c>
      <c r="E698" t="s">
        <v>179</v>
      </c>
      <c r="F698" t="s">
        <v>180</v>
      </c>
      <c r="G698" t="s">
        <v>146</v>
      </c>
      <c r="H698" s="3">
        <v>0.75000000000000011</v>
      </c>
      <c r="I698">
        <v>6250</v>
      </c>
      <c r="J698" s="4">
        <v>4687.5000000000009</v>
      </c>
      <c r="K698" s="4">
        <v>1171.8750000000002</v>
      </c>
      <c r="L698" s="5">
        <v>0.25</v>
      </c>
      <c r="M698" t="s">
        <v>131</v>
      </c>
      <c r="N698" t="s">
        <v>363</v>
      </c>
    </row>
    <row r="699" spans="1:14">
      <c r="A699" t="s">
        <v>151</v>
      </c>
      <c r="B699">
        <v>1128299</v>
      </c>
      <c r="C699" s="2">
        <v>44411</v>
      </c>
      <c r="D699" t="s">
        <v>28</v>
      </c>
      <c r="E699" t="s">
        <v>179</v>
      </c>
      <c r="F699" t="s">
        <v>180</v>
      </c>
      <c r="G699" t="s">
        <v>148</v>
      </c>
      <c r="H699" s="3">
        <v>0.75000000000000011</v>
      </c>
      <c r="I699">
        <v>5750</v>
      </c>
      <c r="J699" s="4">
        <v>4312.5000000000009</v>
      </c>
      <c r="K699" s="4">
        <v>1293.7500000000002</v>
      </c>
      <c r="L699" s="5">
        <v>0.3</v>
      </c>
      <c r="M699" t="s">
        <v>131</v>
      </c>
      <c r="N699" t="s">
        <v>363</v>
      </c>
    </row>
    <row r="700" spans="1:14">
      <c r="A700" t="s">
        <v>151</v>
      </c>
      <c r="B700">
        <v>1128299</v>
      </c>
      <c r="C700" s="2">
        <v>44411</v>
      </c>
      <c r="D700" t="s">
        <v>28</v>
      </c>
      <c r="E700" t="s">
        <v>179</v>
      </c>
      <c r="F700" t="s">
        <v>180</v>
      </c>
      <c r="G700" t="s">
        <v>147</v>
      </c>
      <c r="H700" s="3">
        <v>0.75</v>
      </c>
      <c r="I700">
        <v>5750</v>
      </c>
      <c r="J700" s="4">
        <v>4312.5</v>
      </c>
      <c r="K700" s="4">
        <v>1078.125</v>
      </c>
      <c r="L700" s="5">
        <v>0.25</v>
      </c>
      <c r="M700" t="s">
        <v>131</v>
      </c>
      <c r="N700" t="s">
        <v>363</v>
      </c>
    </row>
    <row r="701" spans="1:14">
      <c r="A701" t="s">
        <v>151</v>
      </c>
      <c r="B701">
        <v>1128299</v>
      </c>
      <c r="C701" s="2">
        <v>44411</v>
      </c>
      <c r="D701" t="s">
        <v>28</v>
      </c>
      <c r="E701" t="s">
        <v>179</v>
      </c>
      <c r="F701" t="s">
        <v>180</v>
      </c>
      <c r="G701" t="s">
        <v>144</v>
      </c>
      <c r="H701" s="3">
        <v>0.8</v>
      </c>
      <c r="I701">
        <v>4000</v>
      </c>
      <c r="J701" s="4">
        <v>3200</v>
      </c>
      <c r="K701" s="4">
        <v>640</v>
      </c>
      <c r="L701" s="5">
        <v>0.2</v>
      </c>
      <c r="M701" t="s">
        <v>131</v>
      </c>
      <c r="N701" t="s">
        <v>363</v>
      </c>
    </row>
    <row r="702" spans="1:14">
      <c r="A702" t="s">
        <v>151</v>
      </c>
      <c r="B702">
        <v>1128299</v>
      </c>
      <c r="C702" s="2">
        <v>44443</v>
      </c>
      <c r="D702" t="s">
        <v>28</v>
      </c>
      <c r="E702" t="s">
        <v>179</v>
      </c>
      <c r="F702" t="s">
        <v>180</v>
      </c>
      <c r="G702" t="s">
        <v>27</v>
      </c>
      <c r="H702" s="3">
        <v>0.70000000000000018</v>
      </c>
      <c r="I702">
        <v>6000</v>
      </c>
      <c r="J702" s="4">
        <v>4200.0000000000009</v>
      </c>
      <c r="K702" s="4">
        <v>1260.0000000000002</v>
      </c>
      <c r="L702" s="5">
        <v>0.3</v>
      </c>
      <c r="M702" t="s">
        <v>132</v>
      </c>
      <c r="N702" t="s">
        <v>363</v>
      </c>
    </row>
    <row r="703" spans="1:14">
      <c r="A703" t="s">
        <v>151</v>
      </c>
      <c r="B703">
        <v>1128299</v>
      </c>
      <c r="C703" s="2">
        <v>44443</v>
      </c>
      <c r="D703" t="s">
        <v>28</v>
      </c>
      <c r="E703" t="s">
        <v>179</v>
      </c>
      <c r="F703" t="s">
        <v>180</v>
      </c>
      <c r="G703" t="s">
        <v>145</v>
      </c>
      <c r="H703" s="3">
        <v>0.75000000000000022</v>
      </c>
      <c r="I703">
        <v>6000</v>
      </c>
      <c r="J703" s="4">
        <v>4500.0000000000009</v>
      </c>
      <c r="K703" s="4">
        <v>1125.0000000000002</v>
      </c>
      <c r="L703" s="5">
        <v>0.25</v>
      </c>
      <c r="M703" t="s">
        <v>132</v>
      </c>
      <c r="N703" t="s">
        <v>363</v>
      </c>
    </row>
    <row r="704" spans="1:14">
      <c r="A704" t="s">
        <v>151</v>
      </c>
      <c r="B704">
        <v>1128299</v>
      </c>
      <c r="C704" s="2">
        <v>44443</v>
      </c>
      <c r="D704" t="s">
        <v>28</v>
      </c>
      <c r="E704" t="s">
        <v>179</v>
      </c>
      <c r="F704" t="s">
        <v>180</v>
      </c>
      <c r="G704" t="s">
        <v>146</v>
      </c>
      <c r="H704" s="3">
        <v>0.70000000000000018</v>
      </c>
      <c r="I704">
        <v>4500</v>
      </c>
      <c r="J704" s="4">
        <v>3150.0000000000009</v>
      </c>
      <c r="K704" s="4">
        <v>787.50000000000023</v>
      </c>
      <c r="L704" s="5">
        <v>0.25</v>
      </c>
      <c r="M704" t="s">
        <v>132</v>
      </c>
      <c r="N704" t="s">
        <v>363</v>
      </c>
    </row>
    <row r="705" spans="1:14">
      <c r="A705" t="s">
        <v>151</v>
      </c>
      <c r="B705">
        <v>1128299</v>
      </c>
      <c r="C705" s="2">
        <v>44443</v>
      </c>
      <c r="D705" t="s">
        <v>28</v>
      </c>
      <c r="E705" t="s">
        <v>179</v>
      </c>
      <c r="F705" t="s">
        <v>180</v>
      </c>
      <c r="G705" t="s">
        <v>148</v>
      </c>
      <c r="H705" s="3">
        <v>0.70000000000000018</v>
      </c>
      <c r="I705">
        <v>4000</v>
      </c>
      <c r="J705" s="4">
        <v>2800.0000000000009</v>
      </c>
      <c r="K705" s="4">
        <v>840.00000000000023</v>
      </c>
      <c r="L705" s="5">
        <v>0.3</v>
      </c>
      <c r="M705" t="s">
        <v>132</v>
      </c>
      <c r="N705" t="s">
        <v>363</v>
      </c>
    </row>
    <row r="706" spans="1:14">
      <c r="A706" t="s">
        <v>151</v>
      </c>
      <c r="B706">
        <v>1128299</v>
      </c>
      <c r="C706" s="2">
        <v>44443</v>
      </c>
      <c r="D706" t="s">
        <v>28</v>
      </c>
      <c r="E706" t="s">
        <v>179</v>
      </c>
      <c r="F706" t="s">
        <v>180</v>
      </c>
      <c r="G706" t="s">
        <v>147</v>
      </c>
      <c r="H706" s="3">
        <v>0.80000000000000016</v>
      </c>
      <c r="I706">
        <v>4250</v>
      </c>
      <c r="J706" s="4">
        <v>3400.0000000000005</v>
      </c>
      <c r="K706" s="4">
        <v>850.00000000000011</v>
      </c>
      <c r="L706" s="5">
        <v>0.25</v>
      </c>
      <c r="M706" t="s">
        <v>132</v>
      </c>
      <c r="N706" t="s">
        <v>363</v>
      </c>
    </row>
    <row r="707" spans="1:14">
      <c r="A707" t="s">
        <v>151</v>
      </c>
      <c r="B707">
        <v>1128299</v>
      </c>
      <c r="C707" s="2">
        <v>44443</v>
      </c>
      <c r="D707" t="s">
        <v>28</v>
      </c>
      <c r="E707" t="s">
        <v>179</v>
      </c>
      <c r="F707" t="s">
        <v>180</v>
      </c>
      <c r="G707" t="s">
        <v>144</v>
      </c>
      <c r="H707" s="3">
        <v>0.65</v>
      </c>
      <c r="I707">
        <v>4500</v>
      </c>
      <c r="J707" s="4">
        <v>2925</v>
      </c>
      <c r="K707" s="4">
        <v>585</v>
      </c>
      <c r="L707" s="5">
        <v>0.2</v>
      </c>
      <c r="M707" t="s">
        <v>132</v>
      </c>
      <c r="N707" t="s">
        <v>363</v>
      </c>
    </row>
    <row r="708" spans="1:14">
      <c r="A708" t="s">
        <v>151</v>
      </c>
      <c r="B708">
        <v>1128299</v>
      </c>
      <c r="C708" s="2">
        <v>44472</v>
      </c>
      <c r="D708" t="s">
        <v>28</v>
      </c>
      <c r="E708" t="s">
        <v>179</v>
      </c>
      <c r="F708" t="s">
        <v>180</v>
      </c>
      <c r="G708" t="s">
        <v>27</v>
      </c>
      <c r="H708" s="3">
        <v>0.60000000000000009</v>
      </c>
      <c r="I708">
        <v>5500</v>
      </c>
      <c r="J708" s="4">
        <v>3300.0000000000005</v>
      </c>
      <c r="K708" s="4">
        <v>990.00000000000011</v>
      </c>
      <c r="L708" s="5">
        <v>0.3</v>
      </c>
      <c r="M708" t="s">
        <v>133</v>
      </c>
      <c r="N708" t="s">
        <v>364</v>
      </c>
    </row>
    <row r="709" spans="1:14">
      <c r="A709" t="s">
        <v>151</v>
      </c>
      <c r="B709">
        <v>1128299</v>
      </c>
      <c r="C709" s="2">
        <v>44472</v>
      </c>
      <c r="D709" t="s">
        <v>28</v>
      </c>
      <c r="E709" t="s">
        <v>179</v>
      </c>
      <c r="F709" t="s">
        <v>180</v>
      </c>
      <c r="G709" t="s">
        <v>145</v>
      </c>
      <c r="H709" s="3">
        <v>0.65000000000000013</v>
      </c>
      <c r="I709">
        <v>5500</v>
      </c>
      <c r="J709" s="4">
        <v>3575.0000000000009</v>
      </c>
      <c r="K709" s="4">
        <v>893.75000000000023</v>
      </c>
      <c r="L709" s="5">
        <v>0.25</v>
      </c>
      <c r="M709" t="s">
        <v>133</v>
      </c>
      <c r="N709" t="s">
        <v>364</v>
      </c>
    </row>
    <row r="710" spans="1:14">
      <c r="A710" t="s">
        <v>151</v>
      </c>
      <c r="B710">
        <v>1128299</v>
      </c>
      <c r="C710" s="2">
        <v>44472</v>
      </c>
      <c r="D710" t="s">
        <v>28</v>
      </c>
      <c r="E710" t="s">
        <v>179</v>
      </c>
      <c r="F710" t="s">
        <v>180</v>
      </c>
      <c r="G710" t="s">
        <v>146</v>
      </c>
      <c r="H710" s="3">
        <v>0.60000000000000009</v>
      </c>
      <c r="I710">
        <v>3750</v>
      </c>
      <c r="J710" s="4">
        <v>2250.0000000000005</v>
      </c>
      <c r="K710" s="4">
        <v>562.50000000000011</v>
      </c>
      <c r="L710" s="5">
        <v>0.25</v>
      </c>
      <c r="M710" t="s">
        <v>133</v>
      </c>
      <c r="N710" t="s">
        <v>364</v>
      </c>
    </row>
    <row r="711" spans="1:14">
      <c r="A711" t="s">
        <v>151</v>
      </c>
      <c r="B711">
        <v>1128299</v>
      </c>
      <c r="C711" s="2">
        <v>44472</v>
      </c>
      <c r="D711" t="s">
        <v>28</v>
      </c>
      <c r="E711" t="s">
        <v>179</v>
      </c>
      <c r="F711" t="s">
        <v>180</v>
      </c>
      <c r="G711" t="s">
        <v>148</v>
      </c>
      <c r="H711" s="3">
        <v>0.60000000000000009</v>
      </c>
      <c r="I711">
        <v>3500</v>
      </c>
      <c r="J711" s="4">
        <v>2100.0000000000005</v>
      </c>
      <c r="K711" s="4">
        <v>630.00000000000011</v>
      </c>
      <c r="L711" s="5">
        <v>0.3</v>
      </c>
      <c r="M711" t="s">
        <v>133</v>
      </c>
      <c r="N711" t="s">
        <v>364</v>
      </c>
    </row>
    <row r="712" spans="1:14">
      <c r="A712" t="s">
        <v>151</v>
      </c>
      <c r="B712">
        <v>1128299</v>
      </c>
      <c r="C712" s="2">
        <v>44472</v>
      </c>
      <c r="D712" t="s">
        <v>28</v>
      </c>
      <c r="E712" t="s">
        <v>179</v>
      </c>
      <c r="F712" t="s">
        <v>180</v>
      </c>
      <c r="G712" t="s">
        <v>147</v>
      </c>
      <c r="H712" s="3">
        <v>0.70000000000000007</v>
      </c>
      <c r="I712">
        <v>3250</v>
      </c>
      <c r="J712" s="4">
        <v>2275</v>
      </c>
      <c r="K712" s="4">
        <v>568.75</v>
      </c>
      <c r="L712" s="5">
        <v>0.25</v>
      </c>
      <c r="M712" t="s">
        <v>133</v>
      </c>
      <c r="N712" t="s">
        <v>364</v>
      </c>
    </row>
    <row r="713" spans="1:14">
      <c r="A713" t="s">
        <v>151</v>
      </c>
      <c r="B713">
        <v>1128299</v>
      </c>
      <c r="C713" s="2">
        <v>44472</v>
      </c>
      <c r="D713" t="s">
        <v>28</v>
      </c>
      <c r="E713" t="s">
        <v>179</v>
      </c>
      <c r="F713" t="s">
        <v>180</v>
      </c>
      <c r="G713" t="s">
        <v>144</v>
      </c>
      <c r="H713" s="3">
        <v>0.75000000000000011</v>
      </c>
      <c r="I713">
        <v>3750</v>
      </c>
      <c r="J713" s="4">
        <v>2812.5000000000005</v>
      </c>
      <c r="K713" s="4">
        <v>562.50000000000011</v>
      </c>
      <c r="L713" s="5">
        <v>0.2</v>
      </c>
      <c r="M713" t="s">
        <v>133</v>
      </c>
      <c r="N713" t="s">
        <v>364</v>
      </c>
    </row>
    <row r="714" spans="1:14">
      <c r="A714" t="s">
        <v>151</v>
      </c>
      <c r="B714">
        <v>1128299</v>
      </c>
      <c r="C714" s="2">
        <v>44503</v>
      </c>
      <c r="D714" t="s">
        <v>28</v>
      </c>
      <c r="E714" t="s">
        <v>179</v>
      </c>
      <c r="F714" t="s">
        <v>180</v>
      </c>
      <c r="G714" t="s">
        <v>27</v>
      </c>
      <c r="H714" s="3">
        <v>0.60000000000000009</v>
      </c>
      <c r="I714">
        <v>6000</v>
      </c>
      <c r="J714" s="4">
        <v>3600.0000000000005</v>
      </c>
      <c r="K714" s="4">
        <v>1080</v>
      </c>
      <c r="L714" s="5">
        <v>0.3</v>
      </c>
      <c r="M714" t="s">
        <v>134</v>
      </c>
      <c r="N714" t="s">
        <v>364</v>
      </c>
    </row>
    <row r="715" spans="1:14">
      <c r="A715" t="s">
        <v>151</v>
      </c>
      <c r="B715">
        <v>1128299</v>
      </c>
      <c r="C715" s="2">
        <v>44503</v>
      </c>
      <c r="D715" t="s">
        <v>28</v>
      </c>
      <c r="E715" t="s">
        <v>179</v>
      </c>
      <c r="F715" t="s">
        <v>180</v>
      </c>
      <c r="G715" t="s">
        <v>145</v>
      </c>
      <c r="H715" s="3">
        <v>0.65000000000000013</v>
      </c>
      <c r="I715">
        <v>6250</v>
      </c>
      <c r="J715" s="4">
        <v>4062.5000000000009</v>
      </c>
      <c r="K715" s="4">
        <v>1015.6250000000002</v>
      </c>
      <c r="L715" s="5">
        <v>0.25</v>
      </c>
      <c r="M715" t="s">
        <v>134</v>
      </c>
      <c r="N715" t="s">
        <v>364</v>
      </c>
    </row>
    <row r="716" spans="1:14">
      <c r="A716" t="s">
        <v>151</v>
      </c>
      <c r="B716">
        <v>1128299</v>
      </c>
      <c r="C716" s="2">
        <v>44503</v>
      </c>
      <c r="D716" t="s">
        <v>28</v>
      </c>
      <c r="E716" t="s">
        <v>179</v>
      </c>
      <c r="F716" t="s">
        <v>180</v>
      </c>
      <c r="G716" t="s">
        <v>146</v>
      </c>
      <c r="H716" s="3">
        <v>0.60000000000000009</v>
      </c>
      <c r="I716">
        <v>4750</v>
      </c>
      <c r="J716" s="4">
        <v>2850.0000000000005</v>
      </c>
      <c r="K716" s="4">
        <v>712.50000000000011</v>
      </c>
      <c r="L716" s="5">
        <v>0.25</v>
      </c>
      <c r="M716" t="s">
        <v>134</v>
      </c>
      <c r="N716" t="s">
        <v>364</v>
      </c>
    </row>
    <row r="717" spans="1:14">
      <c r="A717" t="s">
        <v>151</v>
      </c>
      <c r="B717">
        <v>1128299</v>
      </c>
      <c r="C717" s="2">
        <v>44503</v>
      </c>
      <c r="D717" t="s">
        <v>28</v>
      </c>
      <c r="E717" t="s">
        <v>179</v>
      </c>
      <c r="F717" t="s">
        <v>180</v>
      </c>
      <c r="G717" t="s">
        <v>148</v>
      </c>
      <c r="H717" s="3">
        <v>0.70000000000000018</v>
      </c>
      <c r="I717">
        <v>4500</v>
      </c>
      <c r="J717" s="4">
        <v>3150.0000000000009</v>
      </c>
      <c r="K717" s="4">
        <v>945.00000000000023</v>
      </c>
      <c r="L717" s="5">
        <v>0.3</v>
      </c>
      <c r="M717" t="s">
        <v>134</v>
      </c>
      <c r="N717" t="s">
        <v>364</v>
      </c>
    </row>
    <row r="718" spans="1:14">
      <c r="A718" t="s">
        <v>151</v>
      </c>
      <c r="B718">
        <v>1128299</v>
      </c>
      <c r="C718" s="2">
        <v>44503</v>
      </c>
      <c r="D718" t="s">
        <v>28</v>
      </c>
      <c r="E718" t="s">
        <v>179</v>
      </c>
      <c r="F718" t="s">
        <v>180</v>
      </c>
      <c r="G718" t="s">
        <v>147</v>
      </c>
      <c r="H718" s="3">
        <v>0.90000000000000013</v>
      </c>
      <c r="I718">
        <v>4250</v>
      </c>
      <c r="J718" s="4">
        <v>3825.0000000000005</v>
      </c>
      <c r="K718" s="4">
        <v>956.25000000000011</v>
      </c>
      <c r="L718" s="5">
        <v>0.25</v>
      </c>
      <c r="M718" t="s">
        <v>134</v>
      </c>
      <c r="N718" t="s">
        <v>364</v>
      </c>
    </row>
    <row r="719" spans="1:14">
      <c r="A719" t="s">
        <v>151</v>
      </c>
      <c r="B719">
        <v>1128299</v>
      </c>
      <c r="C719" s="2">
        <v>44503</v>
      </c>
      <c r="D719" t="s">
        <v>28</v>
      </c>
      <c r="E719" t="s">
        <v>179</v>
      </c>
      <c r="F719" t="s">
        <v>180</v>
      </c>
      <c r="G719" t="s">
        <v>144</v>
      </c>
      <c r="H719" s="3">
        <v>0.95000000000000018</v>
      </c>
      <c r="I719">
        <v>5500</v>
      </c>
      <c r="J719" s="4">
        <v>5225.0000000000009</v>
      </c>
      <c r="K719" s="4">
        <v>1045.0000000000002</v>
      </c>
      <c r="L719" s="5">
        <v>0.2</v>
      </c>
      <c r="M719" t="s">
        <v>134</v>
      </c>
      <c r="N719" t="s">
        <v>364</v>
      </c>
    </row>
    <row r="720" spans="1:14">
      <c r="A720" t="s">
        <v>151</v>
      </c>
      <c r="B720">
        <v>1128299</v>
      </c>
      <c r="C720" s="2">
        <v>44532</v>
      </c>
      <c r="D720" t="s">
        <v>28</v>
      </c>
      <c r="E720" t="s">
        <v>179</v>
      </c>
      <c r="F720" t="s">
        <v>180</v>
      </c>
      <c r="G720" t="s">
        <v>27</v>
      </c>
      <c r="H720" s="3">
        <v>0.80000000000000016</v>
      </c>
      <c r="I720">
        <v>7500</v>
      </c>
      <c r="J720" s="4">
        <v>6000.0000000000009</v>
      </c>
      <c r="K720" s="4">
        <v>1800.0000000000002</v>
      </c>
      <c r="L720" s="5">
        <v>0.3</v>
      </c>
      <c r="M720" t="s">
        <v>23</v>
      </c>
      <c r="N720" t="s">
        <v>364</v>
      </c>
    </row>
    <row r="721" spans="1:14">
      <c r="A721" t="s">
        <v>151</v>
      </c>
      <c r="B721">
        <v>1128299</v>
      </c>
      <c r="C721" s="2">
        <v>44532</v>
      </c>
      <c r="D721" t="s">
        <v>28</v>
      </c>
      <c r="E721" t="s">
        <v>179</v>
      </c>
      <c r="F721" t="s">
        <v>180</v>
      </c>
      <c r="G721" t="s">
        <v>145</v>
      </c>
      <c r="H721" s="3">
        <v>0.8500000000000002</v>
      </c>
      <c r="I721">
        <v>7500</v>
      </c>
      <c r="J721" s="4">
        <v>6375.0000000000018</v>
      </c>
      <c r="K721" s="4">
        <v>1593.7500000000005</v>
      </c>
      <c r="L721" s="5">
        <v>0.25</v>
      </c>
      <c r="M721" t="s">
        <v>23</v>
      </c>
      <c r="N721" t="s">
        <v>364</v>
      </c>
    </row>
    <row r="722" spans="1:14">
      <c r="A722" t="s">
        <v>151</v>
      </c>
      <c r="B722">
        <v>1128299</v>
      </c>
      <c r="C722" s="2">
        <v>44532</v>
      </c>
      <c r="D722" t="s">
        <v>28</v>
      </c>
      <c r="E722" t="s">
        <v>179</v>
      </c>
      <c r="F722" t="s">
        <v>180</v>
      </c>
      <c r="G722" t="s">
        <v>146</v>
      </c>
      <c r="H722" s="3">
        <v>0.80000000000000016</v>
      </c>
      <c r="I722">
        <v>5500</v>
      </c>
      <c r="J722" s="4">
        <v>4400.0000000000009</v>
      </c>
      <c r="K722" s="4">
        <v>1100.0000000000002</v>
      </c>
      <c r="L722" s="5">
        <v>0.25</v>
      </c>
      <c r="M722" t="s">
        <v>23</v>
      </c>
      <c r="N722" t="s">
        <v>364</v>
      </c>
    </row>
    <row r="723" spans="1:14">
      <c r="A723" t="s">
        <v>151</v>
      </c>
      <c r="B723">
        <v>1128299</v>
      </c>
      <c r="C723" s="2">
        <v>44532</v>
      </c>
      <c r="D723" t="s">
        <v>28</v>
      </c>
      <c r="E723" t="s">
        <v>179</v>
      </c>
      <c r="F723" t="s">
        <v>180</v>
      </c>
      <c r="G723" t="s">
        <v>148</v>
      </c>
      <c r="H723" s="3">
        <v>0.80000000000000016</v>
      </c>
      <c r="I723">
        <v>5500</v>
      </c>
      <c r="J723" s="4">
        <v>4400.0000000000009</v>
      </c>
      <c r="K723" s="4">
        <v>1320.0000000000002</v>
      </c>
      <c r="L723" s="5">
        <v>0.3</v>
      </c>
      <c r="M723" t="s">
        <v>23</v>
      </c>
      <c r="N723" t="s">
        <v>364</v>
      </c>
    </row>
    <row r="724" spans="1:14">
      <c r="A724" t="s">
        <v>151</v>
      </c>
      <c r="B724">
        <v>1128299</v>
      </c>
      <c r="C724" s="2">
        <v>44532</v>
      </c>
      <c r="D724" t="s">
        <v>28</v>
      </c>
      <c r="E724" t="s">
        <v>179</v>
      </c>
      <c r="F724" t="s">
        <v>180</v>
      </c>
      <c r="G724" t="s">
        <v>147</v>
      </c>
      <c r="H724" s="3">
        <v>0.90000000000000013</v>
      </c>
      <c r="I724">
        <v>4750</v>
      </c>
      <c r="J724" s="4">
        <v>4275.0000000000009</v>
      </c>
      <c r="K724" s="4">
        <v>1068.7500000000002</v>
      </c>
      <c r="L724" s="5">
        <v>0.25</v>
      </c>
      <c r="M724" t="s">
        <v>23</v>
      </c>
      <c r="N724" t="s">
        <v>364</v>
      </c>
    </row>
    <row r="725" spans="1:14">
      <c r="A725" t="s">
        <v>151</v>
      </c>
      <c r="B725">
        <v>1128299</v>
      </c>
      <c r="C725" s="2">
        <v>44532</v>
      </c>
      <c r="D725" t="s">
        <v>28</v>
      </c>
      <c r="E725" t="s">
        <v>179</v>
      </c>
      <c r="F725" t="s">
        <v>180</v>
      </c>
      <c r="G725" t="s">
        <v>144</v>
      </c>
      <c r="H725" s="3">
        <v>0.95000000000000018</v>
      </c>
      <c r="I725">
        <v>5750</v>
      </c>
      <c r="J725" s="4">
        <v>5462.5000000000009</v>
      </c>
      <c r="K725" s="4">
        <v>1092.5000000000002</v>
      </c>
      <c r="L725" s="5">
        <v>0.2</v>
      </c>
      <c r="M725" t="s">
        <v>23</v>
      </c>
      <c r="N725" t="s">
        <v>364</v>
      </c>
    </row>
    <row r="726" spans="1:14">
      <c r="A726" t="s">
        <v>29</v>
      </c>
      <c r="B726">
        <v>1185732</v>
      </c>
      <c r="C726" s="2">
        <v>44208</v>
      </c>
      <c r="D726" t="s">
        <v>138</v>
      </c>
      <c r="E726" t="s">
        <v>171</v>
      </c>
      <c r="F726" t="s">
        <v>172</v>
      </c>
      <c r="G726" t="s">
        <v>27</v>
      </c>
      <c r="H726" s="3">
        <v>0.45</v>
      </c>
      <c r="I726">
        <v>10500</v>
      </c>
      <c r="J726" s="4">
        <v>4725</v>
      </c>
      <c r="K726" s="4">
        <v>2126.25</v>
      </c>
      <c r="L726" s="5">
        <v>0.45</v>
      </c>
      <c r="M726" t="s">
        <v>125</v>
      </c>
      <c r="N726" t="s">
        <v>361</v>
      </c>
    </row>
    <row r="727" spans="1:14">
      <c r="A727" t="s">
        <v>29</v>
      </c>
      <c r="B727">
        <v>1185732</v>
      </c>
      <c r="C727" s="2">
        <v>44208</v>
      </c>
      <c r="D727" t="s">
        <v>138</v>
      </c>
      <c r="E727" t="s">
        <v>171</v>
      </c>
      <c r="F727" t="s">
        <v>172</v>
      </c>
      <c r="G727" t="s">
        <v>145</v>
      </c>
      <c r="H727" s="3">
        <v>0.45</v>
      </c>
      <c r="I727">
        <v>8500</v>
      </c>
      <c r="J727" s="4">
        <v>3825</v>
      </c>
      <c r="K727" s="4">
        <v>1338.75</v>
      </c>
      <c r="L727" s="5">
        <v>0.35</v>
      </c>
      <c r="M727" t="s">
        <v>125</v>
      </c>
      <c r="N727" t="s">
        <v>361</v>
      </c>
    </row>
    <row r="728" spans="1:14">
      <c r="A728" t="s">
        <v>29</v>
      </c>
      <c r="B728">
        <v>1185732</v>
      </c>
      <c r="C728" s="2">
        <v>44208</v>
      </c>
      <c r="D728" t="s">
        <v>138</v>
      </c>
      <c r="E728" t="s">
        <v>171</v>
      </c>
      <c r="F728" t="s">
        <v>172</v>
      </c>
      <c r="G728" t="s">
        <v>146</v>
      </c>
      <c r="H728" s="3">
        <v>0.35000000000000003</v>
      </c>
      <c r="I728">
        <v>8500</v>
      </c>
      <c r="J728" s="4">
        <v>2975.0000000000005</v>
      </c>
      <c r="K728" s="4">
        <v>743.75000000000011</v>
      </c>
      <c r="L728" s="5">
        <v>0.25</v>
      </c>
      <c r="M728" t="s">
        <v>125</v>
      </c>
      <c r="N728" t="s">
        <v>361</v>
      </c>
    </row>
    <row r="729" spans="1:14">
      <c r="A729" t="s">
        <v>29</v>
      </c>
      <c r="B729">
        <v>1185732</v>
      </c>
      <c r="C729" s="2">
        <v>44208</v>
      </c>
      <c r="D729" t="s">
        <v>138</v>
      </c>
      <c r="E729" t="s">
        <v>171</v>
      </c>
      <c r="F729" t="s">
        <v>172</v>
      </c>
      <c r="G729" t="s">
        <v>148</v>
      </c>
      <c r="H729" s="3">
        <v>0.39999999999999997</v>
      </c>
      <c r="I729">
        <v>7000</v>
      </c>
      <c r="J729" s="4">
        <v>2799.9999999999995</v>
      </c>
      <c r="K729" s="4">
        <v>839.99999999999989</v>
      </c>
      <c r="L729" s="5">
        <v>0.3</v>
      </c>
      <c r="M729" t="s">
        <v>125</v>
      </c>
      <c r="N729" t="s">
        <v>361</v>
      </c>
    </row>
    <row r="730" spans="1:14">
      <c r="A730" t="s">
        <v>29</v>
      </c>
      <c r="B730">
        <v>1185732</v>
      </c>
      <c r="C730" s="2">
        <v>44208</v>
      </c>
      <c r="D730" t="s">
        <v>138</v>
      </c>
      <c r="E730" t="s">
        <v>171</v>
      </c>
      <c r="F730" t="s">
        <v>172</v>
      </c>
      <c r="G730" t="s">
        <v>147</v>
      </c>
      <c r="H730" s="3">
        <v>0.55000000000000004</v>
      </c>
      <c r="I730">
        <v>7500</v>
      </c>
      <c r="J730" s="4">
        <v>4125</v>
      </c>
      <c r="K730" s="4">
        <v>1443.75</v>
      </c>
      <c r="L730" s="5">
        <v>0.35</v>
      </c>
      <c r="M730" t="s">
        <v>125</v>
      </c>
      <c r="N730" t="s">
        <v>361</v>
      </c>
    </row>
    <row r="731" spans="1:14">
      <c r="A731" t="s">
        <v>29</v>
      </c>
      <c r="B731">
        <v>1185732</v>
      </c>
      <c r="C731" s="2">
        <v>44208</v>
      </c>
      <c r="D731" t="s">
        <v>138</v>
      </c>
      <c r="E731" t="s">
        <v>171</v>
      </c>
      <c r="F731" t="s">
        <v>172</v>
      </c>
      <c r="G731" t="s">
        <v>144</v>
      </c>
      <c r="H731" s="3">
        <v>0.45</v>
      </c>
      <c r="I731">
        <v>8500</v>
      </c>
      <c r="J731" s="4">
        <v>3825</v>
      </c>
      <c r="K731" s="4">
        <v>1912.5</v>
      </c>
      <c r="L731" s="5">
        <v>0.5</v>
      </c>
      <c r="M731" t="s">
        <v>125</v>
      </c>
      <c r="N731" t="s">
        <v>361</v>
      </c>
    </row>
    <row r="732" spans="1:14">
      <c r="A732" t="s">
        <v>29</v>
      </c>
      <c r="B732">
        <v>1185732</v>
      </c>
      <c r="C732" s="2">
        <v>44237</v>
      </c>
      <c r="D732" t="s">
        <v>138</v>
      </c>
      <c r="E732" t="s">
        <v>171</v>
      </c>
      <c r="F732" t="s">
        <v>172</v>
      </c>
      <c r="G732" t="s">
        <v>27</v>
      </c>
      <c r="H732" s="3">
        <v>0.45</v>
      </c>
      <c r="I732">
        <v>11000</v>
      </c>
      <c r="J732" s="4">
        <v>4950</v>
      </c>
      <c r="K732" s="4">
        <v>2227.5</v>
      </c>
      <c r="L732" s="5">
        <v>0.45</v>
      </c>
      <c r="M732" t="s">
        <v>126</v>
      </c>
      <c r="N732" t="s">
        <v>361</v>
      </c>
    </row>
    <row r="733" spans="1:14">
      <c r="A733" t="s">
        <v>29</v>
      </c>
      <c r="B733">
        <v>1185732</v>
      </c>
      <c r="C733" s="2">
        <v>44237</v>
      </c>
      <c r="D733" t="s">
        <v>138</v>
      </c>
      <c r="E733" t="s">
        <v>171</v>
      </c>
      <c r="F733" t="s">
        <v>172</v>
      </c>
      <c r="G733" t="s">
        <v>145</v>
      </c>
      <c r="H733" s="3">
        <v>0.45</v>
      </c>
      <c r="I733">
        <v>7500</v>
      </c>
      <c r="J733" s="4">
        <v>3375</v>
      </c>
      <c r="K733" s="4">
        <v>1181.25</v>
      </c>
      <c r="L733" s="5">
        <v>0.35</v>
      </c>
      <c r="M733" t="s">
        <v>126</v>
      </c>
      <c r="N733" t="s">
        <v>361</v>
      </c>
    </row>
    <row r="734" spans="1:14">
      <c r="A734" t="s">
        <v>29</v>
      </c>
      <c r="B734">
        <v>1185732</v>
      </c>
      <c r="C734" s="2">
        <v>44237</v>
      </c>
      <c r="D734" t="s">
        <v>138</v>
      </c>
      <c r="E734" t="s">
        <v>171</v>
      </c>
      <c r="F734" t="s">
        <v>172</v>
      </c>
      <c r="G734" t="s">
        <v>146</v>
      </c>
      <c r="H734" s="3">
        <v>0.35000000000000003</v>
      </c>
      <c r="I734">
        <v>8000</v>
      </c>
      <c r="J734" s="4">
        <v>2800.0000000000005</v>
      </c>
      <c r="K734" s="4">
        <v>700.00000000000011</v>
      </c>
      <c r="L734" s="5">
        <v>0.25</v>
      </c>
      <c r="M734" t="s">
        <v>126</v>
      </c>
      <c r="N734" t="s">
        <v>361</v>
      </c>
    </row>
    <row r="735" spans="1:14">
      <c r="A735" t="s">
        <v>29</v>
      </c>
      <c r="B735">
        <v>1185732</v>
      </c>
      <c r="C735" s="2">
        <v>44237</v>
      </c>
      <c r="D735" t="s">
        <v>138</v>
      </c>
      <c r="E735" t="s">
        <v>171</v>
      </c>
      <c r="F735" t="s">
        <v>172</v>
      </c>
      <c r="G735" t="s">
        <v>148</v>
      </c>
      <c r="H735" s="3">
        <v>0.39999999999999997</v>
      </c>
      <c r="I735">
        <v>6750</v>
      </c>
      <c r="J735" s="4">
        <v>2700</v>
      </c>
      <c r="K735" s="4">
        <v>810</v>
      </c>
      <c r="L735" s="5">
        <v>0.3</v>
      </c>
      <c r="M735" t="s">
        <v>126</v>
      </c>
      <c r="N735" t="s">
        <v>361</v>
      </c>
    </row>
    <row r="736" spans="1:14">
      <c r="A736" t="s">
        <v>29</v>
      </c>
      <c r="B736">
        <v>1185732</v>
      </c>
      <c r="C736" s="2">
        <v>44237</v>
      </c>
      <c r="D736" t="s">
        <v>138</v>
      </c>
      <c r="E736" t="s">
        <v>171</v>
      </c>
      <c r="F736" t="s">
        <v>172</v>
      </c>
      <c r="G736" t="s">
        <v>147</v>
      </c>
      <c r="H736" s="3">
        <v>0.55000000000000004</v>
      </c>
      <c r="I736">
        <v>7500</v>
      </c>
      <c r="J736" s="4">
        <v>4125</v>
      </c>
      <c r="K736" s="4">
        <v>1443.75</v>
      </c>
      <c r="L736" s="5">
        <v>0.35</v>
      </c>
      <c r="M736" t="s">
        <v>126</v>
      </c>
      <c r="N736" t="s">
        <v>361</v>
      </c>
    </row>
    <row r="737" spans="1:14">
      <c r="A737" t="s">
        <v>29</v>
      </c>
      <c r="B737">
        <v>1185732</v>
      </c>
      <c r="C737" s="2">
        <v>44237</v>
      </c>
      <c r="D737" t="s">
        <v>138</v>
      </c>
      <c r="E737" t="s">
        <v>171</v>
      </c>
      <c r="F737" t="s">
        <v>172</v>
      </c>
      <c r="G737" t="s">
        <v>144</v>
      </c>
      <c r="H737" s="3">
        <v>0.45</v>
      </c>
      <c r="I737">
        <v>8500</v>
      </c>
      <c r="J737" s="4">
        <v>3825</v>
      </c>
      <c r="K737" s="4">
        <v>1912.5</v>
      </c>
      <c r="L737" s="5">
        <v>0.5</v>
      </c>
      <c r="M737" t="s">
        <v>126</v>
      </c>
      <c r="N737" t="s">
        <v>361</v>
      </c>
    </row>
    <row r="738" spans="1:14">
      <c r="A738" t="s">
        <v>29</v>
      </c>
      <c r="B738">
        <v>1185732</v>
      </c>
      <c r="C738" s="2">
        <v>44263</v>
      </c>
      <c r="D738" t="s">
        <v>138</v>
      </c>
      <c r="E738" t="s">
        <v>171</v>
      </c>
      <c r="F738" t="s">
        <v>172</v>
      </c>
      <c r="G738" t="s">
        <v>27</v>
      </c>
      <c r="H738" s="3">
        <v>0.45</v>
      </c>
      <c r="I738">
        <v>10700</v>
      </c>
      <c r="J738" s="4">
        <v>4815</v>
      </c>
      <c r="K738" s="4">
        <v>2166.75</v>
      </c>
      <c r="L738" s="5">
        <v>0.45</v>
      </c>
      <c r="M738" t="s">
        <v>24</v>
      </c>
      <c r="N738" t="s">
        <v>361</v>
      </c>
    </row>
    <row r="739" spans="1:14">
      <c r="A739" t="s">
        <v>29</v>
      </c>
      <c r="B739">
        <v>1185732</v>
      </c>
      <c r="C739" s="2">
        <v>44263</v>
      </c>
      <c r="D739" t="s">
        <v>138</v>
      </c>
      <c r="E739" t="s">
        <v>171</v>
      </c>
      <c r="F739" t="s">
        <v>172</v>
      </c>
      <c r="G739" t="s">
        <v>145</v>
      </c>
      <c r="H739" s="3">
        <v>0.45</v>
      </c>
      <c r="I739">
        <v>7500</v>
      </c>
      <c r="J739" s="4">
        <v>3375</v>
      </c>
      <c r="K739" s="4">
        <v>1181.25</v>
      </c>
      <c r="L739" s="5">
        <v>0.35</v>
      </c>
      <c r="M739" t="s">
        <v>24</v>
      </c>
      <c r="N739" t="s">
        <v>361</v>
      </c>
    </row>
    <row r="740" spans="1:14">
      <c r="A740" t="s">
        <v>29</v>
      </c>
      <c r="B740">
        <v>1185732</v>
      </c>
      <c r="C740" s="2">
        <v>44263</v>
      </c>
      <c r="D740" t="s">
        <v>138</v>
      </c>
      <c r="E740" t="s">
        <v>171</v>
      </c>
      <c r="F740" t="s">
        <v>172</v>
      </c>
      <c r="G740" t="s">
        <v>146</v>
      </c>
      <c r="H740" s="3">
        <v>0.35000000000000003</v>
      </c>
      <c r="I740">
        <v>7750</v>
      </c>
      <c r="J740" s="4">
        <v>2712.5000000000005</v>
      </c>
      <c r="K740" s="4">
        <v>678.12500000000011</v>
      </c>
      <c r="L740" s="5">
        <v>0.25</v>
      </c>
      <c r="M740" t="s">
        <v>24</v>
      </c>
      <c r="N740" t="s">
        <v>361</v>
      </c>
    </row>
    <row r="741" spans="1:14">
      <c r="A741" t="s">
        <v>29</v>
      </c>
      <c r="B741">
        <v>1185732</v>
      </c>
      <c r="C741" s="2">
        <v>44263</v>
      </c>
      <c r="D741" t="s">
        <v>138</v>
      </c>
      <c r="E741" t="s">
        <v>171</v>
      </c>
      <c r="F741" t="s">
        <v>172</v>
      </c>
      <c r="G741" t="s">
        <v>148</v>
      </c>
      <c r="H741" s="3">
        <v>0.39999999999999997</v>
      </c>
      <c r="I741">
        <v>6250</v>
      </c>
      <c r="J741" s="4">
        <v>2500</v>
      </c>
      <c r="K741" s="4">
        <v>750</v>
      </c>
      <c r="L741" s="5">
        <v>0.3</v>
      </c>
      <c r="M741" t="s">
        <v>24</v>
      </c>
      <c r="N741" t="s">
        <v>361</v>
      </c>
    </row>
    <row r="742" spans="1:14">
      <c r="A742" t="s">
        <v>29</v>
      </c>
      <c r="B742">
        <v>1185732</v>
      </c>
      <c r="C742" s="2">
        <v>44263</v>
      </c>
      <c r="D742" t="s">
        <v>138</v>
      </c>
      <c r="E742" t="s">
        <v>171</v>
      </c>
      <c r="F742" t="s">
        <v>172</v>
      </c>
      <c r="G742" t="s">
        <v>147</v>
      </c>
      <c r="H742" s="3">
        <v>0.55000000000000004</v>
      </c>
      <c r="I742">
        <v>6750</v>
      </c>
      <c r="J742" s="4">
        <v>3712.5000000000005</v>
      </c>
      <c r="K742" s="4">
        <v>1299.375</v>
      </c>
      <c r="L742" s="5">
        <v>0.35</v>
      </c>
      <c r="M742" t="s">
        <v>24</v>
      </c>
      <c r="N742" t="s">
        <v>361</v>
      </c>
    </row>
    <row r="743" spans="1:14">
      <c r="A743" t="s">
        <v>29</v>
      </c>
      <c r="B743">
        <v>1185732</v>
      </c>
      <c r="C743" s="2">
        <v>44263</v>
      </c>
      <c r="D743" t="s">
        <v>138</v>
      </c>
      <c r="E743" t="s">
        <v>171</v>
      </c>
      <c r="F743" t="s">
        <v>172</v>
      </c>
      <c r="G743" t="s">
        <v>144</v>
      </c>
      <c r="H743" s="3">
        <v>0.45</v>
      </c>
      <c r="I743">
        <v>7750</v>
      </c>
      <c r="J743" s="4">
        <v>3487.5</v>
      </c>
      <c r="K743" s="4">
        <v>1743.75</v>
      </c>
      <c r="L743" s="5">
        <v>0.5</v>
      </c>
      <c r="M743" t="s">
        <v>24</v>
      </c>
      <c r="N743" t="s">
        <v>361</v>
      </c>
    </row>
    <row r="744" spans="1:14">
      <c r="A744" t="s">
        <v>29</v>
      </c>
      <c r="B744">
        <v>1185732</v>
      </c>
      <c r="C744" s="2">
        <v>44295</v>
      </c>
      <c r="D744" t="s">
        <v>138</v>
      </c>
      <c r="E744" t="s">
        <v>171</v>
      </c>
      <c r="F744" t="s">
        <v>172</v>
      </c>
      <c r="G744" t="s">
        <v>27</v>
      </c>
      <c r="H744" s="3">
        <v>0.45</v>
      </c>
      <c r="I744">
        <v>10250</v>
      </c>
      <c r="J744" s="4">
        <v>4612.5</v>
      </c>
      <c r="K744" s="4">
        <v>2075.625</v>
      </c>
      <c r="L744" s="5">
        <v>0.45</v>
      </c>
      <c r="M744" t="s">
        <v>127</v>
      </c>
      <c r="N744" t="s">
        <v>362</v>
      </c>
    </row>
    <row r="745" spans="1:14">
      <c r="A745" t="s">
        <v>29</v>
      </c>
      <c r="B745">
        <v>1185732</v>
      </c>
      <c r="C745" s="2">
        <v>44295</v>
      </c>
      <c r="D745" t="s">
        <v>138</v>
      </c>
      <c r="E745" t="s">
        <v>171</v>
      </c>
      <c r="F745" t="s">
        <v>172</v>
      </c>
      <c r="G745" t="s">
        <v>145</v>
      </c>
      <c r="H745" s="3">
        <v>0.45</v>
      </c>
      <c r="I745">
        <v>7250</v>
      </c>
      <c r="J745" s="4">
        <v>3262.5</v>
      </c>
      <c r="K745" s="4">
        <v>1141.875</v>
      </c>
      <c r="L745" s="5">
        <v>0.35</v>
      </c>
      <c r="M745" t="s">
        <v>127</v>
      </c>
      <c r="N745" t="s">
        <v>362</v>
      </c>
    </row>
    <row r="746" spans="1:14">
      <c r="A746" t="s">
        <v>29</v>
      </c>
      <c r="B746">
        <v>1185732</v>
      </c>
      <c r="C746" s="2">
        <v>44295</v>
      </c>
      <c r="D746" t="s">
        <v>138</v>
      </c>
      <c r="E746" t="s">
        <v>171</v>
      </c>
      <c r="F746" t="s">
        <v>172</v>
      </c>
      <c r="G746" t="s">
        <v>146</v>
      </c>
      <c r="H746" s="3">
        <v>0.35000000000000003</v>
      </c>
      <c r="I746">
        <v>7250</v>
      </c>
      <c r="J746" s="4">
        <v>2537.5000000000005</v>
      </c>
      <c r="K746" s="4">
        <v>634.37500000000011</v>
      </c>
      <c r="L746" s="5">
        <v>0.25</v>
      </c>
      <c r="M746" t="s">
        <v>127</v>
      </c>
      <c r="N746" t="s">
        <v>362</v>
      </c>
    </row>
    <row r="747" spans="1:14">
      <c r="A747" t="s">
        <v>29</v>
      </c>
      <c r="B747">
        <v>1185732</v>
      </c>
      <c r="C747" s="2">
        <v>44295</v>
      </c>
      <c r="D747" t="s">
        <v>138</v>
      </c>
      <c r="E747" t="s">
        <v>171</v>
      </c>
      <c r="F747" t="s">
        <v>172</v>
      </c>
      <c r="G747" t="s">
        <v>148</v>
      </c>
      <c r="H747" s="3">
        <v>0.39999999999999997</v>
      </c>
      <c r="I747">
        <v>6500</v>
      </c>
      <c r="J747" s="4">
        <v>2600</v>
      </c>
      <c r="K747" s="4">
        <v>780</v>
      </c>
      <c r="L747" s="5">
        <v>0.3</v>
      </c>
      <c r="M747" t="s">
        <v>127</v>
      </c>
      <c r="N747" t="s">
        <v>362</v>
      </c>
    </row>
    <row r="748" spans="1:14">
      <c r="A748" t="s">
        <v>29</v>
      </c>
      <c r="B748">
        <v>1185732</v>
      </c>
      <c r="C748" s="2">
        <v>44295</v>
      </c>
      <c r="D748" t="s">
        <v>138</v>
      </c>
      <c r="E748" t="s">
        <v>171</v>
      </c>
      <c r="F748" t="s">
        <v>172</v>
      </c>
      <c r="G748" t="s">
        <v>147</v>
      </c>
      <c r="H748" s="3">
        <v>0.55000000000000004</v>
      </c>
      <c r="I748">
        <v>6750</v>
      </c>
      <c r="J748" s="4">
        <v>3712.5000000000005</v>
      </c>
      <c r="K748" s="4">
        <v>1299.375</v>
      </c>
      <c r="L748" s="5">
        <v>0.35</v>
      </c>
      <c r="M748" t="s">
        <v>127</v>
      </c>
      <c r="N748" t="s">
        <v>362</v>
      </c>
    </row>
    <row r="749" spans="1:14">
      <c r="A749" t="s">
        <v>29</v>
      </c>
      <c r="B749">
        <v>1185732</v>
      </c>
      <c r="C749" s="2">
        <v>44295</v>
      </c>
      <c r="D749" t="s">
        <v>138</v>
      </c>
      <c r="E749" t="s">
        <v>171</v>
      </c>
      <c r="F749" t="s">
        <v>172</v>
      </c>
      <c r="G749" t="s">
        <v>144</v>
      </c>
      <c r="H749" s="3">
        <v>0.45</v>
      </c>
      <c r="I749">
        <v>8000</v>
      </c>
      <c r="J749" s="4">
        <v>3600</v>
      </c>
      <c r="K749" s="4">
        <v>1800</v>
      </c>
      <c r="L749" s="5">
        <v>0.5</v>
      </c>
      <c r="M749" t="s">
        <v>127</v>
      </c>
      <c r="N749" t="s">
        <v>362</v>
      </c>
    </row>
    <row r="750" spans="1:14">
      <c r="A750" t="s">
        <v>29</v>
      </c>
      <c r="B750">
        <v>1185732</v>
      </c>
      <c r="C750" s="2">
        <v>44324</v>
      </c>
      <c r="D750" t="s">
        <v>138</v>
      </c>
      <c r="E750" t="s">
        <v>171</v>
      </c>
      <c r="F750" t="s">
        <v>172</v>
      </c>
      <c r="G750" t="s">
        <v>27</v>
      </c>
      <c r="H750" s="3">
        <v>0.55000000000000004</v>
      </c>
      <c r="I750">
        <v>10700</v>
      </c>
      <c r="J750" s="4">
        <v>5885.0000000000009</v>
      </c>
      <c r="K750" s="4">
        <v>2648.2500000000005</v>
      </c>
      <c r="L750" s="5">
        <v>0.45</v>
      </c>
      <c r="M750" t="s">
        <v>128</v>
      </c>
      <c r="N750" t="s">
        <v>362</v>
      </c>
    </row>
    <row r="751" spans="1:14">
      <c r="A751" t="s">
        <v>29</v>
      </c>
      <c r="B751">
        <v>1185732</v>
      </c>
      <c r="C751" s="2">
        <v>44324</v>
      </c>
      <c r="D751" t="s">
        <v>138</v>
      </c>
      <c r="E751" t="s">
        <v>171</v>
      </c>
      <c r="F751" t="s">
        <v>172</v>
      </c>
      <c r="G751" t="s">
        <v>145</v>
      </c>
      <c r="H751" s="3">
        <v>0.55000000000000004</v>
      </c>
      <c r="I751">
        <v>7750</v>
      </c>
      <c r="J751" s="4">
        <v>4262.5</v>
      </c>
      <c r="K751" s="4">
        <v>1491.875</v>
      </c>
      <c r="L751" s="5">
        <v>0.35</v>
      </c>
      <c r="M751" t="s">
        <v>128</v>
      </c>
      <c r="N751" t="s">
        <v>362</v>
      </c>
    </row>
    <row r="752" spans="1:14">
      <c r="A752" t="s">
        <v>29</v>
      </c>
      <c r="B752">
        <v>1185732</v>
      </c>
      <c r="C752" s="2">
        <v>44324</v>
      </c>
      <c r="D752" t="s">
        <v>138</v>
      </c>
      <c r="E752" t="s">
        <v>171</v>
      </c>
      <c r="F752" t="s">
        <v>172</v>
      </c>
      <c r="G752" t="s">
        <v>146</v>
      </c>
      <c r="H752" s="3">
        <v>0.5</v>
      </c>
      <c r="I752">
        <v>7500</v>
      </c>
      <c r="J752" s="4">
        <v>3750</v>
      </c>
      <c r="K752" s="4">
        <v>937.5</v>
      </c>
      <c r="L752" s="5">
        <v>0.25</v>
      </c>
      <c r="M752" t="s">
        <v>128</v>
      </c>
      <c r="N752" t="s">
        <v>362</v>
      </c>
    </row>
    <row r="753" spans="1:14">
      <c r="A753" t="s">
        <v>29</v>
      </c>
      <c r="B753">
        <v>1185732</v>
      </c>
      <c r="C753" s="2">
        <v>44324</v>
      </c>
      <c r="D753" t="s">
        <v>138</v>
      </c>
      <c r="E753" t="s">
        <v>171</v>
      </c>
      <c r="F753" t="s">
        <v>172</v>
      </c>
      <c r="G753" t="s">
        <v>148</v>
      </c>
      <c r="H753" s="3">
        <v>0.5</v>
      </c>
      <c r="I753">
        <v>7000</v>
      </c>
      <c r="J753" s="4">
        <v>3500</v>
      </c>
      <c r="K753" s="4">
        <v>1050</v>
      </c>
      <c r="L753" s="5">
        <v>0.3</v>
      </c>
      <c r="M753" t="s">
        <v>128</v>
      </c>
      <c r="N753" t="s">
        <v>362</v>
      </c>
    </row>
    <row r="754" spans="1:14">
      <c r="A754" t="s">
        <v>29</v>
      </c>
      <c r="B754">
        <v>1185732</v>
      </c>
      <c r="C754" s="2">
        <v>44324</v>
      </c>
      <c r="D754" t="s">
        <v>138</v>
      </c>
      <c r="E754" t="s">
        <v>171</v>
      </c>
      <c r="F754" t="s">
        <v>172</v>
      </c>
      <c r="G754" t="s">
        <v>147</v>
      </c>
      <c r="H754" s="3">
        <v>0.6</v>
      </c>
      <c r="I754">
        <v>7250</v>
      </c>
      <c r="J754" s="4">
        <v>4350</v>
      </c>
      <c r="K754" s="4">
        <v>1522.5</v>
      </c>
      <c r="L754" s="5">
        <v>0.35</v>
      </c>
      <c r="M754" t="s">
        <v>128</v>
      </c>
      <c r="N754" t="s">
        <v>362</v>
      </c>
    </row>
    <row r="755" spans="1:14">
      <c r="A755" t="s">
        <v>29</v>
      </c>
      <c r="B755">
        <v>1185732</v>
      </c>
      <c r="C755" s="2">
        <v>44324</v>
      </c>
      <c r="D755" t="s">
        <v>138</v>
      </c>
      <c r="E755" t="s">
        <v>171</v>
      </c>
      <c r="F755" t="s">
        <v>172</v>
      </c>
      <c r="G755" t="s">
        <v>144</v>
      </c>
      <c r="H755" s="3">
        <v>0.65</v>
      </c>
      <c r="I755">
        <v>8250</v>
      </c>
      <c r="J755" s="4">
        <v>5362.5</v>
      </c>
      <c r="K755" s="4">
        <v>2681.25</v>
      </c>
      <c r="L755" s="5">
        <v>0.5</v>
      </c>
      <c r="M755" t="s">
        <v>128</v>
      </c>
      <c r="N755" t="s">
        <v>362</v>
      </c>
    </row>
    <row r="756" spans="1:14">
      <c r="A756" t="s">
        <v>29</v>
      </c>
      <c r="B756">
        <v>1185732</v>
      </c>
      <c r="C756" s="2">
        <v>44357</v>
      </c>
      <c r="D756" t="s">
        <v>138</v>
      </c>
      <c r="E756" t="s">
        <v>171</v>
      </c>
      <c r="F756" t="s">
        <v>172</v>
      </c>
      <c r="G756" t="s">
        <v>27</v>
      </c>
      <c r="H756" s="3">
        <v>0.6</v>
      </c>
      <c r="I756">
        <v>10750</v>
      </c>
      <c r="J756" s="4">
        <v>6450</v>
      </c>
      <c r="K756" s="4">
        <v>2902.5</v>
      </c>
      <c r="L756" s="5">
        <v>0.45</v>
      </c>
      <c r="M756" t="s">
        <v>129</v>
      </c>
      <c r="N756" t="s">
        <v>362</v>
      </c>
    </row>
    <row r="757" spans="1:14">
      <c r="A757" t="s">
        <v>29</v>
      </c>
      <c r="B757">
        <v>1185732</v>
      </c>
      <c r="C757" s="2">
        <v>44357</v>
      </c>
      <c r="D757" t="s">
        <v>138</v>
      </c>
      <c r="E757" t="s">
        <v>171</v>
      </c>
      <c r="F757" t="s">
        <v>172</v>
      </c>
      <c r="G757" t="s">
        <v>145</v>
      </c>
      <c r="H757" s="3">
        <v>0.55000000000000004</v>
      </c>
      <c r="I757">
        <v>8250</v>
      </c>
      <c r="J757" s="4">
        <v>4537.5</v>
      </c>
      <c r="K757" s="4">
        <v>1588.125</v>
      </c>
      <c r="L757" s="5">
        <v>0.35</v>
      </c>
      <c r="M757" t="s">
        <v>129</v>
      </c>
      <c r="N757" t="s">
        <v>362</v>
      </c>
    </row>
    <row r="758" spans="1:14">
      <c r="A758" t="s">
        <v>29</v>
      </c>
      <c r="B758">
        <v>1185732</v>
      </c>
      <c r="C758" s="2">
        <v>44357</v>
      </c>
      <c r="D758" t="s">
        <v>138</v>
      </c>
      <c r="E758" t="s">
        <v>171</v>
      </c>
      <c r="F758" t="s">
        <v>172</v>
      </c>
      <c r="G758" t="s">
        <v>146</v>
      </c>
      <c r="H758" s="3">
        <v>0.5</v>
      </c>
      <c r="I758">
        <v>8000</v>
      </c>
      <c r="J758" s="4">
        <v>4000</v>
      </c>
      <c r="K758" s="4">
        <v>1000</v>
      </c>
      <c r="L758" s="5">
        <v>0.25</v>
      </c>
      <c r="M758" t="s">
        <v>129</v>
      </c>
      <c r="N758" t="s">
        <v>362</v>
      </c>
    </row>
    <row r="759" spans="1:14">
      <c r="A759" t="s">
        <v>29</v>
      </c>
      <c r="B759">
        <v>1185732</v>
      </c>
      <c r="C759" s="2">
        <v>44357</v>
      </c>
      <c r="D759" t="s">
        <v>138</v>
      </c>
      <c r="E759" t="s">
        <v>171</v>
      </c>
      <c r="F759" t="s">
        <v>172</v>
      </c>
      <c r="G759" t="s">
        <v>148</v>
      </c>
      <c r="H759" s="3">
        <v>0.5</v>
      </c>
      <c r="I759">
        <v>7750</v>
      </c>
      <c r="J759" s="4">
        <v>3875</v>
      </c>
      <c r="K759" s="4">
        <v>1162.5</v>
      </c>
      <c r="L759" s="5">
        <v>0.3</v>
      </c>
      <c r="M759" t="s">
        <v>129</v>
      </c>
      <c r="N759" t="s">
        <v>362</v>
      </c>
    </row>
    <row r="760" spans="1:14">
      <c r="A760" t="s">
        <v>29</v>
      </c>
      <c r="B760">
        <v>1185732</v>
      </c>
      <c r="C760" s="2">
        <v>44357</v>
      </c>
      <c r="D760" t="s">
        <v>138</v>
      </c>
      <c r="E760" t="s">
        <v>171</v>
      </c>
      <c r="F760" t="s">
        <v>172</v>
      </c>
      <c r="G760" t="s">
        <v>147</v>
      </c>
      <c r="H760" s="3">
        <v>0.65</v>
      </c>
      <c r="I760">
        <v>7750</v>
      </c>
      <c r="J760" s="4">
        <v>5037.5</v>
      </c>
      <c r="K760" s="4">
        <v>1763.125</v>
      </c>
      <c r="L760" s="5">
        <v>0.35</v>
      </c>
      <c r="M760" t="s">
        <v>129</v>
      </c>
      <c r="N760" t="s">
        <v>362</v>
      </c>
    </row>
    <row r="761" spans="1:14">
      <c r="A761" t="s">
        <v>29</v>
      </c>
      <c r="B761">
        <v>1185732</v>
      </c>
      <c r="C761" s="2">
        <v>44357</v>
      </c>
      <c r="D761" t="s">
        <v>138</v>
      </c>
      <c r="E761" t="s">
        <v>171</v>
      </c>
      <c r="F761" t="s">
        <v>172</v>
      </c>
      <c r="G761" t="s">
        <v>144</v>
      </c>
      <c r="H761" s="3">
        <v>0.70000000000000007</v>
      </c>
      <c r="I761">
        <v>9250</v>
      </c>
      <c r="J761" s="4">
        <v>6475.0000000000009</v>
      </c>
      <c r="K761" s="4">
        <v>3237.5000000000005</v>
      </c>
      <c r="L761" s="5">
        <v>0.5</v>
      </c>
      <c r="M761" t="s">
        <v>129</v>
      </c>
      <c r="N761" t="s">
        <v>362</v>
      </c>
    </row>
    <row r="762" spans="1:14">
      <c r="A762" t="s">
        <v>29</v>
      </c>
      <c r="B762">
        <v>1185732</v>
      </c>
      <c r="C762" s="2">
        <v>44385</v>
      </c>
      <c r="D762" t="s">
        <v>138</v>
      </c>
      <c r="E762" t="s">
        <v>171</v>
      </c>
      <c r="F762" t="s">
        <v>172</v>
      </c>
      <c r="G762" t="s">
        <v>27</v>
      </c>
      <c r="H762" s="3">
        <v>0.65</v>
      </c>
      <c r="I762">
        <v>11500</v>
      </c>
      <c r="J762" s="4">
        <v>7475</v>
      </c>
      <c r="K762" s="4">
        <v>3363.75</v>
      </c>
      <c r="L762" s="5">
        <v>0.45</v>
      </c>
      <c r="M762" t="s">
        <v>130</v>
      </c>
      <c r="N762" t="s">
        <v>363</v>
      </c>
    </row>
    <row r="763" spans="1:14">
      <c r="A763" t="s">
        <v>29</v>
      </c>
      <c r="B763">
        <v>1185732</v>
      </c>
      <c r="C763" s="2">
        <v>44385</v>
      </c>
      <c r="D763" t="s">
        <v>138</v>
      </c>
      <c r="E763" t="s">
        <v>171</v>
      </c>
      <c r="F763" t="s">
        <v>172</v>
      </c>
      <c r="G763" t="s">
        <v>145</v>
      </c>
      <c r="H763" s="3">
        <v>0.60000000000000009</v>
      </c>
      <c r="I763">
        <v>9000</v>
      </c>
      <c r="J763" s="4">
        <v>5400.0000000000009</v>
      </c>
      <c r="K763" s="4">
        <v>1890.0000000000002</v>
      </c>
      <c r="L763" s="5">
        <v>0.35</v>
      </c>
      <c r="M763" t="s">
        <v>130</v>
      </c>
      <c r="N763" t="s">
        <v>363</v>
      </c>
    </row>
    <row r="764" spans="1:14">
      <c r="A764" t="s">
        <v>29</v>
      </c>
      <c r="B764">
        <v>1185732</v>
      </c>
      <c r="C764" s="2">
        <v>44385</v>
      </c>
      <c r="D764" t="s">
        <v>138</v>
      </c>
      <c r="E764" t="s">
        <v>171</v>
      </c>
      <c r="F764" t="s">
        <v>172</v>
      </c>
      <c r="G764" t="s">
        <v>146</v>
      </c>
      <c r="H764" s="3">
        <v>0.55000000000000004</v>
      </c>
      <c r="I764">
        <v>8250</v>
      </c>
      <c r="J764" s="4">
        <v>4537.5</v>
      </c>
      <c r="K764" s="4">
        <v>1134.375</v>
      </c>
      <c r="L764" s="5">
        <v>0.25</v>
      </c>
      <c r="M764" t="s">
        <v>130</v>
      </c>
      <c r="N764" t="s">
        <v>363</v>
      </c>
    </row>
    <row r="765" spans="1:14">
      <c r="A765" t="s">
        <v>29</v>
      </c>
      <c r="B765">
        <v>1185732</v>
      </c>
      <c r="C765" s="2">
        <v>44385</v>
      </c>
      <c r="D765" t="s">
        <v>138</v>
      </c>
      <c r="E765" t="s">
        <v>171</v>
      </c>
      <c r="F765" t="s">
        <v>172</v>
      </c>
      <c r="G765" t="s">
        <v>148</v>
      </c>
      <c r="H765" s="3">
        <v>0.55000000000000004</v>
      </c>
      <c r="I765">
        <v>7750</v>
      </c>
      <c r="J765" s="4">
        <v>4262.5</v>
      </c>
      <c r="K765" s="4">
        <v>1278.75</v>
      </c>
      <c r="L765" s="5">
        <v>0.3</v>
      </c>
      <c r="M765" t="s">
        <v>130</v>
      </c>
      <c r="N765" t="s">
        <v>363</v>
      </c>
    </row>
    <row r="766" spans="1:14">
      <c r="A766" t="s">
        <v>29</v>
      </c>
      <c r="B766">
        <v>1185732</v>
      </c>
      <c r="C766" s="2">
        <v>44385</v>
      </c>
      <c r="D766" t="s">
        <v>138</v>
      </c>
      <c r="E766" t="s">
        <v>171</v>
      </c>
      <c r="F766" t="s">
        <v>172</v>
      </c>
      <c r="G766" t="s">
        <v>147</v>
      </c>
      <c r="H766" s="3">
        <v>0.65</v>
      </c>
      <c r="I766">
        <v>8000</v>
      </c>
      <c r="J766" s="4">
        <v>5200</v>
      </c>
      <c r="K766" s="4">
        <v>1819.9999999999998</v>
      </c>
      <c r="L766" s="5">
        <v>0.35</v>
      </c>
      <c r="M766" t="s">
        <v>130</v>
      </c>
      <c r="N766" t="s">
        <v>363</v>
      </c>
    </row>
    <row r="767" spans="1:14">
      <c r="A767" t="s">
        <v>29</v>
      </c>
      <c r="B767">
        <v>1185732</v>
      </c>
      <c r="C767" s="2">
        <v>44385</v>
      </c>
      <c r="D767" t="s">
        <v>138</v>
      </c>
      <c r="E767" t="s">
        <v>171</v>
      </c>
      <c r="F767" t="s">
        <v>172</v>
      </c>
      <c r="G767" t="s">
        <v>144</v>
      </c>
      <c r="H767" s="3">
        <v>0.70000000000000007</v>
      </c>
      <c r="I767">
        <v>9750</v>
      </c>
      <c r="J767" s="4">
        <v>6825.0000000000009</v>
      </c>
      <c r="K767" s="4">
        <v>3412.5000000000005</v>
      </c>
      <c r="L767" s="5">
        <v>0.5</v>
      </c>
      <c r="M767" t="s">
        <v>130</v>
      </c>
      <c r="N767" t="s">
        <v>363</v>
      </c>
    </row>
    <row r="768" spans="1:14">
      <c r="A768" t="s">
        <v>29</v>
      </c>
      <c r="B768">
        <v>1185732</v>
      </c>
      <c r="C768" s="2">
        <v>44417</v>
      </c>
      <c r="D768" t="s">
        <v>138</v>
      </c>
      <c r="E768" t="s">
        <v>171</v>
      </c>
      <c r="F768" t="s">
        <v>172</v>
      </c>
      <c r="G768" t="s">
        <v>27</v>
      </c>
      <c r="H768" s="3">
        <v>0.65</v>
      </c>
      <c r="I768">
        <v>11250</v>
      </c>
      <c r="J768" s="4">
        <v>7312.5</v>
      </c>
      <c r="K768" s="4">
        <v>3290.625</v>
      </c>
      <c r="L768" s="5">
        <v>0.45</v>
      </c>
      <c r="M768" t="s">
        <v>131</v>
      </c>
      <c r="N768" t="s">
        <v>363</v>
      </c>
    </row>
    <row r="769" spans="1:14">
      <c r="A769" t="s">
        <v>29</v>
      </c>
      <c r="B769">
        <v>1185732</v>
      </c>
      <c r="C769" s="2">
        <v>44417</v>
      </c>
      <c r="D769" t="s">
        <v>138</v>
      </c>
      <c r="E769" t="s">
        <v>171</v>
      </c>
      <c r="F769" t="s">
        <v>172</v>
      </c>
      <c r="G769" t="s">
        <v>145</v>
      </c>
      <c r="H769" s="3">
        <v>0.60000000000000009</v>
      </c>
      <c r="I769">
        <v>9000</v>
      </c>
      <c r="J769" s="4">
        <v>5400.0000000000009</v>
      </c>
      <c r="K769" s="4">
        <v>1890.0000000000002</v>
      </c>
      <c r="L769" s="5">
        <v>0.35</v>
      </c>
      <c r="M769" t="s">
        <v>131</v>
      </c>
      <c r="N769" t="s">
        <v>363</v>
      </c>
    </row>
    <row r="770" spans="1:14">
      <c r="A770" t="s">
        <v>29</v>
      </c>
      <c r="B770">
        <v>1185732</v>
      </c>
      <c r="C770" s="2">
        <v>44417</v>
      </c>
      <c r="D770" t="s">
        <v>138</v>
      </c>
      <c r="E770" t="s">
        <v>171</v>
      </c>
      <c r="F770" t="s">
        <v>172</v>
      </c>
      <c r="G770" t="s">
        <v>146</v>
      </c>
      <c r="H770" s="3">
        <v>0.55000000000000004</v>
      </c>
      <c r="I770">
        <v>8250</v>
      </c>
      <c r="J770" s="4">
        <v>4537.5</v>
      </c>
      <c r="K770" s="4">
        <v>1134.375</v>
      </c>
      <c r="L770" s="5">
        <v>0.25</v>
      </c>
      <c r="M770" t="s">
        <v>131</v>
      </c>
      <c r="N770" t="s">
        <v>363</v>
      </c>
    </row>
    <row r="771" spans="1:14">
      <c r="A771" t="s">
        <v>29</v>
      </c>
      <c r="B771">
        <v>1185732</v>
      </c>
      <c r="C771" s="2">
        <v>44417</v>
      </c>
      <c r="D771" t="s">
        <v>138</v>
      </c>
      <c r="E771" t="s">
        <v>171</v>
      </c>
      <c r="F771" t="s">
        <v>172</v>
      </c>
      <c r="G771" t="s">
        <v>148</v>
      </c>
      <c r="H771" s="3">
        <v>0.45</v>
      </c>
      <c r="I771">
        <v>7750</v>
      </c>
      <c r="J771" s="4">
        <v>3487.5</v>
      </c>
      <c r="K771" s="4">
        <v>1046.25</v>
      </c>
      <c r="L771" s="5">
        <v>0.3</v>
      </c>
      <c r="M771" t="s">
        <v>131</v>
      </c>
      <c r="N771" t="s">
        <v>363</v>
      </c>
    </row>
    <row r="772" spans="1:14">
      <c r="A772" t="s">
        <v>29</v>
      </c>
      <c r="B772">
        <v>1185732</v>
      </c>
      <c r="C772" s="2">
        <v>44417</v>
      </c>
      <c r="D772" t="s">
        <v>138</v>
      </c>
      <c r="E772" t="s">
        <v>171</v>
      </c>
      <c r="F772" t="s">
        <v>172</v>
      </c>
      <c r="G772" t="s">
        <v>147</v>
      </c>
      <c r="H772" s="3">
        <v>0.55000000000000004</v>
      </c>
      <c r="I772">
        <v>7500</v>
      </c>
      <c r="J772" s="4">
        <v>4125</v>
      </c>
      <c r="K772" s="4">
        <v>1443.75</v>
      </c>
      <c r="L772" s="5">
        <v>0.35</v>
      </c>
      <c r="M772" t="s">
        <v>131</v>
      </c>
      <c r="N772" t="s">
        <v>363</v>
      </c>
    </row>
    <row r="773" spans="1:14">
      <c r="A773" t="s">
        <v>29</v>
      </c>
      <c r="B773">
        <v>1185732</v>
      </c>
      <c r="C773" s="2">
        <v>44417</v>
      </c>
      <c r="D773" t="s">
        <v>138</v>
      </c>
      <c r="E773" t="s">
        <v>171</v>
      </c>
      <c r="F773" t="s">
        <v>172</v>
      </c>
      <c r="G773" t="s">
        <v>144</v>
      </c>
      <c r="H773" s="3">
        <v>0.60000000000000009</v>
      </c>
      <c r="I773">
        <v>9250</v>
      </c>
      <c r="J773" s="4">
        <v>5550.0000000000009</v>
      </c>
      <c r="K773" s="4">
        <v>2775.0000000000005</v>
      </c>
      <c r="L773" s="5">
        <v>0.5</v>
      </c>
      <c r="M773" t="s">
        <v>131</v>
      </c>
      <c r="N773" t="s">
        <v>363</v>
      </c>
    </row>
    <row r="774" spans="1:14">
      <c r="A774" t="s">
        <v>29</v>
      </c>
      <c r="B774">
        <v>1185732</v>
      </c>
      <c r="C774" s="2">
        <v>44447</v>
      </c>
      <c r="D774" t="s">
        <v>138</v>
      </c>
      <c r="E774" t="s">
        <v>171</v>
      </c>
      <c r="F774" t="s">
        <v>172</v>
      </c>
      <c r="G774" t="s">
        <v>27</v>
      </c>
      <c r="H774" s="3">
        <v>0.55000000000000004</v>
      </c>
      <c r="I774">
        <v>10500</v>
      </c>
      <c r="J774" s="4">
        <v>5775.0000000000009</v>
      </c>
      <c r="K774" s="4">
        <v>2598.7500000000005</v>
      </c>
      <c r="L774" s="5">
        <v>0.45</v>
      </c>
      <c r="M774" t="s">
        <v>132</v>
      </c>
      <c r="N774" t="s">
        <v>363</v>
      </c>
    </row>
    <row r="775" spans="1:14">
      <c r="A775" t="s">
        <v>29</v>
      </c>
      <c r="B775">
        <v>1185732</v>
      </c>
      <c r="C775" s="2">
        <v>44447</v>
      </c>
      <c r="D775" t="s">
        <v>138</v>
      </c>
      <c r="E775" t="s">
        <v>171</v>
      </c>
      <c r="F775" t="s">
        <v>172</v>
      </c>
      <c r="G775" t="s">
        <v>145</v>
      </c>
      <c r="H775" s="3">
        <v>0.50000000000000011</v>
      </c>
      <c r="I775">
        <v>8500</v>
      </c>
      <c r="J775" s="4">
        <v>4250.0000000000009</v>
      </c>
      <c r="K775" s="4">
        <v>1487.5000000000002</v>
      </c>
      <c r="L775" s="5">
        <v>0.35</v>
      </c>
      <c r="M775" t="s">
        <v>132</v>
      </c>
      <c r="N775" t="s">
        <v>363</v>
      </c>
    </row>
    <row r="776" spans="1:14">
      <c r="A776" t="s">
        <v>29</v>
      </c>
      <c r="B776">
        <v>1185732</v>
      </c>
      <c r="C776" s="2">
        <v>44447</v>
      </c>
      <c r="D776" t="s">
        <v>138</v>
      </c>
      <c r="E776" t="s">
        <v>171</v>
      </c>
      <c r="F776" t="s">
        <v>172</v>
      </c>
      <c r="G776" t="s">
        <v>146</v>
      </c>
      <c r="H776" s="3">
        <v>0.45</v>
      </c>
      <c r="I776">
        <v>7500</v>
      </c>
      <c r="J776" s="4">
        <v>3375</v>
      </c>
      <c r="K776" s="4">
        <v>843.75</v>
      </c>
      <c r="L776" s="5">
        <v>0.25</v>
      </c>
      <c r="M776" t="s">
        <v>132</v>
      </c>
      <c r="N776" t="s">
        <v>363</v>
      </c>
    </row>
    <row r="777" spans="1:14">
      <c r="A777" t="s">
        <v>29</v>
      </c>
      <c r="B777">
        <v>1185732</v>
      </c>
      <c r="C777" s="2">
        <v>44447</v>
      </c>
      <c r="D777" t="s">
        <v>138</v>
      </c>
      <c r="E777" t="s">
        <v>171</v>
      </c>
      <c r="F777" t="s">
        <v>172</v>
      </c>
      <c r="G777" t="s">
        <v>148</v>
      </c>
      <c r="H777" s="3">
        <v>0.45</v>
      </c>
      <c r="I777">
        <v>7250</v>
      </c>
      <c r="J777" s="4">
        <v>3262.5</v>
      </c>
      <c r="K777" s="4">
        <v>978.75</v>
      </c>
      <c r="L777" s="5">
        <v>0.3</v>
      </c>
      <c r="M777" t="s">
        <v>132</v>
      </c>
      <c r="N777" t="s">
        <v>363</v>
      </c>
    </row>
    <row r="778" spans="1:14">
      <c r="A778" t="s">
        <v>29</v>
      </c>
      <c r="B778">
        <v>1185732</v>
      </c>
      <c r="C778" s="2">
        <v>44447</v>
      </c>
      <c r="D778" t="s">
        <v>138</v>
      </c>
      <c r="E778" t="s">
        <v>171</v>
      </c>
      <c r="F778" t="s">
        <v>172</v>
      </c>
      <c r="G778" t="s">
        <v>147</v>
      </c>
      <c r="H778" s="3">
        <v>0.55000000000000004</v>
      </c>
      <c r="I778">
        <v>7250</v>
      </c>
      <c r="J778" s="4">
        <v>3987.5000000000005</v>
      </c>
      <c r="K778" s="4">
        <v>1395.625</v>
      </c>
      <c r="L778" s="5">
        <v>0.35</v>
      </c>
      <c r="M778" t="s">
        <v>132</v>
      </c>
      <c r="N778" t="s">
        <v>363</v>
      </c>
    </row>
    <row r="779" spans="1:14">
      <c r="A779" t="s">
        <v>29</v>
      </c>
      <c r="B779">
        <v>1185732</v>
      </c>
      <c r="C779" s="2">
        <v>44447</v>
      </c>
      <c r="D779" t="s">
        <v>138</v>
      </c>
      <c r="E779" t="s">
        <v>171</v>
      </c>
      <c r="F779" t="s">
        <v>172</v>
      </c>
      <c r="G779" t="s">
        <v>144</v>
      </c>
      <c r="H779" s="3">
        <v>0.60000000000000009</v>
      </c>
      <c r="I779">
        <v>8250</v>
      </c>
      <c r="J779" s="4">
        <v>4950.0000000000009</v>
      </c>
      <c r="K779" s="4">
        <v>2475.0000000000005</v>
      </c>
      <c r="L779" s="5">
        <v>0.5</v>
      </c>
      <c r="M779" t="s">
        <v>132</v>
      </c>
      <c r="N779" t="s">
        <v>363</v>
      </c>
    </row>
    <row r="780" spans="1:14">
      <c r="A780" t="s">
        <v>29</v>
      </c>
      <c r="B780">
        <v>1185732</v>
      </c>
      <c r="C780" s="2">
        <v>44479</v>
      </c>
      <c r="D780" t="s">
        <v>138</v>
      </c>
      <c r="E780" t="s">
        <v>171</v>
      </c>
      <c r="F780" t="s">
        <v>172</v>
      </c>
      <c r="G780" t="s">
        <v>27</v>
      </c>
      <c r="H780" s="3">
        <v>0.60000000000000009</v>
      </c>
      <c r="I780">
        <v>10000</v>
      </c>
      <c r="J780" s="4">
        <v>6000.0000000000009</v>
      </c>
      <c r="K780" s="4">
        <v>2700.0000000000005</v>
      </c>
      <c r="L780" s="5">
        <v>0.45</v>
      </c>
      <c r="M780" t="s">
        <v>133</v>
      </c>
      <c r="N780" t="s">
        <v>364</v>
      </c>
    </row>
    <row r="781" spans="1:14">
      <c r="A781" t="s">
        <v>29</v>
      </c>
      <c r="B781">
        <v>1185732</v>
      </c>
      <c r="C781" s="2">
        <v>44479</v>
      </c>
      <c r="D781" t="s">
        <v>138</v>
      </c>
      <c r="E781" t="s">
        <v>171</v>
      </c>
      <c r="F781" t="s">
        <v>172</v>
      </c>
      <c r="G781" t="s">
        <v>145</v>
      </c>
      <c r="H781" s="3">
        <v>0.50000000000000011</v>
      </c>
      <c r="I781">
        <v>8250</v>
      </c>
      <c r="J781" s="4">
        <v>4125.0000000000009</v>
      </c>
      <c r="K781" s="4">
        <v>1443.7500000000002</v>
      </c>
      <c r="L781" s="5">
        <v>0.35</v>
      </c>
      <c r="M781" t="s">
        <v>133</v>
      </c>
      <c r="N781" t="s">
        <v>364</v>
      </c>
    </row>
    <row r="782" spans="1:14">
      <c r="A782" t="s">
        <v>29</v>
      </c>
      <c r="B782">
        <v>1185732</v>
      </c>
      <c r="C782" s="2">
        <v>44479</v>
      </c>
      <c r="D782" t="s">
        <v>138</v>
      </c>
      <c r="E782" t="s">
        <v>171</v>
      </c>
      <c r="F782" t="s">
        <v>172</v>
      </c>
      <c r="G782" t="s">
        <v>146</v>
      </c>
      <c r="H782" s="3">
        <v>0.50000000000000011</v>
      </c>
      <c r="I782">
        <v>7250</v>
      </c>
      <c r="J782" s="4">
        <v>3625.0000000000009</v>
      </c>
      <c r="K782" s="4">
        <v>906.25000000000023</v>
      </c>
      <c r="L782" s="5">
        <v>0.25</v>
      </c>
      <c r="M782" t="s">
        <v>133</v>
      </c>
      <c r="N782" t="s">
        <v>364</v>
      </c>
    </row>
    <row r="783" spans="1:14">
      <c r="A783" t="s">
        <v>29</v>
      </c>
      <c r="B783">
        <v>1185732</v>
      </c>
      <c r="C783" s="2">
        <v>44479</v>
      </c>
      <c r="D783" t="s">
        <v>138</v>
      </c>
      <c r="E783" t="s">
        <v>171</v>
      </c>
      <c r="F783" t="s">
        <v>172</v>
      </c>
      <c r="G783" t="s">
        <v>148</v>
      </c>
      <c r="H783" s="3">
        <v>0.50000000000000011</v>
      </c>
      <c r="I783">
        <v>7000</v>
      </c>
      <c r="J783" s="4">
        <v>3500.0000000000009</v>
      </c>
      <c r="K783" s="4">
        <v>1050.0000000000002</v>
      </c>
      <c r="L783" s="5">
        <v>0.3</v>
      </c>
      <c r="M783" t="s">
        <v>133</v>
      </c>
      <c r="N783" t="s">
        <v>364</v>
      </c>
    </row>
    <row r="784" spans="1:14">
      <c r="A784" t="s">
        <v>29</v>
      </c>
      <c r="B784">
        <v>1185732</v>
      </c>
      <c r="C784" s="2">
        <v>44479</v>
      </c>
      <c r="D784" t="s">
        <v>138</v>
      </c>
      <c r="E784" t="s">
        <v>171</v>
      </c>
      <c r="F784" t="s">
        <v>172</v>
      </c>
      <c r="G784" t="s">
        <v>147</v>
      </c>
      <c r="H784" s="3">
        <v>0.60000000000000009</v>
      </c>
      <c r="I784">
        <v>7000</v>
      </c>
      <c r="J784" s="4">
        <v>4200.0000000000009</v>
      </c>
      <c r="K784" s="4">
        <v>1470.0000000000002</v>
      </c>
      <c r="L784" s="5">
        <v>0.35</v>
      </c>
      <c r="M784" t="s">
        <v>133</v>
      </c>
      <c r="N784" t="s">
        <v>364</v>
      </c>
    </row>
    <row r="785" spans="1:14">
      <c r="A785" t="s">
        <v>29</v>
      </c>
      <c r="B785">
        <v>1185732</v>
      </c>
      <c r="C785" s="2">
        <v>44479</v>
      </c>
      <c r="D785" t="s">
        <v>138</v>
      </c>
      <c r="E785" t="s">
        <v>171</v>
      </c>
      <c r="F785" t="s">
        <v>172</v>
      </c>
      <c r="G785" t="s">
        <v>144</v>
      </c>
      <c r="H785" s="3">
        <v>0.65</v>
      </c>
      <c r="I785">
        <v>8250</v>
      </c>
      <c r="J785" s="4">
        <v>5362.5</v>
      </c>
      <c r="K785" s="4">
        <v>2681.25</v>
      </c>
      <c r="L785" s="5">
        <v>0.5</v>
      </c>
      <c r="M785" t="s">
        <v>133</v>
      </c>
      <c r="N785" t="s">
        <v>364</v>
      </c>
    </row>
    <row r="786" spans="1:14">
      <c r="A786" t="s">
        <v>29</v>
      </c>
      <c r="B786">
        <v>1185732</v>
      </c>
      <c r="C786" s="2">
        <v>44509</v>
      </c>
      <c r="D786" t="s">
        <v>138</v>
      </c>
      <c r="E786" t="s">
        <v>171</v>
      </c>
      <c r="F786" t="s">
        <v>172</v>
      </c>
      <c r="G786" t="s">
        <v>27</v>
      </c>
      <c r="H786" s="3">
        <v>0.60000000000000009</v>
      </c>
      <c r="I786">
        <v>9750</v>
      </c>
      <c r="J786" s="4">
        <v>5850.0000000000009</v>
      </c>
      <c r="K786" s="4">
        <v>2632.5000000000005</v>
      </c>
      <c r="L786" s="5">
        <v>0.45</v>
      </c>
      <c r="M786" t="s">
        <v>134</v>
      </c>
      <c r="N786" t="s">
        <v>364</v>
      </c>
    </row>
    <row r="787" spans="1:14">
      <c r="A787" t="s">
        <v>29</v>
      </c>
      <c r="B787">
        <v>1185732</v>
      </c>
      <c r="C787" s="2">
        <v>44509</v>
      </c>
      <c r="D787" t="s">
        <v>138</v>
      </c>
      <c r="E787" t="s">
        <v>171</v>
      </c>
      <c r="F787" t="s">
        <v>172</v>
      </c>
      <c r="G787" t="s">
        <v>145</v>
      </c>
      <c r="H787" s="3">
        <v>0.50000000000000011</v>
      </c>
      <c r="I787">
        <v>8000</v>
      </c>
      <c r="J787" s="4">
        <v>4000.0000000000009</v>
      </c>
      <c r="K787" s="4">
        <v>1400.0000000000002</v>
      </c>
      <c r="L787" s="5">
        <v>0.35</v>
      </c>
      <c r="M787" t="s">
        <v>134</v>
      </c>
      <c r="N787" t="s">
        <v>364</v>
      </c>
    </row>
    <row r="788" spans="1:14">
      <c r="A788" t="s">
        <v>29</v>
      </c>
      <c r="B788">
        <v>1185732</v>
      </c>
      <c r="C788" s="2">
        <v>44509</v>
      </c>
      <c r="D788" t="s">
        <v>138</v>
      </c>
      <c r="E788" t="s">
        <v>171</v>
      </c>
      <c r="F788" t="s">
        <v>172</v>
      </c>
      <c r="G788" t="s">
        <v>146</v>
      </c>
      <c r="H788" s="3">
        <v>0.50000000000000011</v>
      </c>
      <c r="I788">
        <v>7450</v>
      </c>
      <c r="J788" s="4">
        <v>3725.0000000000009</v>
      </c>
      <c r="K788" s="4">
        <v>931.25000000000023</v>
      </c>
      <c r="L788" s="5">
        <v>0.25</v>
      </c>
      <c r="M788" t="s">
        <v>134</v>
      </c>
      <c r="N788" t="s">
        <v>364</v>
      </c>
    </row>
    <row r="789" spans="1:14">
      <c r="A789" t="s">
        <v>29</v>
      </c>
      <c r="B789">
        <v>1185732</v>
      </c>
      <c r="C789" s="2">
        <v>44509</v>
      </c>
      <c r="D789" t="s">
        <v>138</v>
      </c>
      <c r="E789" t="s">
        <v>171</v>
      </c>
      <c r="F789" t="s">
        <v>172</v>
      </c>
      <c r="G789" t="s">
        <v>148</v>
      </c>
      <c r="H789" s="3">
        <v>0.50000000000000011</v>
      </c>
      <c r="I789">
        <v>7750</v>
      </c>
      <c r="J789" s="4">
        <v>3875.0000000000009</v>
      </c>
      <c r="K789" s="4">
        <v>1162.5000000000002</v>
      </c>
      <c r="L789" s="5">
        <v>0.3</v>
      </c>
      <c r="M789" t="s">
        <v>134</v>
      </c>
      <c r="N789" t="s">
        <v>364</v>
      </c>
    </row>
    <row r="790" spans="1:14">
      <c r="A790" t="s">
        <v>29</v>
      </c>
      <c r="B790">
        <v>1185732</v>
      </c>
      <c r="C790" s="2">
        <v>44509</v>
      </c>
      <c r="D790" t="s">
        <v>138</v>
      </c>
      <c r="E790" t="s">
        <v>171</v>
      </c>
      <c r="F790" t="s">
        <v>172</v>
      </c>
      <c r="G790" t="s">
        <v>147</v>
      </c>
      <c r="H790" s="3">
        <v>0.65</v>
      </c>
      <c r="I790">
        <v>7500</v>
      </c>
      <c r="J790" s="4">
        <v>4875</v>
      </c>
      <c r="K790" s="4">
        <v>1706.25</v>
      </c>
      <c r="L790" s="5">
        <v>0.35</v>
      </c>
      <c r="M790" t="s">
        <v>134</v>
      </c>
      <c r="N790" t="s">
        <v>364</v>
      </c>
    </row>
    <row r="791" spans="1:14">
      <c r="A791" t="s">
        <v>29</v>
      </c>
      <c r="B791">
        <v>1185732</v>
      </c>
      <c r="C791" s="2">
        <v>44509</v>
      </c>
      <c r="D791" t="s">
        <v>138</v>
      </c>
      <c r="E791" t="s">
        <v>171</v>
      </c>
      <c r="F791" t="s">
        <v>172</v>
      </c>
      <c r="G791" t="s">
        <v>144</v>
      </c>
      <c r="H791" s="3">
        <v>0.7</v>
      </c>
      <c r="I791">
        <v>8500</v>
      </c>
      <c r="J791" s="4">
        <v>5950</v>
      </c>
      <c r="K791" s="4">
        <v>2975</v>
      </c>
      <c r="L791" s="5">
        <v>0.5</v>
      </c>
      <c r="M791" t="s">
        <v>134</v>
      </c>
      <c r="N791" t="s">
        <v>364</v>
      </c>
    </row>
    <row r="792" spans="1:14">
      <c r="A792" t="s">
        <v>29</v>
      </c>
      <c r="B792">
        <v>1185732</v>
      </c>
      <c r="C792" s="2">
        <v>44538</v>
      </c>
      <c r="D792" t="s">
        <v>138</v>
      </c>
      <c r="E792" t="s">
        <v>171</v>
      </c>
      <c r="F792" t="s">
        <v>172</v>
      </c>
      <c r="G792" t="s">
        <v>27</v>
      </c>
      <c r="H792" s="3">
        <v>0.65</v>
      </c>
      <c r="I792">
        <v>10750</v>
      </c>
      <c r="J792" s="4">
        <v>6987.5</v>
      </c>
      <c r="K792" s="4">
        <v>3144.375</v>
      </c>
      <c r="L792" s="5">
        <v>0.45</v>
      </c>
      <c r="M792" t="s">
        <v>23</v>
      </c>
      <c r="N792" t="s">
        <v>364</v>
      </c>
    </row>
    <row r="793" spans="1:14">
      <c r="A793" t="s">
        <v>29</v>
      </c>
      <c r="B793">
        <v>1185732</v>
      </c>
      <c r="C793" s="2">
        <v>44538</v>
      </c>
      <c r="D793" t="s">
        <v>138</v>
      </c>
      <c r="E793" t="s">
        <v>171</v>
      </c>
      <c r="F793" t="s">
        <v>172</v>
      </c>
      <c r="G793" t="s">
        <v>145</v>
      </c>
      <c r="H793" s="3">
        <v>0.55000000000000004</v>
      </c>
      <c r="I793">
        <v>8750</v>
      </c>
      <c r="J793" s="4">
        <v>4812.5</v>
      </c>
      <c r="K793" s="4">
        <v>1684.375</v>
      </c>
      <c r="L793" s="5">
        <v>0.35</v>
      </c>
      <c r="M793" t="s">
        <v>23</v>
      </c>
      <c r="N793" t="s">
        <v>364</v>
      </c>
    </row>
    <row r="794" spans="1:14">
      <c r="A794" t="s">
        <v>29</v>
      </c>
      <c r="B794">
        <v>1185732</v>
      </c>
      <c r="C794" s="2">
        <v>44538</v>
      </c>
      <c r="D794" t="s">
        <v>138</v>
      </c>
      <c r="E794" t="s">
        <v>171</v>
      </c>
      <c r="F794" t="s">
        <v>172</v>
      </c>
      <c r="G794" t="s">
        <v>146</v>
      </c>
      <c r="H794" s="3">
        <v>0.55000000000000004</v>
      </c>
      <c r="I794">
        <v>8250</v>
      </c>
      <c r="J794" s="4">
        <v>4537.5</v>
      </c>
      <c r="K794" s="4">
        <v>1134.375</v>
      </c>
      <c r="L794" s="5">
        <v>0.25</v>
      </c>
      <c r="M794" t="s">
        <v>23</v>
      </c>
      <c r="N794" t="s">
        <v>364</v>
      </c>
    </row>
    <row r="795" spans="1:14">
      <c r="A795" t="s">
        <v>29</v>
      </c>
      <c r="B795">
        <v>1185732</v>
      </c>
      <c r="C795" s="2">
        <v>44538</v>
      </c>
      <c r="D795" t="s">
        <v>138</v>
      </c>
      <c r="E795" t="s">
        <v>171</v>
      </c>
      <c r="F795" t="s">
        <v>172</v>
      </c>
      <c r="G795" t="s">
        <v>148</v>
      </c>
      <c r="H795" s="3">
        <v>0.55000000000000004</v>
      </c>
      <c r="I795">
        <v>7750</v>
      </c>
      <c r="J795" s="4">
        <v>4262.5</v>
      </c>
      <c r="K795" s="4">
        <v>1278.75</v>
      </c>
      <c r="L795" s="5">
        <v>0.3</v>
      </c>
      <c r="M795" t="s">
        <v>23</v>
      </c>
      <c r="N795" t="s">
        <v>364</v>
      </c>
    </row>
    <row r="796" spans="1:14">
      <c r="A796" t="s">
        <v>29</v>
      </c>
      <c r="B796">
        <v>1185732</v>
      </c>
      <c r="C796" s="2">
        <v>44538</v>
      </c>
      <c r="D796" t="s">
        <v>138</v>
      </c>
      <c r="E796" t="s">
        <v>171</v>
      </c>
      <c r="F796" t="s">
        <v>172</v>
      </c>
      <c r="G796" t="s">
        <v>147</v>
      </c>
      <c r="H796" s="3">
        <v>0.65</v>
      </c>
      <c r="I796">
        <v>7750</v>
      </c>
      <c r="J796" s="4">
        <v>5037.5</v>
      </c>
      <c r="K796" s="4">
        <v>1763.125</v>
      </c>
      <c r="L796" s="5">
        <v>0.35</v>
      </c>
      <c r="M796" t="s">
        <v>23</v>
      </c>
      <c r="N796" t="s">
        <v>364</v>
      </c>
    </row>
    <row r="797" spans="1:14">
      <c r="A797" t="s">
        <v>29</v>
      </c>
      <c r="B797">
        <v>1185732</v>
      </c>
      <c r="C797" s="2">
        <v>44538</v>
      </c>
      <c r="D797" t="s">
        <v>138</v>
      </c>
      <c r="E797" t="s">
        <v>171</v>
      </c>
      <c r="F797" t="s">
        <v>172</v>
      </c>
      <c r="G797" t="s">
        <v>144</v>
      </c>
      <c r="H797" s="3">
        <v>0.7</v>
      </c>
      <c r="I797">
        <v>8750</v>
      </c>
      <c r="J797" s="4">
        <v>6125</v>
      </c>
      <c r="K797" s="4">
        <v>3062.5</v>
      </c>
      <c r="L797" s="5">
        <v>0.5</v>
      </c>
      <c r="M797" t="s">
        <v>23</v>
      </c>
      <c r="N797" t="s">
        <v>364</v>
      </c>
    </row>
    <row r="798" spans="1:14">
      <c r="A798" t="s">
        <v>29</v>
      </c>
      <c r="B798">
        <v>1185732</v>
      </c>
      <c r="C798" s="2">
        <v>44209</v>
      </c>
      <c r="D798" t="s">
        <v>140</v>
      </c>
      <c r="E798" t="s">
        <v>262</v>
      </c>
      <c r="F798" t="s">
        <v>267</v>
      </c>
      <c r="G798" t="s">
        <v>27</v>
      </c>
      <c r="H798" s="3">
        <v>0.35</v>
      </c>
      <c r="I798">
        <v>4500</v>
      </c>
      <c r="J798" s="4">
        <v>1575</v>
      </c>
      <c r="K798" s="4">
        <v>551.25</v>
      </c>
      <c r="L798" s="5">
        <v>0.35000000000000003</v>
      </c>
      <c r="M798" t="s">
        <v>125</v>
      </c>
      <c r="N798" t="s">
        <v>361</v>
      </c>
    </row>
    <row r="799" spans="1:14">
      <c r="A799" t="s">
        <v>29</v>
      </c>
      <c r="B799">
        <v>1185732</v>
      </c>
      <c r="C799" s="2">
        <v>44209</v>
      </c>
      <c r="D799" t="s">
        <v>140</v>
      </c>
      <c r="E799" t="s">
        <v>262</v>
      </c>
      <c r="F799" t="s">
        <v>267</v>
      </c>
      <c r="G799" t="s">
        <v>145</v>
      </c>
      <c r="H799" s="3">
        <v>0.35</v>
      </c>
      <c r="I799">
        <v>2500</v>
      </c>
      <c r="J799" s="4">
        <v>875</v>
      </c>
      <c r="K799" s="4">
        <v>262.5</v>
      </c>
      <c r="L799" s="5">
        <v>0.3</v>
      </c>
      <c r="M799" t="s">
        <v>125</v>
      </c>
      <c r="N799" t="s">
        <v>361</v>
      </c>
    </row>
    <row r="800" spans="1:14">
      <c r="A800" t="s">
        <v>29</v>
      </c>
      <c r="B800">
        <v>1185732</v>
      </c>
      <c r="C800" s="2">
        <v>44209</v>
      </c>
      <c r="D800" t="s">
        <v>140</v>
      </c>
      <c r="E800" t="s">
        <v>262</v>
      </c>
      <c r="F800" t="s">
        <v>267</v>
      </c>
      <c r="G800" t="s">
        <v>146</v>
      </c>
      <c r="H800" s="3">
        <v>0.25</v>
      </c>
      <c r="I800">
        <v>2500</v>
      </c>
      <c r="J800" s="4">
        <v>625</v>
      </c>
      <c r="K800" s="4">
        <v>187.5</v>
      </c>
      <c r="L800" s="5">
        <v>0.3</v>
      </c>
      <c r="M800" t="s">
        <v>125</v>
      </c>
      <c r="N800" t="s">
        <v>361</v>
      </c>
    </row>
    <row r="801" spans="1:14">
      <c r="A801" t="s">
        <v>29</v>
      </c>
      <c r="B801">
        <v>1185732</v>
      </c>
      <c r="C801" s="2">
        <v>44209</v>
      </c>
      <c r="D801" t="s">
        <v>140</v>
      </c>
      <c r="E801" t="s">
        <v>262</v>
      </c>
      <c r="F801" t="s">
        <v>267</v>
      </c>
      <c r="G801" t="s">
        <v>148</v>
      </c>
      <c r="H801" s="3">
        <v>0.30000000000000004</v>
      </c>
      <c r="I801">
        <v>1000</v>
      </c>
      <c r="J801" s="4">
        <v>300.00000000000006</v>
      </c>
      <c r="K801" s="4">
        <v>105.00000000000003</v>
      </c>
      <c r="L801" s="5">
        <v>0.35000000000000003</v>
      </c>
      <c r="M801" t="s">
        <v>125</v>
      </c>
      <c r="N801" t="s">
        <v>361</v>
      </c>
    </row>
    <row r="802" spans="1:14">
      <c r="A802" t="s">
        <v>29</v>
      </c>
      <c r="B802">
        <v>1185732</v>
      </c>
      <c r="C802" s="2">
        <v>44209</v>
      </c>
      <c r="D802" t="s">
        <v>140</v>
      </c>
      <c r="E802" t="s">
        <v>262</v>
      </c>
      <c r="F802" t="s">
        <v>267</v>
      </c>
      <c r="G802" t="s">
        <v>147</v>
      </c>
      <c r="H802" s="3">
        <v>0.44999999999999996</v>
      </c>
      <c r="I802">
        <v>1500</v>
      </c>
      <c r="J802" s="4">
        <v>674.99999999999989</v>
      </c>
      <c r="K802" s="4">
        <v>202.49999999999997</v>
      </c>
      <c r="L802" s="5">
        <v>0.3</v>
      </c>
      <c r="M802" t="s">
        <v>125</v>
      </c>
      <c r="N802" t="s">
        <v>361</v>
      </c>
    </row>
    <row r="803" spans="1:14">
      <c r="A803" t="s">
        <v>29</v>
      </c>
      <c r="B803">
        <v>1185732</v>
      </c>
      <c r="C803" s="2">
        <v>44209</v>
      </c>
      <c r="D803" t="s">
        <v>140</v>
      </c>
      <c r="E803" t="s">
        <v>262</v>
      </c>
      <c r="F803" t="s">
        <v>267</v>
      </c>
      <c r="G803" t="s">
        <v>144</v>
      </c>
      <c r="H803" s="3">
        <v>0.35</v>
      </c>
      <c r="I803">
        <v>2500</v>
      </c>
      <c r="J803" s="4">
        <v>875</v>
      </c>
      <c r="K803" s="4">
        <v>393.75</v>
      </c>
      <c r="L803" s="5">
        <v>0.45</v>
      </c>
      <c r="M803" t="s">
        <v>125</v>
      </c>
      <c r="N803" t="s">
        <v>361</v>
      </c>
    </row>
    <row r="804" spans="1:14">
      <c r="A804" t="s">
        <v>29</v>
      </c>
      <c r="B804">
        <v>1185732</v>
      </c>
      <c r="C804" s="2">
        <v>44240</v>
      </c>
      <c r="D804" t="s">
        <v>140</v>
      </c>
      <c r="E804" t="s">
        <v>262</v>
      </c>
      <c r="F804" t="s">
        <v>267</v>
      </c>
      <c r="G804" t="s">
        <v>27</v>
      </c>
      <c r="H804" s="3">
        <v>0.35</v>
      </c>
      <c r="I804">
        <v>5000</v>
      </c>
      <c r="J804" s="4">
        <v>1750</v>
      </c>
      <c r="K804" s="4">
        <v>612.50000000000011</v>
      </c>
      <c r="L804" s="5">
        <v>0.35000000000000003</v>
      </c>
      <c r="M804" t="s">
        <v>126</v>
      </c>
      <c r="N804" t="s">
        <v>361</v>
      </c>
    </row>
    <row r="805" spans="1:14">
      <c r="A805" t="s">
        <v>29</v>
      </c>
      <c r="B805">
        <v>1185732</v>
      </c>
      <c r="C805" s="2">
        <v>44240</v>
      </c>
      <c r="D805" t="s">
        <v>140</v>
      </c>
      <c r="E805" t="s">
        <v>262</v>
      </c>
      <c r="F805" t="s">
        <v>267</v>
      </c>
      <c r="G805" t="s">
        <v>145</v>
      </c>
      <c r="H805" s="3">
        <v>0.35</v>
      </c>
      <c r="I805">
        <v>1500</v>
      </c>
      <c r="J805" s="4">
        <v>525</v>
      </c>
      <c r="K805" s="4">
        <v>157.5</v>
      </c>
      <c r="L805" s="5">
        <v>0.3</v>
      </c>
      <c r="M805" t="s">
        <v>126</v>
      </c>
      <c r="N805" t="s">
        <v>361</v>
      </c>
    </row>
    <row r="806" spans="1:14">
      <c r="A806" t="s">
        <v>29</v>
      </c>
      <c r="B806">
        <v>1185732</v>
      </c>
      <c r="C806" s="2">
        <v>44240</v>
      </c>
      <c r="D806" t="s">
        <v>140</v>
      </c>
      <c r="E806" t="s">
        <v>262</v>
      </c>
      <c r="F806" t="s">
        <v>267</v>
      </c>
      <c r="G806" t="s">
        <v>146</v>
      </c>
      <c r="H806" s="3">
        <v>0.25</v>
      </c>
      <c r="I806">
        <v>2000</v>
      </c>
      <c r="J806" s="4">
        <v>500</v>
      </c>
      <c r="K806" s="4">
        <v>150</v>
      </c>
      <c r="L806" s="5">
        <v>0.3</v>
      </c>
      <c r="M806" t="s">
        <v>126</v>
      </c>
      <c r="N806" t="s">
        <v>361</v>
      </c>
    </row>
    <row r="807" spans="1:14">
      <c r="A807" t="s">
        <v>29</v>
      </c>
      <c r="B807">
        <v>1185732</v>
      </c>
      <c r="C807" s="2">
        <v>44240</v>
      </c>
      <c r="D807" t="s">
        <v>140</v>
      </c>
      <c r="E807" t="s">
        <v>262</v>
      </c>
      <c r="F807" t="s">
        <v>267</v>
      </c>
      <c r="G807" t="s">
        <v>148</v>
      </c>
      <c r="H807" s="3">
        <v>0.30000000000000004</v>
      </c>
      <c r="I807">
        <v>750</v>
      </c>
      <c r="J807" s="4">
        <v>225.00000000000003</v>
      </c>
      <c r="K807" s="4">
        <v>78.750000000000014</v>
      </c>
      <c r="L807" s="5">
        <v>0.35000000000000003</v>
      </c>
      <c r="M807" t="s">
        <v>126</v>
      </c>
      <c r="N807" t="s">
        <v>361</v>
      </c>
    </row>
    <row r="808" spans="1:14">
      <c r="A808" t="s">
        <v>29</v>
      </c>
      <c r="B808">
        <v>1185732</v>
      </c>
      <c r="C808" s="2">
        <v>44240</v>
      </c>
      <c r="D808" t="s">
        <v>140</v>
      </c>
      <c r="E808" t="s">
        <v>262</v>
      </c>
      <c r="F808" t="s">
        <v>267</v>
      </c>
      <c r="G808" t="s">
        <v>147</v>
      </c>
      <c r="H808" s="3">
        <v>0.44999999999999996</v>
      </c>
      <c r="I808">
        <v>1500</v>
      </c>
      <c r="J808" s="4">
        <v>674.99999999999989</v>
      </c>
      <c r="K808" s="4">
        <v>202.49999999999997</v>
      </c>
      <c r="L808" s="5">
        <v>0.3</v>
      </c>
      <c r="M808" t="s">
        <v>126</v>
      </c>
      <c r="N808" t="s">
        <v>361</v>
      </c>
    </row>
    <row r="809" spans="1:14">
      <c r="A809" t="s">
        <v>29</v>
      </c>
      <c r="B809">
        <v>1185732</v>
      </c>
      <c r="C809" s="2">
        <v>44240</v>
      </c>
      <c r="D809" t="s">
        <v>140</v>
      </c>
      <c r="E809" t="s">
        <v>262</v>
      </c>
      <c r="F809" t="s">
        <v>267</v>
      </c>
      <c r="G809" t="s">
        <v>144</v>
      </c>
      <c r="H809" s="3">
        <v>0.35</v>
      </c>
      <c r="I809">
        <v>2250</v>
      </c>
      <c r="J809" s="4">
        <v>787.5</v>
      </c>
      <c r="K809" s="4">
        <v>354.375</v>
      </c>
      <c r="L809" s="5">
        <v>0.45</v>
      </c>
      <c r="M809" t="s">
        <v>126</v>
      </c>
      <c r="N809" t="s">
        <v>361</v>
      </c>
    </row>
    <row r="810" spans="1:14">
      <c r="A810" t="s">
        <v>29</v>
      </c>
      <c r="B810">
        <v>1185732</v>
      </c>
      <c r="C810" s="2">
        <v>44267</v>
      </c>
      <c r="D810" t="s">
        <v>140</v>
      </c>
      <c r="E810" t="s">
        <v>262</v>
      </c>
      <c r="F810" t="s">
        <v>267</v>
      </c>
      <c r="G810" t="s">
        <v>27</v>
      </c>
      <c r="H810" s="3">
        <v>0.4</v>
      </c>
      <c r="I810">
        <v>4450</v>
      </c>
      <c r="J810" s="4">
        <v>1780</v>
      </c>
      <c r="K810" s="4">
        <v>623.00000000000011</v>
      </c>
      <c r="L810" s="5">
        <v>0.35000000000000003</v>
      </c>
      <c r="M810" t="s">
        <v>24</v>
      </c>
      <c r="N810" t="s">
        <v>361</v>
      </c>
    </row>
    <row r="811" spans="1:14">
      <c r="A811" t="s">
        <v>29</v>
      </c>
      <c r="B811">
        <v>1185732</v>
      </c>
      <c r="C811" s="2">
        <v>44267</v>
      </c>
      <c r="D811" t="s">
        <v>140</v>
      </c>
      <c r="E811" t="s">
        <v>262</v>
      </c>
      <c r="F811" t="s">
        <v>267</v>
      </c>
      <c r="G811" t="s">
        <v>145</v>
      </c>
      <c r="H811" s="3">
        <v>0.4</v>
      </c>
      <c r="I811">
        <v>1250</v>
      </c>
      <c r="J811" s="4">
        <v>500</v>
      </c>
      <c r="K811" s="4">
        <v>150</v>
      </c>
      <c r="L811" s="5">
        <v>0.3</v>
      </c>
      <c r="M811" t="s">
        <v>24</v>
      </c>
      <c r="N811" t="s">
        <v>361</v>
      </c>
    </row>
    <row r="812" spans="1:14">
      <c r="A812" t="s">
        <v>29</v>
      </c>
      <c r="B812">
        <v>1185732</v>
      </c>
      <c r="C812" s="2">
        <v>44267</v>
      </c>
      <c r="D812" t="s">
        <v>140</v>
      </c>
      <c r="E812" t="s">
        <v>262</v>
      </c>
      <c r="F812" t="s">
        <v>267</v>
      </c>
      <c r="G812" t="s">
        <v>146</v>
      </c>
      <c r="H812" s="3">
        <v>0.30000000000000004</v>
      </c>
      <c r="I812">
        <v>1750</v>
      </c>
      <c r="J812" s="4">
        <v>525.00000000000011</v>
      </c>
      <c r="K812" s="4">
        <v>157.50000000000003</v>
      </c>
      <c r="L812" s="5">
        <v>0.3</v>
      </c>
      <c r="M812" t="s">
        <v>24</v>
      </c>
      <c r="N812" t="s">
        <v>361</v>
      </c>
    </row>
    <row r="813" spans="1:14">
      <c r="A813" t="s">
        <v>29</v>
      </c>
      <c r="B813">
        <v>1185732</v>
      </c>
      <c r="C813" s="2">
        <v>44267</v>
      </c>
      <c r="D813" t="s">
        <v>140</v>
      </c>
      <c r="E813" t="s">
        <v>262</v>
      </c>
      <c r="F813" t="s">
        <v>267</v>
      </c>
      <c r="G813" t="s">
        <v>148</v>
      </c>
      <c r="H813" s="3">
        <v>0.35</v>
      </c>
      <c r="I813">
        <v>250</v>
      </c>
      <c r="J813" s="4">
        <v>87.5</v>
      </c>
      <c r="K813" s="4">
        <v>30.625000000000004</v>
      </c>
      <c r="L813" s="5">
        <v>0.35000000000000003</v>
      </c>
      <c r="M813" t="s">
        <v>24</v>
      </c>
      <c r="N813" t="s">
        <v>361</v>
      </c>
    </row>
    <row r="814" spans="1:14">
      <c r="A814" t="s">
        <v>29</v>
      </c>
      <c r="B814">
        <v>1185732</v>
      </c>
      <c r="C814" s="2">
        <v>44267</v>
      </c>
      <c r="D814" t="s">
        <v>140</v>
      </c>
      <c r="E814" t="s">
        <v>262</v>
      </c>
      <c r="F814" t="s">
        <v>267</v>
      </c>
      <c r="G814" t="s">
        <v>147</v>
      </c>
      <c r="H814" s="3">
        <v>0.5</v>
      </c>
      <c r="I814">
        <v>750</v>
      </c>
      <c r="J814" s="4">
        <v>375</v>
      </c>
      <c r="K814" s="4">
        <v>112.5</v>
      </c>
      <c r="L814" s="5">
        <v>0.3</v>
      </c>
      <c r="M814" t="s">
        <v>24</v>
      </c>
      <c r="N814" t="s">
        <v>361</v>
      </c>
    </row>
    <row r="815" spans="1:14">
      <c r="A815" t="s">
        <v>29</v>
      </c>
      <c r="B815">
        <v>1185732</v>
      </c>
      <c r="C815" s="2">
        <v>44267</v>
      </c>
      <c r="D815" t="s">
        <v>140</v>
      </c>
      <c r="E815" t="s">
        <v>262</v>
      </c>
      <c r="F815" t="s">
        <v>267</v>
      </c>
      <c r="G815" t="s">
        <v>144</v>
      </c>
      <c r="H815" s="3">
        <v>0.4</v>
      </c>
      <c r="I815">
        <v>1750</v>
      </c>
      <c r="J815" s="4">
        <v>700</v>
      </c>
      <c r="K815" s="4">
        <v>315</v>
      </c>
      <c r="L815" s="5">
        <v>0.45</v>
      </c>
      <c r="M815" t="s">
        <v>24</v>
      </c>
      <c r="N815" t="s">
        <v>361</v>
      </c>
    </row>
    <row r="816" spans="1:14">
      <c r="A816" t="s">
        <v>29</v>
      </c>
      <c r="B816">
        <v>1185732</v>
      </c>
      <c r="C816" s="2">
        <v>44299</v>
      </c>
      <c r="D816" t="s">
        <v>140</v>
      </c>
      <c r="E816" t="s">
        <v>262</v>
      </c>
      <c r="F816" t="s">
        <v>267</v>
      </c>
      <c r="G816" t="s">
        <v>27</v>
      </c>
      <c r="H816" s="3">
        <v>0.4</v>
      </c>
      <c r="I816">
        <v>4000</v>
      </c>
      <c r="J816" s="4">
        <v>1600</v>
      </c>
      <c r="K816" s="4">
        <v>560</v>
      </c>
      <c r="L816" s="5">
        <v>0.35000000000000003</v>
      </c>
      <c r="M816" t="s">
        <v>127</v>
      </c>
      <c r="N816" t="s">
        <v>362</v>
      </c>
    </row>
    <row r="817" spans="1:14">
      <c r="A817" t="s">
        <v>29</v>
      </c>
      <c r="B817">
        <v>1185732</v>
      </c>
      <c r="C817" s="2">
        <v>44299</v>
      </c>
      <c r="D817" t="s">
        <v>140</v>
      </c>
      <c r="E817" t="s">
        <v>262</v>
      </c>
      <c r="F817" t="s">
        <v>267</v>
      </c>
      <c r="G817" t="s">
        <v>145</v>
      </c>
      <c r="H817" s="3">
        <v>0.4</v>
      </c>
      <c r="I817">
        <v>1000</v>
      </c>
      <c r="J817" s="4">
        <v>400</v>
      </c>
      <c r="K817" s="4">
        <v>120</v>
      </c>
      <c r="L817" s="5">
        <v>0.3</v>
      </c>
      <c r="M817" t="s">
        <v>127</v>
      </c>
      <c r="N817" t="s">
        <v>362</v>
      </c>
    </row>
    <row r="818" spans="1:14">
      <c r="A818" t="s">
        <v>29</v>
      </c>
      <c r="B818">
        <v>1185732</v>
      </c>
      <c r="C818" s="2">
        <v>44299</v>
      </c>
      <c r="D818" t="s">
        <v>140</v>
      </c>
      <c r="E818" t="s">
        <v>262</v>
      </c>
      <c r="F818" t="s">
        <v>267</v>
      </c>
      <c r="G818" t="s">
        <v>146</v>
      </c>
      <c r="H818" s="3">
        <v>0.30000000000000004</v>
      </c>
      <c r="I818">
        <v>1000</v>
      </c>
      <c r="J818" s="4">
        <v>300.00000000000006</v>
      </c>
      <c r="K818" s="4">
        <v>90.000000000000014</v>
      </c>
      <c r="L818" s="5">
        <v>0.3</v>
      </c>
      <c r="M818" t="s">
        <v>127</v>
      </c>
      <c r="N818" t="s">
        <v>362</v>
      </c>
    </row>
    <row r="819" spans="1:14">
      <c r="A819" t="s">
        <v>29</v>
      </c>
      <c r="B819">
        <v>1185732</v>
      </c>
      <c r="C819" s="2">
        <v>44299</v>
      </c>
      <c r="D819" t="s">
        <v>140</v>
      </c>
      <c r="E819" t="s">
        <v>262</v>
      </c>
      <c r="F819" t="s">
        <v>267</v>
      </c>
      <c r="G819" t="s">
        <v>148</v>
      </c>
      <c r="H819" s="3">
        <v>0.35</v>
      </c>
      <c r="I819">
        <v>250</v>
      </c>
      <c r="J819" s="4">
        <v>87.5</v>
      </c>
      <c r="K819" s="4">
        <v>30.625000000000004</v>
      </c>
      <c r="L819" s="5">
        <v>0.35000000000000003</v>
      </c>
      <c r="M819" t="s">
        <v>127</v>
      </c>
      <c r="N819" t="s">
        <v>362</v>
      </c>
    </row>
    <row r="820" spans="1:14">
      <c r="A820" t="s">
        <v>29</v>
      </c>
      <c r="B820">
        <v>1185732</v>
      </c>
      <c r="C820" s="2">
        <v>44299</v>
      </c>
      <c r="D820" t="s">
        <v>140</v>
      </c>
      <c r="E820" t="s">
        <v>262</v>
      </c>
      <c r="F820" t="s">
        <v>267</v>
      </c>
      <c r="G820" t="s">
        <v>147</v>
      </c>
      <c r="H820" s="3">
        <v>0.5</v>
      </c>
      <c r="I820">
        <v>500</v>
      </c>
      <c r="J820" s="4">
        <v>250</v>
      </c>
      <c r="K820" s="4">
        <v>75</v>
      </c>
      <c r="L820" s="5">
        <v>0.3</v>
      </c>
      <c r="M820" t="s">
        <v>127</v>
      </c>
      <c r="N820" t="s">
        <v>362</v>
      </c>
    </row>
    <row r="821" spans="1:14">
      <c r="A821" t="s">
        <v>29</v>
      </c>
      <c r="B821">
        <v>1185732</v>
      </c>
      <c r="C821" s="2">
        <v>44299</v>
      </c>
      <c r="D821" t="s">
        <v>140</v>
      </c>
      <c r="E821" t="s">
        <v>262</v>
      </c>
      <c r="F821" t="s">
        <v>267</v>
      </c>
      <c r="G821" t="s">
        <v>144</v>
      </c>
      <c r="H821" s="3">
        <v>0.4</v>
      </c>
      <c r="I821">
        <v>1750</v>
      </c>
      <c r="J821" s="4">
        <v>700</v>
      </c>
      <c r="K821" s="4">
        <v>315</v>
      </c>
      <c r="L821" s="5">
        <v>0.45</v>
      </c>
      <c r="M821" t="s">
        <v>127</v>
      </c>
      <c r="N821" t="s">
        <v>362</v>
      </c>
    </row>
    <row r="822" spans="1:14">
      <c r="A822" t="s">
        <v>29</v>
      </c>
      <c r="B822">
        <v>1185732</v>
      </c>
      <c r="C822" s="2">
        <v>44330</v>
      </c>
      <c r="D822" t="s">
        <v>140</v>
      </c>
      <c r="E822" t="s">
        <v>262</v>
      </c>
      <c r="F822" t="s">
        <v>267</v>
      </c>
      <c r="G822" t="s">
        <v>27</v>
      </c>
      <c r="H822" s="3">
        <v>0.5</v>
      </c>
      <c r="I822">
        <v>4450</v>
      </c>
      <c r="J822" s="4">
        <v>2225</v>
      </c>
      <c r="K822" s="4">
        <v>778.75000000000011</v>
      </c>
      <c r="L822" s="5">
        <v>0.35000000000000003</v>
      </c>
      <c r="M822" t="s">
        <v>128</v>
      </c>
      <c r="N822" t="s">
        <v>362</v>
      </c>
    </row>
    <row r="823" spans="1:14">
      <c r="A823" t="s">
        <v>29</v>
      </c>
      <c r="B823">
        <v>1185732</v>
      </c>
      <c r="C823" s="2">
        <v>44330</v>
      </c>
      <c r="D823" t="s">
        <v>140</v>
      </c>
      <c r="E823" t="s">
        <v>262</v>
      </c>
      <c r="F823" t="s">
        <v>267</v>
      </c>
      <c r="G823" t="s">
        <v>145</v>
      </c>
      <c r="H823" s="3">
        <v>0.45000000000000007</v>
      </c>
      <c r="I823">
        <v>1500</v>
      </c>
      <c r="J823" s="4">
        <v>675.00000000000011</v>
      </c>
      <c r="K823" s="4">
        <v>202.50000000000003</v>
      </c>
      <c r="L823" s="5">
        <v>0.3</v>
      </c>
      <c r="M823" t="s">
        <v>128</v>
      </c>
      <c r="N823" t="s">
        <v>362</v>
      </c>
    </row>
    <row r="824" spans="1:14">
      <c r="A824" t="s">
        <v>29</v>
      </c>
      <c r="B824">
        <v>1185732</v>
      </c>
      <c r="C824" s="2">
        <v>44330</v>
      </c>
      <c r="D824" t="s">
        <v>140</v>
      </c>
      <c r="E824" t="s">
        <v>262</v>
      </c>
      <c r="F824" t="s">
        <v>267</v>
      </c>
      <c r="G824" t="s">
        <v>146</v>
      </c>
      <c r="H824" s="3">
        <v>0.4</v>
      </c>
      <c r="I824">
        <v>1250</v>
      </c>
      <c r="J824" s="4">
        <v>500</v>
      </c>
      <c r="K824" s="4">
        <v>150</v>
      </c>
      <c r="L824" s="5">
        <v>0.3</v>
      </c>
      <c r="M824" t="s">
        <v>128</v>
      </c>
      <c r="N824" t="s">
        <v>362</v>
      </c>
    </row>
    <row r="825" spans="1:14">
      <c r="A825" t="s">
        <v>29</v>
      </c>
      <c r="B825">
        <v>1185732</v>
      </c>
      <c r="C825" s="2">
        <v>44330</v>
      </c>
      <c r="D825" t="s">
        <v>140</v>
      </c>
      <c r="E825" t="s">
        <v>262</v>
      </c>
      <c r="F825" t="s">
        <v>267</v>
      </c>
      <c r="G825" t="s">
        <v>148</v>
      </c>
      <c r="H825" s="3">
        <v>0.4</v>
      </c>
      <c r="I825">
        <v>500</v>
      </c>
      <c r="J825" s="4">
        <v>200</v>
      </c>
      <c r="K825" s="4">
        <v>70</v>
      </c>
      <c r="L825" s="5">
        <v>0.35000000000000003</v>
      </c>
      <c r="M825" t="s">
        <v>128</v>
      </c>
      <c r="N825" t="s">
        <v>362</v>
      </c>
    </row>
    <row r="826" spans="1:14">
      <c r="A826" t="s">
        <v>29</v>
      </c>
      <c r="B826">
        <v>1185732</v>
      </c>
      <c r="C826" s="2">
        <v>44330</v>
      </c>
      <c r="D826" t="s">
        <v>140</v>
      </c>
      <c r="E826" t="s">
        <v>262</v>
      </c>
      <c r="F826" t="s">
        <v>267</v>
      </c>
      <c r="G826" t="s">
        <v>147</v>
      </c>
      <c r="H826" s="3">
        <v>0.54999999999999993</v>
      </c>
      <c r="I826">
        <v>750</v>
      </c>
      <c r="J826" s="4">
        <v>412.49999999999994</v>
      </c>
      <c r="K826" s="4">
        <v>123.74999999999997</v>
      </c>
      <c r="L826" s="5">
        <v>0.3</v>
      </c>
      <c r="M826" t="s">
        <v>128</v>
      </c>
      <c r="N826" t="s">
        <v>362</v>
      </c>
    </row>
    <row r="827" spans="1:14">
      <c r="A827" t="s">
        <v>29</v>
      </c>
      <c r="B827">
        <v>1185732</v>
      </c>
      <c r="C827" s="2">
        <v>44330</v>
      </c>
      <c r="D827" t="s">
        <v>140</v>
      </c>
      <c r="E827" t="s">
        <v>262</v>
      </c>
      <c r="F827" t="s">
        <v>267</v>
      </c>
      <c r="G827" t="s">
        <v>144</v>
      </c>
      <c r="H827" s="3">
        <v>0.6</v>
      </c>
      <c r="I827">
        <v>1750</v>
      </c>
      <c r="J827" s="4">
        <v>1050</v>
      </c>
      <c r="K827" s="4">
        <v>472.5</v>
      </c>
      <c r="L827" s="5">
        <v>0.45</v>
      </c>
      <c r="M827" t="s">
        <v>128</v>
      </c>
      <c r="N827" t="s">
        <v>362</v>
      </c>
    </row>
    <row r="828" spans="1:14">
      <c r="A828" t="s">
        <v>29</v>
      </c>
      <c r="B828">
        <v>1185732</v>
      </c>
      <c r="C828" s="2">
        <v>44360</v>
      </c>
      <c r="D828" t="s">
        <v>140</v>
      </c>
      <c r="E828" t="s">
        <v>262</v>
      </c>
      <c r="F828" t="s">
        <v>267</v>
      </c>
      <c r="G828" t="s">
        <v>27</v>
      </c>
      <c r="H828" s="3">
        <v>0.45</v>
      </c>
      <c r="I828">
        <v>4250</v>
      </c>
      <c r="J828" s="4">
        <v>1912.5</v>
      </c>
      <c r="K828" s="4">
        <v>669.37500000000011</v>
      </c>
      <c r="L828" s="5">
        <v>0.35000000000000003</v>
      </c>
      <c r="M828" t="s">
        <v>129</v>
      </c>
      <c r="N828" t="s">
        <v>362</v>
      </c>
    </row>
    <row r="829" spans="1:14">
      <c r="A829" t="s">
        <v>29</v>
      </c>
      <c r="B829">
        <v>1185732</v>
      </c>
      <c r="C829" s="2">
        <v>44360</v>
      </c>
      <c r="D829" t="s">
        <v>140</v>
      </c>
      <c r="E829" t="s">
        <v>262</v>
      </c>
      <c r="F829" t="s">
        <v>267</v>
      </c>
      <c r="G829" t="s">
        <v>145</v>
      </c>
      <c r="H829" s="3">
        <v>0.40000000000000008</v>
      </c>
      <c r="I829">
        <v>1750</v>
      </c>
      <c r="J829" s="4">
        <v>700.00000000000011</v>
      </c>
      <c r="K829" s="4">
        <v>210.00000000000003</v>
      </c>
      <c r="L829" s="5">
        <v>0.3</v>
      </c>
      <c r="M829" t="s">
        <v>129</v>
      </c>
      <c r="N829" t="s">
        <v>362</v>
      </c>
    </row>
    <row r="830" spans="1:14">
      <c r="A830" t="s">
        <v>29</v>
      </c>
      <c r="B830">
        <v>1185732</v>
      </c>
      <c r="C830" s="2">
        <v>44360</v>
      </c>
      <c r="D830" t="s">
        <v>140</v>
      </c>
      <c r="E830" t="s">
        <v>262</v>
      </c>
      <c r="F830" t="s">
        <v>267</v>
      </c>
      <c r="G830" t="s">
        <v>146</v>
      </c>
      <c r="H830" s="3">
        <v>0.35000000000000003</v>
      </c>
      <c r="I830">
        <v>1750</v>
      </c>
      <c r="J830" s="4">
        <v>612.50000000000011</v>
      </c>
      <c r="K830" s="4">
        <v>183.75000000000003</v>
      </c>
      <c r="L830" s="5">
        <v>0.3</v>
      </c>
      <c r="M830" t="s">
        <v>129</v>
      </c>
      <c r="N830" t="s">
        <v>362</v>
      </c>
    </row>
    <row r="831" spans="1:14">
      <c r="A831" t="s">
        <v>29</v>
      </c>
      <c r="B831">
        <v>1185732</v>
      </c>
      <c r="C831" s="2">
        <v>44360</v>
      </c>
      <c r="D831" t="s">
        <v>140</v>
      </c>
      <c r="E831" t="s">
        <v>262</v>
      </c>
      <c r="F831" t="s">
        <v>267</v>
      </c>
      <c r="G831" t="s">
        <v>148</v>
      </c>
      <c r="H831" s="3">
        <v>0.35000000000000003</v>
      </c>
      <c r="I831">
        <v>1500</v>
      </c>
      <c r="J831" s="4">
        <v>525</v>
      </c>
      <c r="K831" s="4">
        <v>183.75000000000003</v>
      </c>
      <c r="L831" s="5">
        <v>0.35000000000000003</v>
      </c>
      <c r="M831" t="s">
        <v>129</v>
      </c>
      <c r="N831" t="s">
        <v>362</v>
      </c>
    </row>
    <row r="832" spans="1:14">
      <c r="A832" t="s">
        <v>29</v>
      </c>
      <c r="B832">
        <v>1185732</v>
      </c>
      <c r="C832" s="2">
        <v>44360</v>
      </c>
      <c r="D832" t="s">
        <v>140</v>
      </c>
      <c r="E832" t="s">
        <v>262</v>
      </c>
      <c r="F832" t="s">
        <v>267</v>
      </c>
      <c r="G832" t="s">
        <v>147</v>
      </c>
      <c r="H832" s="3">
        <v>0.5</v>
      </c>
      <c r="I832">
        <v>1500</v>
      </c>
      <c r="J832" s="4">
        <v>750</v>
      </c>
      <c r="K832" s="4">
        <v>225</v>
      </c>
      <c r="L832" s="5">
        <v>0.3</v>
      </c>
      <c r="M832" t="s">
        <v>129</v>
      </c>
      <c r="N832" t="s">
        <v>362</v>
      </c>
    </row>
    <row r="833" spans="1:14">
      <c r="A833" t="s">
        <v>29</v>
      </c>
      <c r="B833">
        <v>1185732</v>
      </c>
      <c r="C833" s="2">
        <v>44360</v>
      </c>
      <c r="D833" t="s">
        <v>140</v>
      </c>
      <c r="E833" t="s">
        <v>262</v>
      </c>
      <c r="F833" t="s">
        <v>267</v>
      </c>
      <c r="G833" t="s">
        <v>144</v>
      </c>
      <c r="H833" s="3">
        <v>0.55000000000000004</v>
      </c>
      <c r="I833">
        <v>3250</v>
      </c>
      <c r="J833" s="4">
        <v>1787.5000000000002</v>
      </c>
      <c r="K833" s="4">
        <v>804.37500000000011</v>
      </c>
      <c r="L833" s="5">
        <v>0.45</v>
      </c>
      <c r="M833" t="s">
        <v>129</v>
      </c>
      <c r="N833" t="s">
        <v>362</v>
      </c>
    </row>
    <row r="834" spans="1:14">
      <c r="A834" t="s">
        <v>29</v>
      </c>
      <c r="B834">
        <v>1185732</v>
      </c>
      <c r="C834" s="2">
        <v>44389</v>
      </c>
      <c r="D834" t="s">
        <v>140</v>
      </c>
      <c r="E834" t="s">
        <v>262</v>
      </c>
      <c r="F834" t="s">
        <v>267</v>
      </c>
      <c r="G834" t="s">
        <v>27</v>
      </c>
      <c r="H834" s="3">
        <v>0.5</v>
      </c>
      <c r="I834">
        <v>5500</v>
      </c>
      <c r="J834" s="4">
        <v>2750</v>
      </c>
      <c r="K834" s="4">
        <v>962.50000000000011</v>
      </c>
      <c r="L834" s="5">
        <v>0.35000000000000003</v>
      </c>
      <c r="M834" t="s">
        <v>130</v>
      </c>
      <c r="N834" t="s">
        <v>363</v>
      </c>
    </row>
    <row r="835" spans="1:14">
      <c r="A835" t="s">
        <v>29</v>
      </c>
      <c r="B835">
        <v>1185732</v>
      </c>
      <c r="C835" s="2">
        <v>44389</v>
      </c>
      <c r="D835" t="s">
        <v>140</v>
      </c>
      <c r="E835" t="s">
        <v>262</v>
      </c>
      <c r="F835" t="s">
        <v>267</v>
      </c>
      <c r="G835" t="s">
        <v>145</v>
      </c>
      <c r="H835" s="3">
        <v>0.45000000000000007</v>
      </c>
      <c r="I835">
        <v>3000</v>
      </c>
      <c r="J835" s="4">
        <v>1350.0000000000002</v>
      </c>
      <c r="K835" s="4">
        <v>405.00000000000006</v>
      </c>
      <c r="L835" s="5">
        <v>0.3</v>
      </c>
      <c r="M835" t="s">
        <v>130</v>
      </c>
      <c r="N835" t="s">
        <v>363</v>
      </c>
    </row>
    <row r="836" spans="1:14">
      <c r="A836" t="s">
        <v>29</v>
      </c>
      <c r="B836">
        <v>1185732</v>
      </c>
      <c r="C836" s="2">
        <v>44389</v>
      </c>
      <c r="D836" t="s">
        <v>140</v>
      </c>
      <c r="E836" t="s">
        <v>262</v>
      </c>
      <c r="F836" t="s">
        <v>267</v>
      </c>
      <c r="G836" t="s">
        <v>146</v>
      </c>
      <c r="H836" s="3">
        <v>0.4</v>
      </c>
      <c r="I836">
        <v>2250</v>
      </c>
      <c r="J836" s="4">
        <v>900</v>
      </c>
      <c r="K836" s="4">
        <v>270</v>
      </c>
      <c r="L836" s="5">
        <v>0.3</v>
      </c>
      <c r="M836" t="s">
        <v>130</v>
      </c>
      <c r="N836" t="s">
        <v>363</v>
      </c>
    </row>
    <row r="837" spans="1:14">
      <c r="A837" t="s">
        <v>29</v>
      </c>
      <c r="B837">
        <v>1185732</v>
      </c>
      <c r="C837" s="2">
        <v>44389</v>
      </c>
      <c r="D837" t="s">
        <v>140</v>
      </c>
      <c r="E837" t="s">
        <v>262</v>
      </c>
      <c r="F837" t="s">
        <v>267</v>
      </c>
      <c r="G837" t="s">
        <v>148</v>
      </c>
      <c r="H837" s="3">
        <v>0.4</v>
      </c>
      <c r="I837">
        <v>1750</v>
      </c>
      <c r="J837" s="4">
        <v>700</v>
      </c>
      <c r="K837" s="4">
        <v>245.00000000000003</v>
      </c>
      <c r="L837" s="5">
        <v>0.35000000000000003</v>
      </c>
      <c r="M837" t="s">
        <v>130</v>
      </c>
      <c r="N837" t="s">
        <v>363</v>
      </c>
    </row>
    <row r="838" spans="1:14">
      <c r="A838" t="s">
        <v>29</v>
      </c>
      <c r="B838">
        <v>1185732</v>
      </c>
      <c r="C838" s="2">
        <v>44389</v>
      </c>
      <c r="D838" t="s">
        <v>140</v>
      </c>
      <c r="E838" t="s">
        <v>262</v>
      </c>
      <c r="F838" t="s">
        <v>267</v>
      </c>
      <c r="G838" t="s">
        <v>147</v>
      </c>
      <c r="H838" s="3">
        <v>0.5</v>
      </c>
      <c r="I838">
        <v>2000</v>
      </c>
      <c r="J838" s="4">
        <v>1000</v>
      </c>
      <c r="K838" s="4">
        <v>300</v>
      </c>
      <c r="L838" s="5">
        <v>0.3</v>
      </c>
      <c r="M838" t="s">
        <v>130</v>
      </c>
      <c r="N838" t="s">
        <v>363</v>
      </c>
    </row>
    <row r="839" spans="1:14">
      <c r="A839" t="s">
        <v>29</v>
      </c>
      <c r="B839">
        <v>1185732</v>
      </c>
      <c r="C839" s="2">
        <v>44389</v>
      </c>
      <c r="D839" t="s">
        <v>140</v>
      </c>
      <c r="E839" t="s">
        <v>262</v>
      </c>
      <c r="F839" t="s">
        <v>267</v>
      </c>
      <c r="G839" t="s">
        <v>144</v>
      </c>
      <c r="H839" s="3">
        <v>0.55000000000000004</v>
      </c>
      <c r="I839">
        <v>3750</v>
      </c>
      <c r="J839" s="4">
        <v>2062.5</v>
      </c>
      <c r="K839" s="4">
        <v>928.125</v>
      </c>
      <c r="L839" s="5">
        <v>0.45</v>
      </c>
      <c r="M839" t="s">
        <v>130</v>
      </c>
      <c r="N839" t="s">
        <v>363</v>
      </c>
    </row>
    <row r="840" spans="1:14">
      <c r="A840" t="s">
        <v>29</v>
      </c>
      <c r="B840">
        <v>1185732</v>
      </c>
      <c r="C840" s="2">
        <v>44421</v>
      </c>
      <c r="D840" t="s">
        <v>140</v>
      </c>
      <c r="E840" t="s">
        <v>262</v>
      </c>
      <c r="F840" t="s">
        <v>267</v>
      </c>
      <c r="G840" t="s">
        <v>27</v>
      </c>
      <c r="H840" s="3">
        <v>0.5</v>
      </c>
      <c r="I840">
        <v>5250</v>
      </c>
      <c r="J840" s="4">
        <v>2625</v>
      </c>
      <c r="K840" s="4">
        <v>918.75000000000011</v>
      </c>
      <c r="L840" s="5">
        <v>0.35000000000000003</v>
      </c>
      <c r="M840" t="s">
        <v>131</v>
      </c>
      <c r="N840" t="s">
        <v>363</v>
      </c>
    </row>
    <row r="841" spans="1:14">
      <c r="A841" t="s">
        <v>29</v>
      </c>
      <c r="B841">
        <v>1185732</v>
      </c>
      <c r="C841" s="2">
        <v>44421</v>
      </c>
      <c r="D841" t="s">
        <v>140</v>
      </c>
      <c r="E841" t="s">
        <v>262</v>
      </c>
      <c r="F841" t="s">
        <v>267</v>
      </c>
      <c r="G841" t="s">
        <v>145</v>
      </c>
      <c r="H841" s="3">
        <v>0.45000000000000007</v>
      </c>
      <c r="I841">
        <v>3000</v>
      </c>
      <c r="J841" s="4">
        <v>1350.0000000000002</v>
      </c>
      <c r="K841" s="4">
        <v>405.00000000000006</v>
      </c>
      <c r="L841" s="5">
        <v>0.3</v>
      </c>
      <c r="M841" t="s">
        <v>131</v>
      </c>
      <c r="N841" t="s">
        <v>363</v>
      </c>
    </row>
    <row r="842" spans="1:14">
      <c r="A842" t="s">
        <v>29</v>
      </c>
      <c r="B842">
        <v>1185732</v>
      </c>
      <c r="C842" s="2">
        <v>44421</v>
      </c>
      <c r="D842" t="s">
        <v>140</v>
      </c>
      <c r="E842" t="s">
        <v>262</v>
      </c>
      <c r="F842" t="s">
        <v>267</v>
      </c>
      <c r="G842" t="s">
        <v>146</v>
      </c>
      <c r="H842" s="3">
        <v>0.4</v>
      </c>
      <c r="I842">
        <v>2250</v>
      </c>
      <c r="J842" s="4">
        <v>900</v>
      </c>
      <c r="K842" s="4">
        <v>270</v>
      </c>
      <c r="L842" s="5">
        <v>0.3</v>
      </c>
      <c r="M842" t="s">
        <v>131</v>
      </c>
      <c r="N842" t="s">
        <v>363</v>
      </c>
    </row>
    <row r="843" spans="1:14">
      <c r="A843" t="s">
        <v>29</v>
      </c>
      <c r="B843">
        <v>1185732</v>
      </c>
      <c r="C843" s="2">
        <v>44421</v>
      </c>
      <c r="D843" t="s">
        <v>140</v>
      </c>
      <c r="E843" t="s">
        <v>262</v>
      </c>
      <c r="F843" t="s">
        <v>267</v>
      </c>
      <c r="G843" t="s">
        <v>148</v>
      </c>
      <c r="H843" s="3">
        <v>0.35000000000000003</v>
      </c>
      <c r="I843">
        <v>1750</v>
      </c>
      <c r="J843" s="4">
        <v>612.50000000000011</v>
      </c>
      <c r="K843" s="4">
        <v>214.37500000000006</v>
      </c>
      <c r="L843" s="5">
        <v>0.35000000000000003</v>
      </c>
      <c r="M843" t="s">
        <v>131</v>
      </c>
      <c r="N843" t="s">
        <v>363</v>
      </c>
    </row>
    <row r="844" spans="1:14">
      <c r="A844" t="s">
        <v>29</v>
      </c>
      <c r="B844">
        <v>1185732</v>
      </c>
      <c r="C844" s="2">
        <v>44421</v>
      </c>
      <c r="D844" t="s">
        <v>140</v>
      </c>
      <c r="E844" t="s">
        <v>262</v>
      </c>
      <c r="F844" t="s">
        <v>267</v>
      </c>
      <c r="G844" t="s">
        <v>147</v>
      </c>
      <c r="H844" s="3">
        <v>0.45</v>
      </c>
      <c r="I844">
        <v>1500</v>
      </c>
      <c r="J844" s="4">
        <v>675</v>
      </c>
      <c r="K844" s="4">
        <v>202.5</v>
      </c>
      <c r="L844" s="5">
        <v>0.3</v>
      </c>
      <c r="M844" t="s">
        <v>131</v>
      </c>
      <c r="N844" t="s">
        <v>363</v>
      </c>
    </row>
    <row r="845" spans="1:14">
      <c r="A845" t="s">
        <v>29</v>
      </c>
      <c r="B845">
        <v>1185732</v>
      </c>
      <c r="C845" s="2">
        <v>44421</v>
      </c>
      <c r="D845" t="s">
        <v>140</v>
      </c>
      <c r="E845" t="s">
        <v>262</v>
      </c>
      <c r="F845" t="s">
        <v>267</v>
      </c>
      <c r="G845" t="s">
        <v>144</v>
      </c>
      <c r="H845" s="3">
        <v>0.5</v>
      </c>
      <c r="I845">
        <v>3250</v>
      </c>
      <c r="J845" s="4">
        <v>1625</v>
      </c>
      <c r="K845" s="4">
        <v>731.25</v>
      </c>
      <c r="L845" s="5">
        <v>0.45</v>
      </c>
      <c r="M845" t="s">
        <v>131</v>
      </c>
      <c r="N845" t="s">
        <v>363</v>
      </c>
    </row>
    <row r="846" spans="1:14">
      <c r="A846" t="s">
        <v>29</v>
      </c>
      <c r="B846">
        <v>1185732</v>
      </c>
      <c r="C846" s="2">
        <v>44453</v>
      </c>
      <c r="D846" t="s">
        <v>140</v>
      </c>
      <c r="E846" t="s">
        <v>262</v>
      </c>
      <c r="F846" t="s">
        <v>267</v>
      </c>
      <c r="G846" t="s">
        <v>27</v>
      </c>
      <c r="H846" s="3">
        <v>0.45</v>
      </c>
      <c r="I846">
        <v>4500</v>
      </c>
      <c r="J846" s="4">
        <v>2025</v>
      </c>
      <c r="K846" s="4">
        <v>708.75000000000011</v>
      </c>
      <c r="L846" s="5">
        <v>0.35000000000000003</v>
      </c>
      <c r="M846" t="s">
        <v>132</v>
      </c>
      <c r="N846" t="s">
        <v>363</v>
      </c>
    </row>
    <row r="847" spans="1:14">
      <c r="A847" t="s">
        <v>29</v>
      </c>
      <c r="B847">
        <v>1185732</v>
      </c>
      <c r="C847" s="2">
        <v>44453</v>
      </c>
      <c r="D847" t="s">
        <v>140</v>
      </c>
      <c r="E847" t="s">
        <v>262</v>
      </c>
      <c r="F847" t="s">
        <v>267</v>
      </c>
      <c r="G847" t="s">
        <v>145</v>
      </c>
      <c r="H847" s="3">
        <v>0.40000000000000008</v>
      </c>
      <c r="I847">
        <v>2500</v>
      </c>
      <c r="J847" s="4">
        <v>1000.0000000000002</v>
      </c>
      <c r="K847" s="4">
        <v>300.00000000000006</v>
      </c>
      <c r="L847" s="5">
        <v>0.3</v>
      </c>
      <c r="M847" t="s">
        <v>132</v>
      </c>
      <c r="N847" t="s">
        <v>363</v>
      </c>
    </row>
    <row r="848" spans="1:14">
      <c r="A848" t="s">
        <v>29</v>
      </c>
      <c r="B848">
        <v>1185732</v>
      </c>
      <c r="C848" s="2">
        <v>44453</v>
      </c>
      <c r="D848" t="s">
        <v>140</v>
      </c>
      <c r="E848" t="s">
        <v>262</v>
      </c>
      <c r="F848" t="s">
        <v>267</v>
      </c>
      <c r="G848" t="s">
        <v>146</v>
      </c>
      <c r="H848" s="3">
        <v>0.25</v>
      </c>
      <c r="I848">
        <v>1500</v>
      </c>
      <c r="J848" s="4">
        <v>375</v>
      </c>
      <c r="K848" s="4">
        <v>112.5</v>
      </c>
      <c r="L848" s="5">
        <v>0.3</v>
      </c>
      <c r="M848" t="s">
        <v>132</v>
      </c>
      <c r="N848" t="s">
        <v>363</v>
      </c>
    </row>
    <row r="849" spans="1:14">
      <c r="A849" t="s">
        <v>29</v>
      </c>
      <c r="B849">
        <v>1185732</v>
      </c>
      <c r="C849" s="2">
        <v>44453</v>
      </c>
      <c r="D849" t="s">
        <v>140</v>
      </c>
      <c r="E849" t="s">
        <v>262</v>
      </c>
      <c r="F849" t="s">
        <v>267</v>
      </c>
      <c r="G849" t="s">
        <v>148</v>
      </c>
      <c r="H849" s="3">
        <v>0.25</v>
      </c>
      <c r="I849">
        <v>1250</v>
      </c>
      <c r="J849" s="4">
        <v>312.5</v>
      </c>
      <c r="K849" s="4">
        <v>109.37500000000001</v>
      </c>
      <c r="L849" s="5">
        <v>0.35000000000000003</v>
      </c>
      <c r="M849" t="s">
        <v>132</v>
      </c>
      <c r="N849" t="s">
        <v>363</v>
      </c>
    </row>
    <row r="850" spans="1:14">
      <c r="A850" t="s">
        <v>29</v>
      </c>
      <c r="B850">
        <v>1185732</v>
      </c>
      <c r="C850" s="2">
        <v>44453</v>
      </c>
      <c r="D850" t="s">
        <v>140</v>
      </c>
      <c r="E850" t="s">
        <v>262</v>
      </c>
      <c r="F850" t="s">
        <v>267</v>
      </c>
      <c r="G850" t="s">
        <v>147</v>
      </c>
      <c r="H850" s="3">
        <v>0.35</v>
      </c>
      <c r="I850">
        <v>1250</v>
      </c>
      <c r="J850" s="4">
        <v>437.5</v>
      </c>
      <c r="K850" s="4">
        <v>131.25</v>
      </c>
      <c r="L850" s="5">
        <v>0.3</v>
      </c>
      <c r="M850" t="s">
        <v>132</v>
      </c>
      <c r="N850" t="s">
        <v>363</v>
      </c>
    </row>
    <row r="851" spans="1:14">
      <c r="A851" t="s">
        <v>29</v>
      </c>
      <c r="B851">
        <v>1185732</v>
      </c>
      <c r="C851" s="2">
        <v>44453</v>
      </c>
      <c r="D851" t="s">
        <v>140</v>
      </c>
      <c r="E851" t="s">
        <v>262</v>
      </c>
      <c r="F851" t="s">
        <v>267</v>
      </c>
      <c r="G851" t="s">
        <v>144</v>
      </c>
      <c r="H851" s="3">
        <v>0.4</v>
      </c>
      <c r="I851">
        <v>2000</v>
      </c>
      <c r="J851" s="4">
        <v>800</v>
      </c>
      <c r="K851" s="4">
        <v>360</v>
      </c>
      <c r="L851" s="5">
        <v>0.45</v>
      </c>
      <c r="M851" t="s">
        <v>132</v>
      </c>
      <c r="N851" t="s">
        <v>363</v>
      </c>
    </row>
    <row r="852" spans="1:14">
      <c r="A852" t="s">
        <v>29</v>
      </c>
      <c r="B852">
        <v>1185732</v>
      </c>
      <c r="C852" s="2">
        <v>44482</v>
      </c>
      <c r="D852" t="s">
        <v>140</v>
      </c>
      <c r="E852" t="s">
        <v>262</v>
      </c>
      <c r="F852" t="s">
        <v>267</v>
      </c>
      <c r="G852" t="s">
        <v>27</v>
      </c>
      <c r="H852" s="3">
        <v>0.44999999999999996</v>
      </c>
      <c r="I852">
        <v>3750</v>
      </c>
      <c r="J852" s="4">
        <v>1687.4999999999998</v>
      </c>
      <c r="K852" s="4">
        <v>590.625</v>
      </c>
      <c r="L852" s="5">
        <v>0.35000000000000003</v>
      </c>
      <c r="M852" t="s">
        <v>133</v>
      </c>
      <c r="N852" t="s">
        <v>364</v>
      </c>
    </row>
    <row r="853" spans="1:14">
      <c r="A853" t="s">
        <v>29</v>
      </c>
      <c r="B853">
        <v>1185732</v>
      </c>
      <c r="C853" s="2">
        <v>44482</v>
      </c>
      <c r="D853" t="s">
        <v>140</v>
      </c>
      <c r="E853" t="s">
        <v>262</v>
      </c>
      <c r="F853" t="s">
        <v>267</v>
      </c>
      <c r="G853" t="s">
        <v>145</v>
      </c>
      <c r="H853" s="3">
        <v>0.35</v>
      </c>
      <c r="I853">
        <v>2000</v>
      </c>
      <c r="J853" s="4">
        <v>700</v>
      </c>
      <c r="K853" s="4">
        <v>210</v>
      </c>
      <c r="L853" s="5">
        <v>0.3</v>
      </c>
      <c r="M853" t="s">
        <v>133</v>
      </c>
      <c r="N853" t="s">
        <v>364</v>
      </c>
    </row>
    <row r="854" spans="1:14">
      <c r="A854" t="s">
        <v>29</v>
      </c>
      <c r="B854">
        <v>1185732</v>
      </c>
      <c r="C854" s="2">
        <v>44482</v>
      </c>
      <c r="D854" t="s">
        <v>140</v>
      </c>
      <c r="E854" t="s">
        <v>262</v>
      </c>
      <c r="F854" t="s">
        <v>267</v>
      </c>
      <c r="G854" t="s">
        <v>146</v>
      </c>
      <c r="H854" s="3">
        <v>0.35</v>
      </c>
      <c r="I854">
        <v>1000</v>
      </c>
      <c r="J854" s="4">
        <v>350</v>
      </c>
      <c r="K854" s="4">
        <v>105</v>
      </c>
      <c r="L854" s="5">
        <v>0.3</v>
      </c>
      <c r="M854" t="s">
        <v>133</v>
      </c>
      <c r="N854" t="s">
        <v>364</v>
      </c>
    </row>
    <row r="855" spans="1:14">
      <c r="A855" t="s">
        <v>29</v>
      </c>
      <c r="B855">
        <v>1185732</v>
      </c>
      <c r="C855" s="2">
        <v>44482</v>
      </c>
      <c r="D855" t="s">
        <v>140</v>
      </c>
      <c r="E855" t="s">
        <v>262</v>
      </c>
      <c r="F855" t="s">
        <v>267</v>
      </c>
      <c r="G855" t="s">
        <v>148</v>
      </c>
      <c r="H855" s="3">
        <v>0.35</v>
      </c>
      <c r="I855">
        <v>750</v>
      </c>
      <c r="J855" s="4">
        <v>262.5</v>
      </c>
      <c r="K855" s="4">
        <v>91.875000000000014</v>
      </c>
      <c r="L855" s="5">
        <v>0.35000000000000003</v>
      </c>
      <c r="M855" t="s">
        <v>133</v>
      </c>
      <c r="N855" t="s">
        <v>364</v>
      </c>
    </row>
    <row r="856" spans="1:14">
      <c r="A856" t="s">
        <v>29</v>
      </c>
      <c r="B856">
        <v>1185732</v>
      </c>
      <c r="C856" s="2">
        <v>44482</v>
      </c>
      <c r="D856" t="s">
        <v>140</v>
      </c>
      <c r="E856" t="s">
        <v>262</v>
      </c>
      <c r="F856" t="s">
        <v>267</v>
      </c>
      <c r="G856" t="s">
        <v>147</v>
      </c>
      <c r="H856" s="3">
        <v>0.44999999999999996</v>
      </c>
      <c r="I856">
        <v>750</v>
      </c>
      <c r="J856" s="4">
        <v>337.49999999999994</v>
      </c>
      <c r="K856" s="4">
        <v>101.24999999999999</v>
      </c>
      <c r="L856" s="5">
        <v>0.3</v>
      </c>
      <c r="M856" t="s">
        <v>133</v>
      </c>
      <c r="N856" t="s">
        <v>364</v>
      </c>
    </row>
    <row r="857" spans="1:14">
      <c r="A857" t="s">
        <v>29</v>
      </c>
      <c r="B857">
        <v>1185732</v>
      </c>
      <c r="C857" s="2">
        <v>44482</v>
      </c>
      <c r="D857" t="s">
        <v>140</v>
      </c>
      <c r="E857" t="s">
        <v>262</v>
      </c>
      <c r="F857" t="s">
        <v>267</v>
      </c>
      <c r="G857" t="s">
        <v>144</v>
      </c>
      <c r="H857" s="3">
        <v>0.49999999999999989</v>
      </c>
      <c r="I857">
        <v>2000</v>
      </c>
      <c r="J857" s="4">
        <v>999.99999999999977</v>
      </c>
      <c r="K857" s="4">
        <v>449.99999999999989</v>
      </c>
      <c r="L857" s="5">
        <v>0.45</v>
      </c>
      <c r="M857" t="s">
        <v>133</v>
      </c>
      <c r="N857" t="s">
        <v>364</v>
      </c>
    </row>
    <row r="858" spans="1:14">
      <c r="A858" t="s">
        <v>29</v>
      </c>
      <c r="B858">
        <v>1185732</v>
      </c>
      <c r="C858" s="2">
        <v>44513</v>
      </c>
      <c r="D858" t="s">
        <v>140</v>
      </c>
      <c r="E858" t="s">
        <v>262</v>
      </c>
      <c r="F858" t="s">
        <v>267</v>
      </c>
      <c r="G858" t="s">
        <v>27</v>
      </c>
      <c r="H858" s="3">
        <v>0.5</v>
      </c>
      <c r="I858">
        <v>3500</v>
      </c>
      <c r="J858" s="4">
        <v>1750</v>
      </c>
      <c r="K858" s="4">
        <v>612.50000000000011</v>
      </c>
      <c r="L858" s="5">
        <v>0.35000000000000003</v>
      </c>
      <c r="M858" t="s">
        <v>134</v>
      </c>
      <c r="N858" t="s">
        <v>364</v>
      </c>
    </row>
    <row r="859" spans="1:14">
      <c r="A859" t="s">
        <v>29</v>
      </c>
      <c r="B859">
        <v>1185732</v>
      </c>
      <c r="C859" s="2">
        <v>44513</v>
      </c>
      <c r="D859" t="s">
        <v>140</v>
      </c>
      <c r="E859" t="s">
        <v>262</v>
      </c>
      <c r="F859" t="s">
        <v>267</v>
      </c>
      <c r="G859" t="s">
        <v>145</v>
      </c>
      <c r="H859" s="3">
        <v>0.4</v>
      </c>
      <c r="I859">
        <v>2000</v>
      </c>
      <c r="J859" s="4">
        <v>800</v>
      </c>
      <c r="K859" s="4">
        <v>240</v>
      </c>
      <c r="L859" s="5">
        <v>0.3</v>
      </c>
      <c r="M859" t="s">
        <v>134</v>
      </c>
      <c r="N859" t="s">
        <v>364</v>
      </c>
    </row>
    <row r="860" spans="1:14">
      <c r="A860" t="s">
        <v>29</v>
      </c>
      <c r="B860">
        <v>1185732</v>
      </c>
      <c r="C860" s="2">
        <v>44513</v>
      </c>
      <c r="D860" t="s">
        <v>140</v>
      </c>
      <c r="E860" t="s">
        <v>262</v>
      </c>
      <c r="F860" t="s">
        <v>267</v>
      </c>
      <c r="G860" t="s">
        <v>146</v>
      </c>
      <c r="H860" s="3">
        <v>0.4</v>
      </c>
      <c r="I860">
        <v>1450</v>
      </c>
      <c r="J860" s="4">
        <v>580</v>
      </c>
      <c r="K860" s="4">
        <v>174</v>
      </c>
      <c r="L860" s="5">
        <v>0.3</v>
      </c>
      <c r="M860" t="s">
        <v>134</v>
      </c>
      <c r="N860" t="s">
        <v>364</v>
      </c>
    </row>
    <row r="861" spans="1:14">
      <c r="A861" t="s">
        <v>29</v>
      </c>
      <c r="B861">
        <v>1185732</v>
      </c>
      <c r="C861" s="2">
        <v>44513</v>
      </c>
      <c r="D861" t="s">
        <v>140</v>
      </c>
      <c r="E861" t="s">
        <v>262</v>
      </c>
      <c r="F861" t="s">
        <v>267</v>
      </c>
      <c r="G861" t="s">
        <v>148</v>
      </c>
      <c r="H861" s="3">
        <v>0.4</v>
      </c>
      <c r="I861">
        <v>1500</v>
      </c>
      <c r="J861" s="4">
        <v>600</v>
      </c>
      <c r="K861" s="4">
        <v>210.00000000000003</v>
      </c>
      <c r="L861" s="5">
        <v>0.35000000000000003</v>
      </c>
      <c r="M861" t="s">
        <v>134</v>
      </c>
      <c r="N861" t="s">
        <v>364</v>
      </c>
    </row>
    <row r="862" spans="1:14">
      <c r="A862" t="s">
        <v>29</v>
      </c>
      <c r="B862">
        <v>1185732</v>
      </c>
      <c r="C862" s="2">
        <v>44513</v>
      </c>
      <c r="D862" t="s">
        <v>140</v>
      </c>
      <c r="E862" t="s">
        <v>262</v>
      </c>
      <c r="F862" t="s">
        <v>267</v>
      </c>
      <c r="G862" t="s">
        <v>147</v>
      </c>
      <c r="H862" s="3">
        <v>0.54999999999999993</v>
      </c>
      <c r="I862">
        <v>1250</v>
      </c>
      <c r="J862" s="4">
        <v>687.49999999999989</v>
      </c>
      <c r="K862" s="4">
        <v>206.24999999999997</v>
      </c>
      <c r="L862" s="5">
        <v>0.3</v>
      </c>
      <c r="M862" t="s">
        <v>134</v>
      </c>
      <c r="N862" t="s">
        <v>364</v>
      </c>
    </row>
    <row r="863" spans="1:14">
      <c r="A863" t="s">
        <v>29</v>
      </c>
      <c r="B863">
        <v>1185732</v>
      </c>
      <c r="C863" s="2">
        <v>44513</v>
      </c>
      <c r="D863" t="s">
        <v>140</v>
      </c>
      <c r="E863" t="s">
        <v>262</v>
      </c>
      <c r="F863" t="s">
        <v>267</v>
      </c>
      <c r="G863" t="s">
        <v>144</v>
      </c>
      <c r="H863" s="3">
        <v>0.59999999999999987</v>
      </c>
      <c r="I863">
        <v>2250</v>
      </c>
      <c r="J863" s="4">
        <v>1349.9999999999998</v>
      </c>
      <c r="K863" s="4">
        <v>607.49999999999989</v>
      </c>
      <c r="L863" s="5">
        <v>0.45</v>
      </c>
      <c r="M863" t="s">
        <v>134</v>
      </c>
      <c r="N863" t="s">
        <v>364</v>
      </c>
    </row>
    <row r="864" spans="1:14">
      <c r="A864" t="s">
        <v>29</v>
      </c>
      <c r="B864">
        <v>1185732</v>
      </c>
      <c r="C864" s="2">
        <v>44542</v>
      </c>
      <c r="D864" t="s">
        <v>140</v>
      </c>
      <c r="E864" t="s">
        <v>262</v>
      </c>
      <c r="F864" t="s">
        <v>267</v>
      </c>
      <c r="G864" t="s">
        <v>27</v>
      </c>
      <c r="H864" s="3">
        <v>0.54999999999999993</v>
      </c>
      <c r="I864">
        <v>4750</v>
      </c>
      <c r="J864" s="4">
        <v>2612.4999999999995</v>
      </c>
      <c r="K864" s="4">
        <v>914.37499999999989</v>
      </c>
      <c r="L864" s="5">
        <v>0.35000000000000003</v>
      </c>
      <c r="M864" t="s">
        <v>23</v>
      </c>
      <c r="N864" t="s">
        <v>364</v>
      </c>
    </row>
    <row r="865" spans="1:14">
      <c r="A865" t="s">
        <v>29</v>
      </c>
      <c r="B865">
        <v>1185732</v>
      </c>
      <c r="C865" s="2">
        <v>44542</v>
      </c>
      <c r="D865" t="s">
        <v>140</v>
      </c>
      <c r="E865" t="s">
        <v>262</v>
      </c>
      <c r="F865" t="s">
        <v>267</v>
      </c>
      <c r="G865" t="s">
        <v>145</v>
      </c>
      <c r="H865" s="3">
        <v>0.45</v>
      </c>
      <c r="I865">
        <v>2750</v>
      </c>
      <c r="J865" s="4">
        <v>1237.5</v>
      </c>
      <c r="K865" s="4">
        <v>371.25</v>
      </c>
      <c r="L865" s="5">
        <v>0.3</v>
      </c>
      <c r="M865" t="s">
        <v>23</v>
      </c>
      <c r="N865" t="s">
        <v>364</v>
      </c>
    </row>
    <row r="866" spans="1:14">
      <c r="A866" t="s">
        <v>29</v>
      </c>
      <c r="B866">
        <v>1185732</v>
      </c>
      <c r="C866" s="2">
        <v>44542</v>
      </c>
      <c r="D866" t="s">
        <v>140</v>
      </c>
      <c r="E866" t="s">
        <v>262</v>
      </c>
      <c r="F866" t="s">
        <v>267</v>
      </c>
      <c r="G866" t="s">
        <v>146</v>
      </c>
      <c r="H866" s="3">
        <v>0.45</v>
      </c>
      <c r="I866">
        <v>2250</v>
      </c>
      <c r="J866" s="4">
        <v>1012.5</v>
      </c>
      <c r="K866" s="4">
        <v>303.75</v>
      </c>
      <c r="L866" s="5">
        <v>0.3</v>
      </c>
      <c r="M866" t="s">
        <v>23</v>
      </c>
      <c r="N866" t="s">
        <v>364</v>
      </c>
    </row>
    <row r="867" spans="1:14">
      <c r="A867" t="s">
        <v>29</v>
      </c>
      <c r="B867">
        <v>1185732</v>
      </c>
      <c r="C867" s="2">
        <v>44542</v>
      </c>
      <c r="D867" t="s">
        <v>140</v>
      </c>
      <c r="E867" t="s">
        <v>262</v>
      </c>
      <c r="F867" t="s">
        <v>267</v>
      </c>
      <c r="G867" t="s">
        <v>148</v>
      </c>
      <c r="H867" s="3">
        <v>0.45</v>
      </c>
      <c r="I867">
        <v>1750</v>
      </c>
      <c r="J867" s="4">
        <v>787.5</v>
      </c>
      <c r="K867" s="4">
        <v>275.625</v>
      </c>
      <c r="L867" s="5">
        <v>0.35000000000000003</v>
      </c>
      <c r="M867" t="s">
        <v>23</v>
      </c>
      <c r="N867" t="s">
        <v>364</v>
      </c>
    </row>
    <row r="868" spans="1:14">
      <c r="A868" t="s">
        <v>29</v>
      </c>
      <c r="B868">
        <v>1185732</v>
      </c>
      <c r="C868" s="2">
        <v>44542</v>
      </c>
      <c r="D868" t="s">
        <v>140</v>
      </c>
      <c r="E868" t="s">
        <v>262</v>
      </c>
      <c r="F868" t="s">
        <v>267</v>
      </c>
      <c r="G868" t="s">
        <v>147</v>
      </c>
      <c r="H868" s="3">
        <v>0.54999999999999993</v>
      </c>
      <c r="I868">
        <v>1750</v>
      </c>
      <c r="J868" s="4">
        <v>962.49999999999989</v>
      </c>
      <c r="K868" s="4">
        <v>288.74999999999994</v>
      </c>
      <c r="L868" s="5">
        <v>0.3</v>
      </c>
      <c r="M868" t="s">
        <v>23</v>
      </c>
      <c r="N868" t="s">
        <v>364</v>
      </c>
    </row>
    <row r="869" spans="1:14">
      <c r="A869" t="s">
        <v>29</v>
      </c>
      <c r="B869">
        <v>1185732</v>
      </c>
      <c r="C869" s="2">
        <v>44542</v>
      </c>
      <c r="D869" t="s">
        <v>140</v>
      </c>
      <c r="E869" t="s">
        <v>262</v>
      </c>
      <c r="F869" t="s">
        <v>267</v>
      </c>
      <c r="G869" t="s">
        <v>144</v>
      </c>
      <c r="H869" s="3">
        <v>0.59999999999999987</v>
      </c>
      <c r="I869">
        <v>2750</v>
      </c>
      <c r="J869" s="4">
        <v>1649.9999999999995</v>
      </c>
      <c r="K869" s="4">
        <v>742.49999999999977</v>
      </c>
      <c r="L869" s="5">
        <v>0.45</v>
      </c>
      <c r="M869" t="s">
        <v>23</v>
      </c>
      <c r="N869" t="s">
        <v>364</v>
      </c>
    </row>
    <row r="870" spans="1:14">
      <c r="A870" t="s">
        <v>153</v>
      </c>
      <c r="B870">
        <v>1189833</v>
      </c>
      <c r="C870" s="2">
        <v>44213</v>
      </c>
      <c r="D870" t="s">
        <v>140</v>
      </c>
      <c r="E870" t="s">
        <v>211</v>
      </c>
      <c r="F870" t="s">
        <v>220</v>
      </c>
      <c r="G870" t="s">
        <v>27</v>
      </c>
      <c r="H870" s="3">
        <v>0.35</v>
      </c>
      <c r="I870">
        <v>4750</v>
      </c>
      <c r="J870" s="4">
        <v>1662.5</v>
      </c>
      <c r="K870" s="4">
        <v>748.125</v>
      </c>
      <c r="L870" s="5">
        <v>0.45</v>
      </c>
      <c r="M870" t="s">
        <v>125</v>
      </c>
      <c r="N870" t="s">
        <v>361</v>
      </c>
    </row>
    <row r="871" spans="1:14">
      <c r="A871" t="s">
        <v>153</v>
      </c>
      <c r="B871">
        <v>1189833</v>
      </c>
      <c r="C871" s="2">
        <v>44213</v>
      </c>
      <c r="D871" t="s">
        <v>140</v>
      </c>
      <c r="E871" t="s">
        <v>211</v>
      </c>
      <c r="F871" t="s">
        <v>220</v>
      </c>
      <c r="G871" t="s">
        <v>145</v>
      </c>
      <c r="H871" s="3">
        <v>0.45</v>
      </c>
      <c r="I871">
        <v>4750</v>
      </c>
      <c r="J871" s="4">
        <v>2137.5</v>
      </c>
      <c r="K871" s="4">
        <v>641.25</v>
      </c>
      <c r="L871" s="5">
        <v>0.3</v>
      </c>
      <c r="M871" t="s">
        <v>125</v>
      </c>
      <c r="N871" t="s">
        <v>361</v>
      </c>
    </row>
    <row r="872" spans="1:14">
      <c r="A872" t="s">
        <v>153</v>
      </c>
      <c r="B872">
        <v>1189833</v>
      </c>
      <c r="C872" s="2">
        <v>44213</v>
      </c>
      <c r="D872" t="s">
        <v>140</v>
      </c>
      <c r="E872" t="s">
        <v>211</v>
      </c>
      <c r="F872" t="s">
        <v>220</v>
      </c>
      <c r="G872" t="s">
        <v>146</v>
      </c>
      <c r="H872" s="3">
        <v>0.45</v>
      </c>
      <c r="I872">
        <v>4750</v>
      </c>
      <c r="J872" s="4">
        <v>2137.5</v>
      </c>
      <c r="K872" s="4">
        <v>961.875</v>
      </c>
      <c r="L872" s="5">
        <v>0.45</v>
      </c>
      <c r="M872" t="s">
        <v>125</v>
      </c>
      <c r="N872" t="s">
        <v>361</v>
      </c>
    </row>
    <row r="873" spans="1:14">
      <c r="A873" t="s">
        <v>153</v>
      </c>
      <c r="B873">
        <v>1189833</v>
      </c>
      <c r="C873" s="2">
        <v>44213</v>
      </c>
      <c r="D873" t="s">
        <v>140</v>
      </c>
      <c r="E873" t="s">
        <v>211</v>
      </c>
      <c r="F873" t="s">
        <v>220</v>
      </c>
      <c r="G873" t="s">
        <v>148</v>
      </c>
      <c r="H873" s="3">
        <v>0.45</v>
      </c>
      <c r="I873">
        <v>3250</v>
      </c>
      <c r="J873" s="4">
        <v>1462.5</v>
      </c>
      <c r="K873" s="4">
        <v>585</v>
      </c>
      <c r="L873" s="5">
        <v>0.39999999999999997</v>
      </c>
      <c r="M873" t="s">
        <v>125</v>
      </c>
      <c r="N873" t="s">
        <v>361</v>
      </c>
    </row>
    <row r="874" spans="1:14">
      <c r="A874" t="s">
        <v>153</v>
      </c>
      <c r="B874">
        <v>1189833</v>
      </c>
      <c r="C874" s="2">
        <v>44213</v>
      </c>
      <c r="D874" t="s">
        <v>140</v>
      </c>
      <c r="E874" t="s">
        <v>211</v>
      </c>
      <c r="F874" t="s">
        <v>220</v>
      </c>
      <c r="G874" t="s">
        <v>147</v>
      </c>
      <c r="H874" s="3">
        <v>0.5</v>
      </c>
      <c r="I874">
        <v>2750</v>
      </c>
      <c r="J874" s="4">
        <v>1375</v>
      </c>
      <c r="K874" s="4">
        <v>825.00000000000011</v>
      </c>
      <c r="L874" s="5">
        <v>0.60000000000000009</v>
      </c>
      <c r="M874" t="s">
        <v>125</v>
      </c>
      <c r="N874" t="s">
        <v>361</v>
      </c>
    </row>
    <row r="875" spans="1:14">
      <c r="A875" t="s">
        <v>153</v>
      </c>
      <c r="B875">
        <v>1189833</v>
      </c>
      <c r="C875" s="2">
        <v>44213</v>
      </c>
      <c r="D875" t="s">
        <v>140</v>
      </c>
      <c r="E875" t="s">
        <v>211</v>
      </c>
      <c r="F875" t="s">
        <v>220</v>
      </c>
      <c r="G875" t="s">
        <v>144</v>
      </c>
      <c r="H875" s="3">
        <v>0.45</v>
      </c>
      <c r="I875">
        <v>4750</v>
      </c>
      <c r="J875" s="4">
        <v>2137.5</v>
      </c>
      <c r="K875" s="4">
        <v>534.375</v>
      </c>
      <c r="L875" s="5">
        <v>0.25</v>
      </c>
      <c r="M875" t="s">
        <v>125</v>
      </c>
      <c r="N875" t="s">
        <v>361</v>
      </c>
    </row>
    <row r="876" spans="1:14">
      <c r="A876" t="s">
        <v>153</v>
      </c>
      <c r="B876">
        <v>1189833</v>
      </c>
      <c r="C876" s="2">
        <v>44244</v>
      </c>
      <c r="D876" t="s">
        <v>140</v>
      </c>
      <c r="E876" t="s">
        <v>211</v>
      </c>
      <c r="F876" t="s">
        <v>220</v>
      </c>
      <c r="G876" t="s">
        <v>27</v>
      </c>
      <c r="H876" s="3">
        <v>0.35</v>
      </c>
      <c r="I876">
        <v>5250</v>
      </c>
      <c r="J876" s="4">
        <v>1837.4999999999998</v>
      </c>
      <c r="K876" s="4">
        <v>826.87499999999989</v>
      </c>
      <c r="L876" s="5">
        <v>0.45</v>
      </c>
      <c r="M876" t="s">
        <v>126</v>
      </c>
      <c r="N876" t="s">
        <v>361</v>
      </c>
    </row>
    <row r="877" spans="1:14">
      <c r="A877" t="s">
        <v>153</v>
      </c>
      <c r="B877">
        <v>1189833</v>
      </c>
      <c r="C877" s="2">
        <v>44244</v>
      </c>
      <c r="D877" t="s">
        <v>140</v>
      </c>
      <c r="E877" t="s">
        <v>211</v>
      </c>
      <c r="F877" t="s">
        <v>220</v>
      </c>
      <c r="G877" t="s">
        <v>145</v>
      </c>
      <c r="H877" s="3">
        <v>0.45</v>
      </c>
      <c r="I877">
        <v>4250</v>
      </c>
      <c r="J877" s="4">
        <v>1912.5</v>
      </c>
      <c r="K877" s="4">
        <v>573.75</v>
      </c>
      <c r="L877" s="5">
        <v>0.3</v>
      </c>
      <c r="M877" t="s">
        <v>126</v>
      </c>
      <c r="N877" t="s">
        <v>361</v>
      </c>
    </row>
    <row r="878" spans="1:14">
      <c r="A878" t="s">
        <v>153</v>
      </c>
      <c r="B878">
        <v>1189833</v>
      </c>
      <c r="C878" s="2">
        <v>44244</v>
      </c>
      <c r="D878" t="s">
        <v>140</v>
      </c>
      <c r="E878" t="s">
        <v>211</v>
      </c>
      <c r="F878" t="s">
        <v>220</v>
      </c>
      <c r="G878" t="s">
        <v>146</v>
      </c>
      <c r="H878" s="3">
        <v>0.45</v>
      </c>
      <c r="I878">
        <v>4500</v>
      </c>
      <c r="J878" s="4">
        <v>2025</v>
      </c>
      <c r="K878" s="4">
        <v>911.25</v>
      </c>
      <c r="L878" s="5">
        <v>0.45</v>
      </c>
      <c r="M878" t="s">
        <v>126</v>
      </c>
      <c r="N878" t="s">
        <v>361</v>
      </c>
    </row>
    <row r="879" spans="1:14">
      <c r="A879" t="s">
        <v>153</v>
      </c>
      <c r="B879">
        <v>1189833</v>
      </c>
      <c r="C879" s="2">
        <v>44244</v>
      </c>
      <c r="D879" t="s">
        <v>140</v>
      </c>
      <c r="E879" t="s">
        <v>211</v>
      </c>
      <c r="F879" t="s">
        <v>220</v>
      </c>
      <c r="G879" t="s">
        <v>148</v>
      </c>
      <c r="H879" s="3">
        <v>0.45</v>
      </c>
      <c r="I879">
        <v>3000</v>
      </c>
      <c r="J879" s="4">
        <v>1350</v>
      </c>
      <c r="K879" s="4">
        <v>540</v>
      </c>
      <c r="L879" s="5">
        <v>0.39999999999999997</v>
      </c>
      <c r="M879" t="s">
        <v>126</v>
      </c>
      <c r="N879" t="s">
        <v>361</v>
      </c>
    </row>
    <row r="880" spans="1:14">
      <c r="A880" t="s">
        <v>153</v>
      </c>
      <c r="B880">
        <v>1189833</v>
      </c>
      <c r="C880" s="2">
        <v>44244</v>
      </c>
      <c r="D880" t="s">
        <v>140</v>
      </c>
      <c r="E880" t="s">
        <v>211</v>
      </c>
      <c r="F880" t="s">
        <v>220</v>
      </c>
      <c r="G880" t="s">
        <v>147</v>
      </c>
      <c r="H880" s="3">
        <v>0.5</v>
      </c>
      <c r="I880">
        <v>2250</v>
      </c>
      <c r="J880" s="4">
        <v>1125</v>
      </c>
      <c r="K880" s="4">
        <v>675.00000000000011</v>
      </c>
      <c r="L880" s="5">
        <v>0.60000000000000009</v>
      </c>
      <c r="M880" t="s">
        <v>126</v>
      </c>
      <c r="N880" t="s">
        <v>361</v>
      </c>
    </row>
    <row r="881" spans="1:14">
      <c r="A881" t="s">
        <v>153</v>
      </c>
      <c r="B881">
        <v>1189833</v>
      </c>
      <c r="C881" s="2">
        <v>44244</v>
      </c>
      <c r="D881" t="s">
        <v>140</v>
      </c>
      <c r="E881" t="s">
        <v>211</v>
      </c>
      <c r="F881" t="s">
        <v>220</v>
      </c>
      <c r="G881" t="s">
        <v>144</v>
      </c>
      <c r="H881" s="3">
        <v>0.45</v>
      </c>
      <c r="I881">
        <v>4250</v>
      </c>
      <c r="J881" s="4">
        <v>1912.5</v>
      </c>
      <c r="K881" s="4">
        <v>478.125</v>
      </c>
      <c r="L881" s="5">
        <v>0.25</v>
      </c>
      <c r="M881" t="s">
        <v>126</v>
      </c>
      <c r="N881" t="s">
        <v>361</v>
      </c>
    </row>
    <row r="882" spans="1:14">
      <c r="A882" t="s">
        <v>153</v>
      </c>
      <c r="B882">
        <v>1189833</v>
      </c>
      <c r="C882" s="2">
        <v>44271</v>
      </c>
      <c r="D882" t="s">
        <v>140</v>
      </c>
      <c r="E882" t="s">
        <v>211</v>
      </c>
      <c r="F882" t="s">
        <v>220</v>
      </c>
      <c r="G882" t="s">
        <v>27</v>
      </c>
      <c r="H882" s="3">
        <v>0.35</v>
      </c>
      <c r="I882">
        <v>5750</v>
      </c>
      <c r="J882" s="4">
        <v>2012.4999999999998</v>
      </c>
      <c r="K882" s="4">
        <v>905.62499999999989</v>
      </c>
      <c r="L882" s="5">
        <v>0.45</v>
      </c>
      <c r="M882" t="s">
        <v>24</v>
      </c>
      <c r="N882" t="s">
        <v>361</v>
      </c>
    </row>
    <row r="883" spans="1:14">
      <c r="A883" t="s">
        <v>153</v>
      </c>
      <c r="B883">
        <v>1189833</v>
      </c>
      <c r="C883" s="2">
        <v>44271</v>
      </c>
      <c r="D883" t="s">
        <v>140</v>
      </c>
      <c r="E883" t="s">
        <v>211</v>
      </c>
      <c r="F883" t="s">
        <v>220</v>
      </c>
      <c r="G883" t="s">
        <v>145</v>
      </c>
      <c r="H883" s="3">
        <v>0.45</v>
      </c>
      <c r="I883">
        <v>4250</v>
      </c>
      <c r="J883" s="4">
        <v>1912.5</v>
      </c>
      <c r="K883" s="4">
        <v>573.75</v>
      </c>
      <c r="L883" s="5">
        <v>0.3</v>
      </c>
      <c r="M883" t="s">
        <v>24</v>
      </c>
      <c r="N883" t="s">
        <v>361</v>
      </c>
    </row>
    <row r="884" spans="1:14">
      <c r="A884" t="s">
        <v>153</v>
      </c>
      <c r="B884">
        <v>1189833</v>
      </c>
      <c r="C884" s="2">
        <v>44271</v>
      </c>
      <c r="D884" t="s">
        <v>140</v>
      </c>
      <c r="E884" t="s">
        <v>211</v>
      </c>
      <c r="F884" t="s">
        <v>220</v>
      </c>
      <c r="G884" t="s">
        <v>146</v>
      </c>
      <c r="H884" s="3">
        <v>0.45</v>
      </c>
      <c r="I884">
        <v>4250</v>
      </c>
      <c r="J884" s="4">
        <v>1912.5</v>
      </c>
      <c r="K884" s="4">
        <v>860.625</v>
      </c>
      <c r="L884" s="5">
        <v>0.45</v>
      </c>
      <c r="M884" t="s">
        <v>24</v>
      </c>
      <c r="N884" t="s">
        <v>361</v>
      </c>
    </row>
    <row r="885" spans="1:14">
      <c r="A885" t="s">
        <v>153</v>
      </c>
      <c r="B885">
        <v>1189833</v>
      </c>
      <c r="C885" s="2">
        <v>44271</v>
      </c>
      <c r="D885" t="s">
        <v>140</v>
      </c>
      <c r="E885" t="s">
        <v>211</v>
      </c>
      <c r="F885" t="s">
        <v>220</v>
      </c>
      <c r="G885" t="s">
        <v>148</v>
      </c>
      <c r="H885" s="3">
        <v>0.45</v>
      </c>
      <c r="I885">
        <v>3250</v>
      </c>
      <c r="J885" s="4">
        <v>1462.5</v>
      </c>
      <c r="K885" s="4">
        <v>585</v>
      </c>
      <c r="L885" s="5">
        <v>0.39999999999999997</v>
      </c>
      <c r="M885" t="s">
        <v>24</v>
      </c>
      <c r="N885" t="s">
        <v>361</v>
      </c>
    </row>
    <row r="886" spans="1:14">
      <c r="A886" t="s">
        <v>153</v>
      </c>
      <c r="B886">
        <v>1189833</v>
      </c>
      <c r="C886" s="2">
        <v>44271</v>
      </c>
      <c r="D886" t="s">
        <v>140</v>
      </c>
      <c r="E886" t="s">
        <v>211</v>
      </c>
      <c r="F886" t="s">
        <v>220</v>
      </c>
      <c r="G886" t="s">
        <v>147</v>
      </c>
      <c r="H886" s="3">
        <v>0.5</v>
      </c>
      <c r="I886">
        <v>2000</v>
      </c>
      <c r="J886" s="4">
        <v>1000</v>
      </c>
      <c r="K886" s="4">
        <v>600.00000000000011</v>
      </c>
      <c r="L886" s="5">
        <v>0.60000000000000009</v>
      </c>
      <c r="M886" t="s">
        <v>24</v>
      </c>
      <c r="N886" t="s">
        <v>361</v>
      </c>
    </row>
    <row r="887" spans="1:14">
      <c r="A887" t="s">
        <v>153</v>
      </c>
      <c r="B887">
        <v>1189833</v>
      </c>
      <c r="C887" s="2">
        <v>44271</v>
      </c>
      <c r="D887" t="s">
        <v>140</v>
      </c>
      <c r="E887" t="s">
        <v>211</v>
      </c>
      <c r="F887" t="s">
        <v>220</v>
      </c>
      <c r="G887" t="s">
        <v>144</v>
      </c>
      <c r="H887" s="3">
        <v>0.45</v>
      </c>
      <c r="I887">
        <v>4000</v>
      </c>
      <c r="J887" s="4">
        <v>1800</v>
      </c>
      <c r="K887" s="4">
        <v>450</v>
      </c>
      <c r="L887" s="5">
        <v>0.25</v>
      </c>
      <c r="M887" t="s">
        <v>24</v>
      </c>
      <c r="N887" t="s">
        <v>361</v>
      </c>
    </row>
    <row r="888" spans="1:14">
      <c r="A888" t="s">
        <v>153</v>
      </c>
      <c r="B888">
        <v>1189833</v>
      </c>
      <c r="C888" s="2">
        <v>44303</v>
      </c>
      <c r="D888" t="s">
        <v>140</v>
      </c>
      <c r="E888" t="s">
        <v>211</v>
      </c>
      <c r="F888" t="s">
        <v>220</v>
      </c>
      <c r="G888" t="s">
        <v>27</v>
      </c>
      <c r="H888" s="3">
        <v>0.45</v>
      </c>
      <c r="I888">
        <v>5750</v>
      </c>
      <c r="J888" s="4">
        <v>2587.5</v>
      </c>
      <c r="K888" s="4">
        <v>1164.375</v>
      </c>
      <c r="L888" s="5">
        <v>0.45</v>
      </c>
      <c r="M888" t="s">
        <v>127</v>
      </c>
      <c r="N888" t="s">
        <v>362</v>
      </c>
    </row>
    <row r="889" spans="1:14">
      <c r="A889" t="s">
        <v>153</v>
      </c>
      <c r="B889">
        <v>1189833</v>
      </c>
      <c r="C889" s="2">
        <v>44303</v>
      </c>
      <c r="D889" t="s">
        <v>140</v>
      </c>
      <c r="E889" t="s">
        <v>211</v>
      </c>
      <c r="F889" t="s">
        <v>220</v>
      </c>
      <c r="G889" t="s">
        <v>145</v>
      </c>
      <c r="H889" s="3">
        <v>0.45</v>
      </c>
      <c r="I889">
        <v>3750</v>
      </c>
      <c r="J889" s="4">
        <v>1687.5</v>
      </c>
      <c r="K889" s="4">
        <v>506.25</v>
      </c>
      <c r="L889" s="5">
        <v>0.3</v>
      </c>
      <c r="M889" t="s">
        <v>127</v>
      </c>
      <c r="N889" t="s">
        <v>362</v>
      </c>
    </row>
    <row r="890" spans="1:14">
      <c r="A890" t="s">
        <v>153</v>
      </c>
      <c r="B890">
        <v>1189833</v>
      </c>
      <c r="C890" s="2">
        <v>44303</v>
      </c>
      <c r="D890" t="s">
        <v>140</v>
      </c>
      <c r="E890" t="s">
        <v>211</v>
      </c>
      <c r="F890" t="s">
        <v>220</v>
      </c>
      <c r="G890" t="s">
        <v>146</v>
      </c>
      <c r="H890" s="3">
        <v>0.45</v>
      </c>
      <c r="I890">
        <v>4000</v>
      </c>
      <c r="J890" s="4">
        <v>1800</v>
      </c>
      <c r="K890" s="4">
        <v>810</v>
      </c>
      <c r="L890" s="5">
        <v>0.45</v>
      </c>
      <c r="M890" t="s">
        <v>127</v>
      </c>
      <c r="N890" t="s">
        <v>362</v>
      </c>
    </row>
    <row r="891" spans="1:14">
      <c r="A891" t="s">
        <v>153</v>
      </c>
      <c r="B891">
        <v>1189833</v>
      </c>
      <c r="C891" s="2">
        <v>44303</v>
      </c>
      <c r="D891" t="s">
        <v>140</v>
      </c>
      <c r="E891" t="s">
        <v>211</v>
      </c>
      <c r="F891" t="s">
        <v>220</v>
      </c>
      <c r="G891" t="s">
        <v>148</v>
      </c>
      <c r="H891" s="3">
        <v>0.4</v>
      </c>
      <c r="I891">
        <v>3000</v>
      </c>
      <c r="J891" s="4">
        <v>1200</v>
      </c>
      <c r="K891" s="4">
        <v>479.99999999999994</v>
      </c>
      <c r="L891" s="5">
        <v>0.39999999999999997</v>
      </c>
      <c r="M891" t="s">
        <v>127</v>
      </c>
      <c r="N891" t="s">
        <v>362</v>
      </c>
    </row>
    <row r="892" spans="1:14">
      <c r="A892" t="s">
        <v>153</v>
      </c>
      <c r="B892">
        <v>1189833</v>
      </c>
      <c r="C892" s="2">
        <v>44303</v>
      </c>
      <c r="D892" t="s">
        <v>140</v>
      </c>
      <c r="E892" t="s">
        <v>211</v>
      </c>
      <c r="F892" t="s">
        <v>220</v>
      </c>
      <c r="G892" t="s">
        <v>147</v>
      </c>
      <c r="H892" s="3">
        <v>0.45</v>
      </c>
      <c r="I892">
        <v>2000</v>
      </c>
      <c r="J892" s="4">
        <v>900</v>
      </c>
      <c r="K892" s="4">
        <v>540.00000000000011</v>
      </c>
      <c r="L892" s="5">
        <v>0.60000000000000009</v>
      </c>
      <c r="M892" t="s">
        <v>127</v>
      </c>
      <c r="N892" t="s">
        <v>362</v>
      </c>
    </row>
    <row r="893" spans="1:14">
      <c r="A893" t="s">
        <v>153</v>
      </c>
      <c r="B893">
        <v>1189833</v>
      </c>
      <c r="C893" s="2">
        <v>44303</v>
      </c>
      <c r="D893" t="s">
        <v>140</v>
      </c>
      <c r="E893" t="s">
        <v>211</v>
      </c>
      <c r="F893" t="s">
        <v>220</v>
      </c>
      <c r="G893" t="s">
        <v>144</v>
      </c>
      <c r="H893" s="3">
        <v>0.6</v>
      </c>
      <c r="I893">
        <v>3750</v>
      </c>
      <c r="J893" s="4">
        <v>2250</v>
      </c>
      <c r="K893" s="4">
        <v>562.5</v>
      </c>
      <c r="L893" s="5">
        <v>0.25</v>
      </c>
      <c r="M893" t="s">
        <v>127</v>
      </c>
      <c r="N893" t="s">
        <v>362</v>
      </c>
    </row>
    <row r="894" spans="1:14">
      <c r="A894" t="s">
        <v>153</v>
      </c>
      <c r="B894">
        <v>1189833</v>
      </c>
      <c r="C894" s="2">
        <v>44334</v>
      </c>
      <c r="D894" t="s">
        <v>140</v>
      </c>
      <c r="E894" t="s">
        <v>211</v>
      </c>
      <c r="F894" t="s">
        <v>220</v>
      </c>
      <c r="G894" t="s">
        <v>27</v>
      </c>
      <c r="H894" s="3">
        <v>0.4</v>
      </c>
      <c r="I894">
        <v>5750</v>
      </c>
      <c r="J894" s="4">
        <v>2300</v>
      </c>
      <c r="K894" s="4">
        <v>1035</v>
      </c>
      <c r="L894" s="5">
        <v>0.45</v>
      </c>
      <c r="M894" t="s">
        <v>128</v>
      </c>
      <c r="N894" t="s">
        <v>362</v>
      </c>
    </row>
    <row r="895" spans="1:14">
      <c r="A895" t="s">
        <v>153</v>
      </c>
      <c r="B895">
        <v>1189833</v>
      </c>
      <c r="C895" s="2">
        <v>44334</v>
      </c>
      <c r="D895" t="s">
        <v>140</v>
      </c>
      <c r="E895" t="s">
        <v>211</v>
      </c>
      <c r="F895" t="s">
        <v>220</v>
      </c>
      <c r="G895" t="s">
        <v>145</v>
      </c>
      <c r="H895" s="3">
        <v>0.45</v>
      </c>
      <c r="I895">
        <v>4250</v>
      </c>
      <c r="J895" s="4">
        <v>1912.5</v>
      </c>
      <c r="K895" s="4">
        <v>573.75</v>
      </c>
      <c r="L895" s="5">
        <v>0.3</v>
      </c>
      <c r="M895" t="s">
        <v>128</v>
      </c>
      <c r="N895" t="s">
        <v>362</v>
      </c>
    </row>
    <row r="896" spans="1:14">
      <c r="A896" t="s">
        <v>153</v>
      </c>
      <c r="B896">
        <v>1189833</v>
      </c>
      <c r="C896" s="2">
        <v>44334</v>
      </c>
      <c r="D896" t="s">
        <v>140</v>
      </c>
      <c r="E896" t="s">
        <v>211</v>
      </c>
      <c r="F896" t="s">
        <v>220</v>
      </c>
      <c r="G896" t="s">
        <v>146</v>
      </c>
      <c r="H896" s="3">
        <v>0.45</v>
      </c>
      <c r="I896">
        <v>4250</v>
      </c>
      <c r="J896" s="4">
        <v>1912.5</v>
      </c>
      <c r="K896" s="4">
        <v>860.625</v>
      </c>
      <c r="L896" s="5">
        <v>0.45</v>
      </c>
      <c r="M896" t="s">
        <v>128</v>
      </c>
      <c r="N896" t="s">
        <v>362</v>
      </c>
    </row>
    <row r="897" spans="1:14">
      <c r="A897" t="s">
        <v>153</v>
      </c>
      <c r="B897">
        <v>1189833</v>
      </c>
      <c r="C897" s="2">
        <v>44334</v>
      </c>
      <c r="D897" t="s">
        <v>140</v>
      </c>
      <c r="E897" t="s">
        <v>211</v>
      </c>
      <c r="F897" t="s">
        <v>220</v>
      </c>
      <c r="G897" t="s">
        <v>148</v>
      </c>
      <c r="H897" s="3">
        <v>0.4</v>
      </c>
      <c r="I897">
        <v>3250</v>
      </c>
      <c r="J897" s="4">
        <v>1300</v>
      </c>
      <c r="K897" s="4">
        <v>520</v>
      </c>
      <c r="L897" s="5">
        <v>0.39999999999999997</v>
      </c>
      <c r="M897" t="s">
        <v>128</v>
      </c>
      <c r="N897" t="s">
        <v>362</v>
      </c>
    </row>
    <row r="898" spans="1:14">
      <c r="A898" t="s">
        <v>153</v>
      </c>
      <c r="B898">
        <v>1189833</v>
      </c>
      <c r="C898" s="2">
        <v>44334</v>
      </c>
      <c r="D898" t="s">
        <v>140</v>
      </c>
      <c r="E898" t="s">
        <v>211</v>
      </c>
      <c r="F898" t="s">
        <v>220</v>
      </c>
      <c r="G898" t="s">
        <v>147</v>
      </c>
      <c r="H898" s="3">
        <v>0.45</v>
      </c>
      <c r="I898">
        <v>2250</v>
      </c>
      <c r="J898" s="4">
        <v>1012.5</v>
      </c>
      <c r="K898" s="4">
        <v>607.50000000000011</v>
      </c>
      <c r="L898" s="5">
        <v>0.60000000000000009</v>
      </c>
      <c r="M898" t="s">
        <v>128</v>
      </c>
      <c r="N898" t="s">
        <v>362</v>
      </c>
    </row>
    <row r="899" spans="1:14">
      <c r="A899" t="s">
        <v>153</v>
      </c>
      <c r="B899">
        <v>1189833</v>
      </c>
      <c r="C899" s="2">
        <v>44334</v>
      </c>
      <c r="D899" t="s">
        <v>140</v>
      </c>
      <c r="E899" t="s">
        <v>211</v>
      </c>
      <c r="F899" t="s">
        <v>220</v>
      </c>
      <c r="G899" t="s">
        <v>144</v>
      </c>
      <c r="H899" s="3">
        <v>0.6</v>
      </c>
      <c r="I899">
        <v>4000</v>
      </c>
      <c r="J899" s="4">
        <v>2400</v>
      </c>
      <c r="K899" s="4">
        <v>600</v>
      </c>
      <c r="L899" s="5">
        <v>0.25</v>
      </c>
      <c r="M899" t="s">
        <v>128</v>
      </c>
      <c r="N899" t="s">
        <v>362</v>
      </c>
    </row>
    <row r="900" spans="1:14">
      <c r="A900" t="s">
        <v>153</v>
      </c>
      <c r="B900">
        <v>1189833</v>
      </c>
      <c r="C900" s="2">
        <v>44364</v>
      </c>
      <c r="D900" t="s">
        <v>140</v>
      </c>
      <c r="E900" t="s">
        <v>211</v>
      </c>
      <c r="F900" t="s">
        <v>220</v>
      </c>
      <c r="G900" t="s">
        <v>27</v>
      </c>
      <c r="H900" s="3">
        <v>0.4</v>
      </c>
      <c r="I900">
        <v>6750</v>
      </c>
      <c r="J900" s="4">
        <v>2700</v>
      </c>
      <c r="K900" s="4">
        <v>1215</v>
      </c>
      <c r="L900" s="5">
        <v>0.45</v>
      </c>
      <c r="M900" t="s">
        <v>129</v>
      </c>
      <c r="N900" t="s">
        <v>362</v>
      </c>
    </row>
    <row r="901" spans="1:14">
      <c r="A901" t="s">
        <v>153</v>
      </c>
      <c r="B901">
        <v>1189833</v>
      </c>
      <c r="C901" s="2">
        <v>44364</v>
      </c>
      <c r="D901" t="s">
        <v>140</v>
      </c>
      <c r="E901" t="s">
        <v>211</v>
      </c>
      <c r="F901" t="s">
        <v>220</v>
      </c>
      <c r="G901" t="s">
        <v>145</v>
      </c>
      <c r="H901" s="3">
        <v>0.45</v>
      </c>
      <c r="I901">
        <v>5250</v>
      </c>
      <c r="J901" s="4">
        <v>2362.5</v>
      </c>
      <c r="K901" s="4">
        <v>708.75</v>
      </c>
      <c r="L901" s="5">
        <v>0.3</v>
      </c>
      <c r="M901" t="s">
        <v>129</v>
      </c>
      <c r="N901" t="s">
        <v>362</v>
      </c>
    </row>
    <row r="902" spans="1:14">
      <c r="A902" t="s">
        <v>153</v>
      </c>
      <c r="B902">
        <v>1189833</v>
      </c>
      <c r="C902" s="2">
        <v>44364</v>
      </c>
      <c r="D902" t="s">
        <v>140</v>
      </c>
      <c r="E902" t="s">
        <v>211</v>
      </c>
      <c r="F902" t="s">
        <v>220</v>
      </c>
      <c r="G902" t="s">
        <v>146</v>
      </c>
      <c r="H902" s="3">
        <v>0.45</v>
      </c>
      <c r="I902">
        <v>5500</v>
      </c>
      <c r="J902" s="4">
        <v>2475</v>
      </c>
      <c r="K902" s="4">
        <v>1113.75</v>
      </c>
      <c r="L902" s="5">
        <v>0.45</v>
      </c>
      <c r="M902" t="s">
        <v>129</v>
      </c>
      <c r="N902" t="s">
        <v>362</v>
      </c>
    </row>
    <row r="903" spans="1:14">
      <c r="A903" t="s">
        <v>153</v>
      </c>
      <c r="B903">
        <v>1189833</v>
      </c>
      <c r="C903" s="2">
        <v>44364</v>
      </c>
      <c r="D903" t="s">
        <v>140</v>
      </c>
      <c r="E903" t="s">
        <v>211</v>
      </c>
      <c r="F903" t="s">
        <v>220</v>
      </c>
      <c r="G903" t="s">
        <v>148</v>
      </c>
      <c r="H903" s="3">
        <v>0.4</v>
      </c>
      <c r="I903">
        <v>4250</v>
      </c>
      <c r="J903" s="4">
        <v>1700</v>
      </c>
      <c r="K903" s="4">
        <v>680</v>
      </c>
      <c r="L903" s="5">
        <v>0.39999999999999997</v>
      </c>
      <c r="M903" t="s">
        <v>129</v>
      </c>
      <c r="N903" t="s">
        <v>362</v>
      </c>
    </row>
    <row r="904" spans="1:14">
      <c r="A904" t="s">
        <v>153</v>
      </c>
      <c r="B904">
        <v>1189833</v>
      </c>
      <c r="C904" s="2">
        <v>44364</v>
      </c>
      <c r="D904" t="s">
        <v>140</v>
      </c>
      <c r="E904" t="s">
        <v>211</v>
      </c>
      <c r="F904" t="s">
        <v>220</v>
      </c>
      <c r="G904" t="s">
        <v>147</v>
      </c>
      <c r="H904" s="3">
        <v>0.45</v>
      </c>
      <c r="I904">
        <v>3000</v>
      </c>
      <c r="J904" s="4">
        <v>1350</v>
      </c>
      <c r="K904" s="4">
        <v>810.00000000000011</v>
      </c>
      <c r="L904" s="5">
        <v>0.60000000000000009</v>
      </c>
      <c r="M904" t="s">
        <v>129</v>
      </c>
      <c r="N904" t="s">
        <v>362</v>
      </c>
    </row>
    <row r="905" spans="1:14">
      <c r="A905" t="s">
        <v>153</v>
      </c>
      <c r="B905">
        <v>1189833</v>
      </c>
      <c r="C905" s="2">
        <v>44364</v>
      </c>
      <c r="D905" t="s">
        <v>140</v>
      </c>
      <c r="E905" t="s">
        <v>211</v>
      </c>
      <c r="F905" t="s">
        <v>220</v>
      </c>
      <c r="G905" t="s">
        <v>144</v>
      </c>
      <c r="H905" s="3">
        <v>0.6</v>
      </c>
      <c r="I905">
        <v>6000</v>
      </c>
      <c r="J905" s="4">
        <v>3600</v>
      </c>
      <c r="K905" s="4">
        <v>900</v>
      </c>
      <c r="L905" s="5">
        <v>0.25</v>
      </c>
      <c r="M905" t="s">
        <v>129</v>
      </c>
      <c r="N905" t="s">
        <v>362</v>
      </c>
    </row>
    <row r="906" spans="1:14">
      <c r="A906" t="s">
        <v>153</v>
      </c>
      <c r="B906">
        <v>1189833</v>
      </c>
      <c r="C906" s="2">
        <v>44393</v>
      </c>
      <c r="D906" t="s">
        <v>140</v>
      </c>
      <c r="E906" t="s">
        <v>211</v>
      </c>
      <c r="F906" t="s">
        <v>220</v>
      </c>
      <c r="G906" t="s">
        <v>27</v>
      </c>
      <c r="H906" s="3">
        <v>0.4</v>
      </c>
      <c r="I906">
        <v>7500</v>
      </c>
      <c r="J906" s="4">
        <v>3000</v>
      </c>
      <c r="K906" s="4">
        <v>1350</v>
      </c>
      <c r="L906" s="5">
        <v>0.45</v>
      </c>
      <c r="M906" t="s">
        <v>130</v>
      </c>
      <c r="N906" t="s">
        <v>363</v>
      </c>
    </row>
    <row r="907" spans="1:14">
      <c r="A907" t="s">
        <v>153</v>
      </c>
      <c r="B907">
        <v>1189833</v>
      </c>
      <c r="C907" s="2">
        <v>44393</v>
      </c>
      <c r="D907" t="s">
        <v>140</v>
      </c>
      <c r="E907" t="s">
        <v>211</v>
      </c>
      <c r="F907" t="s">
        <v>220</v>
      </c>
      <c r="G907" t="s">
        <v>145</v>
      </c>
      <c r="H907" s="3">
        <v>0.45</v>
      </c>
      <c r="I907">
        <v>6000</v>
      </c>
      <c r="J907" s="4">
        <v>2700</v>
      </c>
      <c r="K907" s="4">
        <v>810</v>
      </c>
      <c r="L907" s="5">
        <v>0.3</v>
      </c>
      <c r="M907" t="s">
        <v>130</v>
      </c>
      <c r="N907" t="s">
        <v>363</v>
      </c>
    </row>
    <row r="908" spans="1:14">
      <c r="A908" t="s">
        <v>153</v>
      </c>
      <c r="B908">
        <v>1189833</v>
      </c>
      <c r="C908" s="2">
        <v>44393</v>
      </c>
      <c r="D908" t="s">
        <v>140</v>
      </c>
      <c r="E908" t="s">
        <v>211</v>
      </c>
      <c r="F908" t="s">
        <v>220</v>
      </c>
      <c r="G908" t="s">
        <v>146</v>
      </c>
      <c r="H908" s="3">
        <v>0.45</v>
      </c>
      <c r="I908">
        <v>5500</v>
      </c>
      <c r="J908" s="4">
        <v>2475</v>
      </c>
      <c r="K908" s="4">
        <v>1113.75</v>
      </c>
      <c r="L908" s="5">
        <v>0.45</v>
      </c>
      <c r="M908" t="s">
        <v>130</v>
      </c>
      <c r="N908" t="s">
        <v>363</v>
      </c>
    </row>
    <row r="909" spans="1:14">
      <c r="A909" t="s">
        <v>153</v>
      </c>
      <c r="B909">
        <v>1189833</v>
      </c>
      <c r="C909" s="2">
        <v>44393</v>
      </c>
      <c r="D909" t="s">
        <v>140</v>
      </c>
      <c r="E909" t="s">
        <v>211</v>
      </c>
      <c r="F909" t="s">
        <v>220</v>
      </c>
      <c r="G909" t="s">
        <v>148</v>
      </c>
      <c r="H909" s="3">
        <v>0.4</v>
      </c>
      <c r="I909">
        <v>4500</v>
      </c>
      <c r="J909" s="4">
        <v>1800</v>
      </c>
      <c r="K909" s="4">
        <v>719.99999999999989</v>
      </c>
      <c r="L909" s="5">
        <v>0.39999999999999997</v>
      </c>
      <c r="M909" t="s">
        <v>130</v>
      </c>
      <c r="N909" t="s">
        <v>363</v>
      </c>
    </row>
    <row r="910" spans="1:14">
      <c r="A910" t="s">
        <v>153</v>
      </c>
      <c r="B910">
        <v>1189833</v>
      </c>
      <c r="C910" s="2">
        <v>44393</v>
      </c>
      <c r="D910" t="s">
        <v>140</v>
      </c>
      <c r="E910" t="s">
        <v>211</v>
      </c>
      <c r="F910" t="s">
        <v>220</v>
      </c>
      <c r="G910" t="s">
        <v>147</v>
      </c>
      <c r="H910" s="3">
        <v>0.45</v>
      </c>
      <c r="I910">
        <v>4750</v>
      </c>
      <c r="J910" s="4">
        <v>2137.5</v>
      </c>
      <c r="K910" s="4">
        <v>1282.5000000000002</v>
      </c>
      <c r="L910" s="5">
        <v>0.60000000000000009</v>
      </c>
      <c r="M910" t="s">
        <v>130</v>
      </c>
      <c r="N910" t="s">
        <v>363</v>
      </c>
    </row>
    <row r="911" spans="1:14">
      <c r="A911" t="s">
        <v>153</v>
      </c>
      <c r="B911">
        <v>1189833</v>
      </c>
      <c r="C911" s="2">
        <v>44393</v>
      </c>
      <c r="D911" t="s">
        <v>140</v>
      </c>
      <c r="E911" t="s">
        <v>211</v>
      </c>
      <c r="F911" t="s">
        <v>220</v>
      </c>
      <c r="G911" t="s">
        <v>144</v>
      </c>
      <c r="H911" s="3">
        <v>0.6</v>
      </c>
      <c r="I911">
        <v>4750</v>
      </c>
      <c r="J911" s="4">
        <v>2850</v>
      </c>
      <c r="K911" s="4">
        <v>712.5</v>
      </c>
      <c r="L911" s="5">
        <v>0.25</v>
      </c>
      <c r="M911" t="s">
        <v>130</v>
      </c>
      <c r="N911" t="s">
        <v>363</v>
      </c>
    </row>
    <row r="912" spans="1:14">
      <c r="A912" t="s">
        <v>153</v>
      </c>
      <c r="B912">
        <v>1189833</v>
      </c>
      <c r="C912" s="2">
        <v>44425</v>
      </c>
      <c r="D912" t="s">
        <v>140</v>
      </c>
      <c r="E912" t="s">
        <v>211</v>
      </c>
      <c r="F912" t="s">
        <v>220</v>
      </c>
      <c r="G912" t="s">
        <v>27</v>
      </c>
      <c r="H912" s="3">
        <v>0.45</v>
      </c>
      <c r="I912">
        <v>6750</v>
      </c>
      <c r="J912" s="4">
        <v>3037.5</v>
      </c>
      <c r="K912" s="4">
        <v>1366.875</v>
      </c>
      <c r="L912" s="5">
        <v>0.45</v>
      </c>
      <c r="M912" t="s">
        <v>131</v>
      </c>
      <c r="N912" t="s">
        <v>363</v>
      </c>
    </row>
    <row r="913" spans="1:14">
      <c r="A913" t="s">
        <v>153</v>
      </c>
      <c r="B913">
        <v>1189833</v>
      </c>
      <c r="C913" s="2">
        <v>44425</v>
      </c>
      <c r="D913" t="s">
        <v>140</v>
      </c>
      <c r="E913" t="s">
        <v>211</v>
      </c>
      <c r="F913" t="s">
        <v>220</v>
      </c>
      <c r="G913" t="s">
        <v>145</v>
      </c>
      <c r="H913" s="3">
        <v>0.55000000000000004</v>
      </c>
      <c r="I913">
        <v>6250</v>
      </c>
      <c r="J913" s="4">
        <v>3437.5000000000005</v>
      </c>
      <c r="K913" s="4">
        <v>1031.25</v>
      </c>
      <c r="L913" s="5">
        <v>0.3</v>
      </c>
      <c r="M913" t="s">
        <v>131</v>
      </c>
      <c r="N913" t="s">
        <v>363</v>
      </c>
    </row>
    <row r="914" spans="1:14">
      <c r="A914" t="s">
        <v>153</v>
      </c>
      <c r="B914">
        <v>1189833</v>
      </c>
      <c r="C914" s="2">
        <v>44425</v>
      </c>
      <c r="D914" t="s">
        <v>140</v>
      </c>
      <c r="E914" t="s">
        <v>211</v>
      </c>
      <c r="F914" t="s">
        <v>220</v>
      </c>
      <c r="G914" t="s">
        <v>146</v>
      </c>
      <c r="H914" s="3">
        <v>0.5</v>
      </c>
      <c r="I914">
        <v>5000</v>
      </c>
      <c r="J914" s="4">
        <v>2500</v>
      </c>
      <c r="K914" s="4">
        <v>1125</v>
      </c>
      <c r="L914" s="5">
        <v>0.45</v>
      </c>
      <c r="M914" t="s">
        <v>131</v>
      </c>
      <c r="N914" t="s">
        <v>363</v>
      </c>
    </row>
    <row r="915" spans="1:14">
      <c r="A915" t="s">
        <v>153</v>
      </c>
      <c r="B915">
        <v>1189833</v>
      </c>
      <c r="C915" s="2">
        <v>44425</v>
      </c>
      <c r="D915" t="s">
        <v>140</v>
      </c>
      <c r="E915" t="s">
        <v>211</v>
      </c>
      <c r="F915" t="s">
        <v>220</v>
      </c>
      <c r="G915" t="s">
        <v>148</v>
      </c>
      <c r="H915" s="3">
        <v>0.45</v>
      </c>
      <c r="I915">
        <v>4250</v>
      </c>
      <c r="J915" s="4">
        <v>1912.5</v>
      </c>
      <c r="K915" s="4">
        <v>764.99999999999989</v>
      </c>
      <c r="L915" s="5">
        <v>0.39999999999999997</v>
      </c>
      <c r="M915" t="s">
        <v>131</v>
      </c>
      <c r="N915" t="s">
        <v>363</v>
      </c>
    </row>
    <row r="916" spans="1:14">
      <c r="A916" t="s">
        <v>153</v>
      </c>
      <c r="B916">
        <v>1189833</v>
      </c>
      <c r="C916" s="2">
        <v>44425</v>
      </c>
      <c r="D916" t="s">
        <v>140</v>
      </c>
      <c r="E916" t="s">
        <v>211</v>
      </c>
      <c r="F916" t="s">
        <v>220</v>
      </c>
      <c r="G916" t="s">
        <v>147</v>
      </c>
      <c r="H916" s="3">
        <v>0.54999999999999993</v>
      </c>
      <c r="I916">
        <v>4250</v>
      </c>
      <c r="J916" s="4">
        <v>2337.4999999999995</v>
      </c>
      <c r="K916" s="4">
        <v>1402.5</v>
      </c>
      <c r="L916" s="5">
        <v>0.60000000000000009</v>
      </c>
      <c r="M916" t="s">
        <v>131</v>
      </c>
      <c r="N916" t="s">
        <v>363</v>
      </c>
    </row>
    <row r="917" spans="1:14">
      <c r="A917" t="s">
        <v>153</v>
      </c>
      <c r="B917">
        <v>1189833</v>
      </c>
      <c r="C917" s="2">
        <v>44425</v>
      </c>
      <c r="D917" t="s">
        <v>140</v>
      </c>
      <c r="E917" t="s">
        <v>211</v>
      </c>
      <c r="F917" t="s">
        <v>220</v>
      </c>
      <c r="G917" t="s">
        <v>144</v>
      </c>
      <c r="H917" s="3">
        <v>0.6</v>
      </c>
      <c r="I917">
        <v>4000</v>
      </c>
      <c r="J917" s="4">
        <v>2400</v>
      </c>
      <c r="K917" s="4">
        <v>600</v>
      </c>
      <c r="L917" s="5">
        <v>0.25</v>
      </c>
      <c r="M917" t="s">
        <v>131</v>
      </c>
      <c r="N917" t="s">
        <v>363</v>
      </c>
    </row>
    <row r="918" spans="1:14">
      <c r="A918" t="s">
        <v>153</v>
      </c>
      <c r="B918">
        <v>1189833</v>
      </c>
      <c r="C918" s="2">
        <v>44457</v>
      </c>
      <c r="D918" t="s">
        <v>140</v>
      </c>
      <c r="E918" t="s">
        <v>211</v>
      </c>
      <c r="F918" t="s">
        <v>220</v>
      </c>
      <c r="G918" t="s">
        <v>27</v>
      </c>
      <c r="H918" s="3">
        <v>0.45</v>
      </c>
      <c r="I918">
        <v>6000</v>
      </c>
      <c r="J918" s="4">
        <v>2700</v>
      </c>
      <c r="K918" s="4">
        <v>1215</v>
      </c>
      <c r="L918" s="5">
        <v>0.45</v>
      </c>
      <c r="M918" t="s">
        <v>132</v>
      </c>
      <c r="N918" t="s">
        <v>363</v>
      </c>
    </row>
    <row r="919" spans="1:14">
      <c r="A919" t="s">
        <v>153</v>
      </c>
      <c r="B919">
        <v>1189833</v>
      </c>
      <c r="C919" s="2">
        <v>44457</v>
      </c>
      <c r="D919" t="s">
        <v>140</v>
      </c>
      <c r="E919" t="s">
        <v>211</v>
      </c>
      <c r="F919" t="s">
        <v>220</v>
      </c>
      <c r="G919" t="s">
        <v>145</v>
      </c>
      <c r="H919" s="3">
        <v>0.5</v>
      </c>
      <c r="I919">
        <v>6000</v>
      </c>
      <c r="J919" s="4">
        <v>3000</v>
      </c>
      <c r="K919" s="4">
        <v>900</v>
      </c>
      <c r="L919" s="5">
        <v>0.3</v>
      </c>
      <c r="M919" t="s">
        <v>132</v>
      </c>
      <c r="N919" t="s">
        <v>363</v>
      </c>
    </row>
    <row r="920" spans="1:14">
      <c r="A920" t="s">
        <v>153</v>
      </c>
      <c r="B920">
        <v>1189833</v>
      </c>
      <c r="C920" s="2">
        <v>44457</v>
      </c>
      <c r="D920" t="s">
        <v>140</v>
      </c>
      <c r="E920" t="s">
        <v>211</v>
      </c>
      <c r="F920" t="s">
        <v>220</v>
      </c>
      <c r="G920" t="s">
        <v>146</v>
      </c>
      <c r="H920" s="3">
        <v>0.45</v>
      </c>
      <c r="I920">
        <v>4500</v>
      </c>
      <c r="J920" s="4">
        <v>2025</v>
      </c>
      <c r="K920" s="4">
        <v>911.25</v>
      </c>
      <c r="L920" s="5">
        <v>0.45</v>
      </c>
      <c r="M920" t="s">
        <v>132</v>
      </c>
      <c r="N920" t="s">
        <v>363</v>
      </c>
    </row>
    <row r="921" spans="1:14">
      <c r="A921" t="s">
        <v>153</v>
      </c>
      <c r="B921">
        <v>1189833</v>
      </c>
      <c r="C921" s="2">
        <v>44457</v>
      </c>
      <c r="D921" t="s">
        <v>140</v>
      </c>
      <c r="E921" t="s">
        <v>211</v>
      </c>
      <c r="F921" t="s">
        <v>220</v>
      </c>
      <c r="G921" t="s">
        <v>148</v>
      </c>
      <c r="H921" s="3">
        <v>0.45</v>
      </c>
      <c r="I921">
        <v>4000</v>
      </c>
      <c r="J921" s="4">
        <v>1800</v>
      </c>
      <c r="K921" s="4">
        <v>719.99999999999989</v>
      </c>
      <c r="L921" s="5">
        <v>0.39999999999999997</v>
      </c>
      <c r="M921" t="s">
        <v>132</v>
      </c>
      <c r="N921" t="s">
        <v>363</v>
      </c>
    </row>
    <row r="922" spans="1:14">
      <c r="A922" t="s">
        <v>153</v>
      </c>
      <c r="B922">
        <v>1189833</v>
      </c>
      <c r="C922" s="2">
        <v>44457</v>
      </c>
      <c r="D922" t="s">
        <v>140</v>
      </c>
      <c r="E922" t="s">
        <v>211</v>
      </c>
      <c r="F922" t="s">
        <v>220</v>
      </c>
      <c r="G922" t="s">
        <v>147</v>
      </c>
      <c r="H922" s="3">
        <v>0.54999999999999993</v>
      </c>
      <c r="I922">
        <v>4000</v>
      </c>
      <c r="J922" s="4">
        <v>2199.9999999999995</v>
      </c>
      <c r="K922" s="4">
        <v>1320</v>
      </c>
      <c r="L922" s="5">
        <v>0.60000000000000009</v>
      </c>
      <c r="M922" t="s">
        <v>132</v>
      </c>
      <c r="N922" t="s">
        <v>363</v>
      </c>
    </row>
    <row r="923" spans="1:14">
      <c r="A923" t="s">
        <v>153</v>
      </c>
      <c r="B923">
        <v>1189833</v>
      </c>
      <c r="C923" s="2">
        <v>44457</v>
      </c>
      <c r="D923" t="s">
        <v>140</v>
      </c>
      <c r="E923" t="s">
        <v>211</v>
      </c>
      <c r="F923" t="s">
        <v>220</v>
      </c>
      <c r="G923" t="s">
        <v>144</v>
      </c>
      <c r="H923" s="3">
        <v>0.6</v>
      </c>
      <c r="I923">
        <v>4500</v>
      </c>
      <c r="J923" s="4">
        <v>2700</v>
      </c>
      <c r="K923" s="4">
        <v>675</v>
      </c>
      <c r="L923" s="5">
        <v>0.25</v>
      </c>
      <c r="M923" t="s">
        <v>132</v>
      </c>
      <c r="N923" t="s">
        <v>363</v>
      </c>
    </row>
    <row r="924" spans="1:14">
      <c r="A924" t="s">
        <v>153</v>
      </c>
      <c r="B924">
        <v>1189833</v>
      </c>
      <c r="C924" s="2">
        <v>44486</v>
      </c>
      <c r="D924" t="s">
        <v>140</v>
      </c>
      <c r="E924" t="s">
        <v>211</v>
      </c>
      <c r="F924" t="s">
        <v>220</v>
      </c>
      <c r="G924" t="s">
        <v>27</v>
      </c>
      <c r="H924" s="3">
        <v>0.45</v>
      </c>
      <c r="I924">
        <v>5500</v>
      </c>
      <c r="J924" s="4">
        <v>2475</v>
      </c>
      <c r="K924" s="4">
        <v>1113.75</v>
      </c>
      <c r="L924" s="5">
        <v>0.45</v>
      </c>
      <c r="M924" t="s">
        <v>133</v>
      </c>
      <c r="N924" t="s">
        <v>364</v>
      </c>
    </row>
    <row r="925" spans="1:14">
      <c r="A925" t="s">
        <v>153</v>
      </c>
      <c r="B925">
        <v>1189833</v>
      </c>
      <c r="C925" s="2">
        <v>44486</v>
      </c>
      <c r="D925" t="s">
        <v>140</v>
      </c>
      <c r="E925" t="s">
        <v>211</v>
      </c>
      <c r="F925" t="s">
        <v>220</v>
      </c>
      <c r="G925" t="s">
        <v>145</v>
      </c>
      <c r="H925" s="3">
        <v>0.5</v>
      </c>
      <c r="I925">
        <v>5500</v>
      </c>
      <c r="J925" s="4">
        <v>2750</v>
      </c>
      <c r="K925" s="4">
        <v>825</v>
      </c>
      <c r="L925" s="5">
        <v>0.3</v>
      </c>
      <c r="M925" t="s">
        <v>133</v>
      </c>
      <c r="N925" t="s">
        <v>364</v>
      </c>
    </row>
    <row r="926" spans="1:14">
      <c r="A926" t="s">
        <v>153</v>
      </c>
      <c r="B926">
        <v>1189833</v>
      </c>
      <c r="C926" s="2">
        <v>44486</v>
      </c>
      <c r="D926" t="s">
        <v>140</v>
      </c>
      <c r="E926" t="s">
        <v>211</v>
      </c>
      <c r="F926" t="s">
        <v>220</v>
      </c>
      <c r="G926" t="s">
        <v>146</v>
      </c>
      <c r="H926" s="3">
        <v>0.45</v>
      </c>
      <c r="I926">
        <v>4000</v>
      </c>
      <c r="J926" s="4">
        <v>1800</v>
      </c>
      <c r="K926" s="4">
        <v>810</v>
      </c>
      <c r="L926" s="5">
        <v>0.45</v>
      </c>
      <c r="M926" t="s">
        <v>133</v>
      </c>
      <c r="N926" t="s">
        <v>364</v>
      </c>
    </row>
    <row r="927" spans="1:14">
      <c r="A927" t="s">
        <v>153</v>
      </c>
      <c r="B927">
        <v>1189833</v>
      </c>
      <c r="C927" s="2">
        <v>44486</v>
      </c>
      <c r="D927" t="s">
        <v>140</v>
      </c>
      <c r="E927" t="s">
        <v>211</v>
      </c>
      <c r="F927" t="s">
        <v>220</v>
      </c>
      <c r="G927" t="s">
        <v>148</v>
      </c>
      <c r="H927" s="3">
        <v>0.45</v>
      </c>
      <c r="I927">
        <v>3750</v>
      </c>
      <c r="J927" s="4">
        <v>1687.5</v>
      </c>
      <c r="K927" s="4">
        <v>675</v>
      </c>
      <c r="L927" s="5">
        <v>0.39999999999999997</v>
      </c>
      <c r="M927" t="s">
        <v>133</v>
      </c>
      <c r="N927" t="s">
        <v>364</v>
      </c>
    </row>
    <row r="928" spans="1:14">
      <c r="A928" t="s">
        <v>153</v>
      </c>
      <c r="B928">
        <v>1189833</v>
      </c>
      <c r="C928" s="2">
        <v>44486</v>
      </c>
      <c r="D928" t="s">
        <v>140</v>
      </c>
      <c r="E928" t="s">
        <v>211</v>
      </c>
      <c r="F928" t="s">
        <v>220</v>
      </c>
      <c r="G928" t="s">
        <v>147</v>
      </c>
      <c r="H928" s="3">
        <v>0.54999999999999993</v>
      </c>
      <c r="I928">
        <v>3500</v>
      </c>
      <c r="J928" s="4">
        <v>1924.9999999999998</v>
      </c>
      <c r="K928" s="4">
        <v>1155</v>
      </c>
      <c r="L928" s="5">
        <v>0.60000000000000009</v>
      </c>
      <c r="M928" t="s">
        <v>133</v>
      </c>
      <c r="N928" t="s">
        <v>364</v>
      </c>
    </row>
    <row r="929" spans="1:14">
      <c r="A929" t="s">
        <v>153</v>
      </c>
      <c r="B929">
        <v>1189833</v>
      </c>
      <c r="C929" s="2">
        <v>44486</v>
      </c>
      <c r="D929" t="s">
        <v>140</v>
      </c>
      <c r="E929" t="s">
        <v>211</v>
      </c>
      <c r="F929" t="s">
        <v>220</v>
      </c>
      <c r="G929" t="s">
        <v>144</v>
      </c>
      <c r="H929" s="3">
        <v>0.6</v>
      </c>
      <c r="I929">
        <v>4000</v>
      </c>
      <c r="J929" s="4">
        <v>2400</v>
      </c>
      <c r="K929" s="4">
        <v>600</v>
      </c>
      <c r="L929" s="5">
        <v>0.25</v>
      </c>
      <c r="M929" t="s">
        <v>133</v>
      </c>
      <c r="N929" t="s">
        <v>364</v>
      </c>
    </row>
    <row r="930" spans="1:14">
      <c r="A930" t="s">
        <v>153</v>
      </c>
      <c r="B930">
        <v>1189833</v>
      </c>
      <c r="C930" s="2">
        <v>44517</v>
      </c>
      <c r="D930" t="s">
        <v>140</v>
      </c>
      <c r="E930" t="s">
        <v>211</v>
      </c>
      <c r="F930" t="s">
        <v>220</v>
      </c>
      <c r="G930" t="s">
        <v>27</v>
      </c>
      <c r="H930" s="3">
        <v>0.4</v>
      </c>
      <c r="I930">
        <v>5750</v>
      </c>
      <c r="J930" s="4">
        <v>2300</v>
      </c>
      <c r="K930" s="4">
        <v>1035</v>
      </c>
      <c r="L930" s="5">
        <v>0.45</v>
      </c>
      <c r="M930" t="s">
        <v>134</v>
      </c>
      <c r="N930" t="s">
        <v>364</v>
      </c>
    </row>
    <row r="931" spans="1:14">
      <c r="A931" t="s">
        <v>153</v>
      </c>
      <c r="B931">
        <v>1189833</v>
      </c>
      <c r="C931" s="2">
        <v>44517</v>
      </c>
      <c r="D931" t="s">
        <v>140</v>
      </c>
      <c r="E931" t="s">
        <v>211</v>
      </c>
      <c r="F931" t="s">
        <v>220</v>
      </c>
      <c r="G931" t="s">
        <v>145</v>
      </c>
      <c r="H931" s="3">
        <v>0.45000000000000007</v>
      </c>
      <c r="I931">
        <v>5750</v>
      </c>
      <c r="J931" s="4">
        <v>2587.5000000000005</v>
      </c>
      <c r="K931" s="4">
        <v>776.25000000000011</v>
      </c>
      <c r="L931" s="5">
        <v>0.3</v>
      </c>
      <c r="M931" t="s">
        <v>134</v>
      </c>
      <c r="N931" t="s">
        <v>364</v>
      </c>
    </row>
    <row r="932" spans="1:14">
      <c r="A932" t="s">
        <v>153</v>
      </c>
      <c r="B932">
        <v>1189833</v>
      </c>
      <c r="C932" s="2">
        <v>44517</v>
      </c>
      <c r="D932" t="s">
        <v>140</v>
      </c>
      <c r="E932" t="s">
        <v>211</v>
      </c>
      <c r="F932" t="s">
        <v>220</v>
      </c>
      <c r="G932" t="s">
        <v>146</v>
      </c>
      <c r="H932" s="3">
        <v>0.4</v>
      </c>
      <c r="I932">
        <v>4250</v>
      </c>
      <c r="J932" s="4">
        <v>1700</v>
      </c>
      <c r="K932" s="4">
        <v>765</v>
      </c>
      <c r="L932" s="5">
        <v>0.45</v>
      </c>
      <c r="M932" t="s">
        <v>134</v>
      </c>
      <c r="N932" t="s">
        <v>364</v>
      </c>
    </row>
    <row r="933" spans="1:14">
      <c r="A933" t="s">
        <v>153</v>
      </c>
      <c r="B933">
        <v>1189833</v>
      </c>
      <c r="C933" s="2">
        <v>44517</v>
      </c>
      <c r="D933" t="s">
        <v>140</v>
      </c>
      <c r="E933" t="s">
        <v>211</v>
      </c>
      <c r="F933" t="s">
        <v>220</v>
      </c>
      <c r="G933" t="s">
        <v>148</v>
      </c>
      <c r="H933" s="3">
        <v>0.4</v>
      </c>
      <c r="I933">
        <v>4250</v>
      </c>
      <c r="J933" s="4">
        <v>1700</v>
      </c>
      <c r="K933" s="4">
        <v>680</v>
      </c>
      <c r="L933" s="5">
        <v>0.39999999999999997</v>
      </c>
      <c r="M933" t="s">
        <v>134</v>
      </c>
      <c r="N933" t="s">
        <v>364</v>
      </c>
    </row>
    <row r="934" spans="1:14">
      <c r="A934" t="s">
        <v>153</v>
      </c>
      <c r="B934">
        <v>1189833</v>
      </c>
      <c r="C934" s="2">
        <v>44517</v>
      </c>
      <c r="D934" t="s">
        <v>140</v>
      </c>
      <c r="E934" t="s">
        <v>211</v>
      </c>
      <c r="F934" t="s">
        <v>220</v>
      </c>
      <c r="G934" t="s">
        <v>147</v>
      </c>
      <c r="H934" s="3">
        <v>0.54999999999999993</v>
      </c>
      <c r="I934">
        <v>3750</v>
      </c>
      <c r="J934" s="4">
        <v>2062.4999999999995</v>
      </c>
      <c r="K934" s="4">
        <v>1237.5</v>
      </c>
      <c r="L934" s="5">
        <v>0.60000000000000009</v>
      </c>
      <c r="M934" t="s">
        <v>134</v>
      </c>
      <c r="N934" t="s">
        <v>364</v>
      </c>
    </row>
    <row r="935" spans="1:14">
      <c r="A935" t="s">
        <v>153</v>
      </c>
      <c r="B935">
        <v>1189833</v>
      </c>
      <c r="C935" s="2">
        <v>44517</v>
      </c>
      <c r="D935" t="s">
        <v>140</v>
      </c>
      <c r="E935" t="s">
        <v>211</v>
      </c>
      <c r="F935" t="s">
        <v>220</v>
      </c>
      <c r="G935" t="s">
        <v>144</v>
      </c>
      <c r="H935" s="3">
        <v>0.6</v>
      </c>
      <c r="I935">
        <v>4750</v>
      </c>
      <c r="J935" s="4">
        <v>2850</v>
      </c>
      <c r="K935" s="4">
        <v>712.5</v>
      </c>
      <c r="L935" s="5">
        <v>0.25</v>
      </c>
      <c r="M935" t="s">
        <v>134</v>
      </c>
      <c r="N935" t="s">
        <v>364</v>
      </c>
    </row>
    <row r="936" spans="1:14">
      <c r="A936" t="s">
        <v>153</v>
      </c>
      <c r="B936">
        <v>1189833</v>
      </c>
      <c r="C936" s="2">
        <v>44546</v>
      </c>
      <c r="D936" t="s">
        <v>140</v>
      </c>
      <c r="E936" t="s">
        <v>211</v>
      </c>
      <c r="F936" t="s">
        <v>220</v>
      </c>
      <c r="G936" t="s">
        <v>27</v>
      </c>
      <c r="H936" s="3">
        <v>0.45</v>
      </c>
      <c r="I936">
        <v>6750</v>
      </c>
      <c r="J936" s="4">
        <v>3037.5</v>
      </c>
      <c r="K936" s="4">
        <v>1366.875</v>
      </c>
      <c r="L936" s="5">
        <v>0.45</v>
      </c>
      <c r="M936" t="s">
        <v>23</v>
      </c>
      <c r="N936" t="s">
        <v>364</v>
      </c>
    </row>
    <row r="937" spans="1:14">
      <c r="A937" t="s">
        <v>153</v>
      </c>
      <c r="B937">
        <v>1189833</v>
      </c>
      <c r="C937" s="2">
        <v>44546</v>
      </c>
      <c r="D937" t="s">
        <v>140</v>
      </c>
      <c r="E937" t="s">
        <v>211</v>
      </c>
      <c r="F937" t="s">
        <v>220</v>
      </c>
      <c r="G937" t="s">
        <v>145</v>
      </c>
      <c r="H937" s="3">
        <v>0.5</v>
      </c>
      <c r="I937">
        <v>6750</v>
      </c>
      <c r="J937" s="4">
        <v>3375</v>
      </c>
      <c r="K937" s="4">
        <v>1012.5</v>
      </c>
      <c r="L937" s="5">
        <v>0.3</v>
      </c>
      <c r="M937" t="s">
        <v>23</v>
      </c>
      <c r="N937" t="s">
        <v>364</v>
      </c>
    </row>
    <row r="938" spans="1:14">
      <c r="A938" t="s">
        <v>153</v>
      </c>
      <c r="B938">
        <v>1189833</v>
      </c>
      <c r="C938" s="2">
        <v>44546</v>
      </c>
      <c r="D938" t="s">
        <v>140</v>
      </c>
      <c r="E938" t="s">
        <v>211</v>
      </c>
      <c r="F938" t="s">
        <v>220</v>
      </c>
      <c r="G938" t="s">
        <v>146</v>
      </c>
      <c r="H938" s="3">
        <v>0.45</v>
      </c>
      <c r="I938">
        <v>4750</v>
      </c>
      <c r="J938" s="4">
        <v>2137.5</v>
      </c>
      <c r="K938" s="4">
        <v>961.875</v>
      </c>
      <c r="L938" s="5">
        <v>0.45</v>
      </c>
      <c r="M938" t="s">
        <v>23</v>
      </c>
      <c r="N938" t="s">
        <v>364</v>
      </c>
    </row>
    <row r="939" spans="1:14">
      <c r="A939" t="s">
        <v>153</v>
      </c>
      <c r="B939">
        <v>1189833</v>
      </c>
      <c r="C939" s="2">
        <v>44546</v>
      </c>
      <c r="D939" t="s">
        <v>140</v>
      </c>
      <c r="E939" t="s">
        <v>211</v>
      </c>
      <c r="F939" t="s">
        <v>220</v>
      </c>
      <c r="G939" t="s">
        <v>148</v>
      </c>
      <c r="H939" s="3">
        <v>0.45</v>
      </c>
      <c r="I939">
        <v>4750</v>
      </c>
      <c r="J939" s="4">
        <v>2137.5</v>
      </c>
      <c r="K939" s="4">
        <v>854.99999999999989</v>
      </c>
      <c r="L939" s="5">
        <v>0.39999999999999997</v>
      </c>
      <c r="M939" t="s">
        <v>23</v>
      </c>
      <c r="N939" t="s">
        <v>364</v>
      </c>
    </row>
    <row r="940" spans="1:14">
      <c r="A940" t="s">
        <v>153</v>
      </c>
      <c r="B940">
        <v>1189833</v>
      </c>
      <c r="C940" s="2">
        <v>44546</v>
      </c>
      <c r="D940" t="s">
        <v>140</v>
      </c>
      <c r="E940" t="s">
        <v>211</v>
      </c>
      <c r="F940" t="s">
        <v>220</v>
      </c>
      <c r="G940" t="s">
        <v>147</v>
      </c>
      <c r="H940" s="3">
        <v>0.54999999999999993</v>
      </c>
      <c r="I940">
        <v>4000</v>
      </c>
      <c r="J940" s="4">
        <v>2199.9999999999995</v>
      </c>
      <c r="K940" s="4">
        <v>1320</v>
      </c>
      <c r="L940" s="5">
        <v>0.60000000000000009</v>
      </c>
      <c r="M940" t="s">
        <v>23</v>
      </c>
      <c r="N940" t="s">
        <v>364</v>
      </c>
    </row>
    <row r="941" spans="1:14">
      <c r="A941" t="s">
        <v>153</v>
      </c>
      <c r="B941">
        <v>1189833</v>
      </c>
      <c r="C941" s="2">
        <v>44546</v>
      </c>
      <c r="D941" t="s">
        <v>140</v>
      </c>
      <c r="E941" t="s">
        <v>211</v>
      </c>
      <c r="F941" t="s">
        <v>220</v>
      </c>
      <c r="G941" t="s">
        <v>144</v>
      </c>
      <c r="H941" s="3">
        <v>0.6</v>
      </c>
      <c r="I941">
        <v>5000</v>
      </c>
      <c r="J941" s="4">
        <v>3000</v>
      </c>
      <c r="K941" s="4">
        <v>750</v>
      </c>
      <c r="L941" s="5">
        <v>0.25</v>
      </c>
      <c r="M941" t="s">
        <v>23</v>
      </c>
      <c r="N941" t="s">
        <v>364</v>
      </c>
    </row>
    <row r="942" spans="1:14">
      <c r="A942" t="s">
        <v>152</v>
      </c>
      <c r="B942">
        <v>1197831</v>
      </c>
      <c r="C942" s="2">
        <v>44200</v>
      </c>
      <c r="D942" t="s">
        <v>139</v>
      </c>
      <c r="E942" t="s">
        <v>203</v>
      </c>
      <c r="F942" t="s">
        <v>212</v>
      </c>
      <c r="G942" t="s">
        <v>27</v>
      </c>
      <c r="H942" s="3">
        <v>0.2</v>
      </c>
      <c r="I942">
        <v>7000</v>
      </c>
      <c r="J942" s="4">
        <v>1400</v>
      </c>
      <c r="K942" s="4">
        <v>489.99999999999994</v>
      </c>
      <c r="L942" s="5">
        <v>0.35</v>
      </c>
      <c r="M942" t="s">
        <v>125</v>
      </c>
      <c r="N942" t="s">
        <v>361</v>
      </c>
    </row>
    <row r="943" spans="1:14">
      <c r="A943" t="s">
        <v>152</v>
      </c>
      <c r="B943">
        <v>1197831</v>
      </c>
      <c r="C943" s="2">
        <v>44200</v>
      </c>
      <c r="D943" t="s">
        <v>139</v>
      </c>
      <c r="E943" t="s">
        <v>203</v>
      </c>
      <c r="F943" t="s">
        <v>212</v>
      </c>
      <c r="G943" t="s">
        <v>145</v>
      </c>
      <c r="H943" s="3">
        <v>0.3</v>
      </c>
      <c r="I943">
        <v>7000</v>
      </c>
      <c r="J943" s="4">
        <v>2100</v>
      </c>
      <c r="K943" s="4">
        <v>735</v>
      </c>
      <c r="L943" s="5">
        <v>0.35</v>
      </c>
      <c r="M943" t="s">
        <v>125</v>
      </c>
      <c r="N943" t="s">
        <v>361</v>
      </c>
    </row>
    <row r="944" spans="1:14">
      <c r="A944" t="s">
        <v>152</v>
      </c>
      <c r="B944">
        <v>1197831</v>
      </c>
      <c r="C944" s="2">
        <v>44200</v>
      </c>
      <c r="D944" t="s">
        <v>139</v>
      </c>
      <c r="E944" t="s">
        <v>203</v>
      </c>
      <c r="F944" t="s">
        <v>212</v>
      </c>
      <c r="G944" t="s">
        <v>146</v>
      </c>
      <c r="H944" s="3">
        <v>0.3</v>
      </c>
      <c r="I944">
        <v>5000</v>
      </c>
      <c r="J944" s="4">
        <v>1500</v>
      </c>
      <c r="K944" s="4">
        <v>525</v>
      </c>
      <c r="L944" s="5">
        <v>0.35</v>
      </c>
      <c r="M944" t="s">
        <v>125</v>
      </c>
      <c r="N944" t="s">
        <v>361</v>
      </c>
    </row>
    <row r="945" spans="1:14">
      <c r="A945" t="s">
        <v>152</v>
      </c>
      <c r="B945">
        <v>1197831</v>
      </c>
      <c r="C945" s="2">
        <v>44200</v>
      </c>
      <c r="D945" t="s">
        <v>139</v>
      </c>
      <c r="E945" t="s">
        <v>203</v>
      </c>
      <c r="F945" t="s">
        <v>212</v>
      </c>
      <c r="G945" t="s">
        <v>148</v>
      </c>
      <c r="H945" s="3">
        <v>0.35</v>
      </c>
      <c r="I945">
        <v>5000</v>
      </c>
      <c r="J945" s="4">
        <v>1750</v>
      </c>
      <c r="K945" s="4">
        <v>787.5</v>
      </c>
      <c r="L945" s="5">
        <v>0.45</v>
      </c>
      <c r="M945" t="s">
        <v>125</v>
      </c>
      <c r="N945" t="s">
        <v>361</v>
      </c>
    </row>
    <row r="946" spans="1:14">
      <c r="A946" t="s">
        <v>152</v>
      </c>
      <c r="B946">
        <v>1197831</v>
      </c>
      <c r="C946" s="2">
        <v>44200</v>
      </c>
      <c r="D946" t="s">
        <v>139</v>
      </c>
      <c r="E946" t="s">
        <v>203</v>
      </c>
      <c r="F946" t="s">
        <v>212</v>
      </c>
      <c r="G946" t="s">
        <v>147</v>
      </c>
      <c r="H946" s="3">
        <v>0.4</v>
      </c>
      <c r="I946">
        <v>3500</v>
      </c>
      <c r="J946" s="4">
        <v>1400</v>
      </c>
      <c r="K946" s="4">
        <v>420</v>
      </c>
      <c r="L946" s="5">
        <v>0.3</v>
      </c>
      <c r="M946" t="s">
        <v>125</v>
      </c>
      <c r="N946" t="s">
        <v>361</v>
      </c>
    </row>
    <row r="947" spans="1:14">
      <c r="A947" t="s">
        <v>152</v>
      </c>
      <c r="B947">
        <v>1197831</v>
      </c>
      <c r="C947" s="2">
        <v>44200</v>
      </c>
      <c r="D947" t="s">
        <v>139</v>
      </c>
      <c r="E947" t="s">
        <v>203</v>
      </c>
      <c r="F947" t="s">
        <v>212</v>
      </c>
      <c r="G947" t="s">
        <v>144</v>
      </c>
      <c r="H947" s="3">
        <v>0.35</v>
      </c>
      <c r="I947">
        <v>5000</v>
      </c>
      <c r="J947" s="4">
        <v>1750</v>
      </c>
      <c r="K947" s="4">
        <v>875</v>
      </c>
      <c r="L947" s="5">
        <v>0.5</v>
      </c>
      <c r="M947" t="s">
        <v>125</v>
      </c>
      <c r="N947" t="s">
        <v>361</v>
      </c>
    </row>
    <row r="948" spans="1:14">
      <c r="A948" t="s">
        <v>152</v>
      </c>
      <c r="B948">
        <v>1197831</v>
      </c>
      <c r="C948" s="2">
        <v>44230</v>
      </c>
      <c r="D948" t="s">
        <v>139</v>
      </c>
      <c r="E948" t="s">
        <v>203</v>
      </c>
      <c r="F948" t="s">
        <v>212</v>
      </c>
      <c r="G948" t="s">
        <v>27</v>
      </c>
      <c r="H948" s="3">
        <v>0.25</v>
      </c>
      <c r="I948">
        <v>6500</v>
      </c>
      <c r="J948" s="4">
        <v>1625</v>
      </c>
      <c r="K948" s="4">
        <v>568.75</v>
      </c>
      <c r="L948" s="5">
        <v>0.35</v>
      </c>
      <c r="M948" t="s">
        <v>126</v>
      </c>
      <c r="N948" t="s">
        <v>361</v>
      </c>
    </row>
    <row r="949" spans="1:14">
      <c r="A949" t="s">
        <v>152</v>
      </c>
      <c r="B949">
        <v>1197831</v>
      </c>
      <c r="C949" s="2">
        <v>44230</v>
      </c>
      <c r="D949" t="s">
        <v>139</v>
      </c>
      <c r="E949" t="s">
        <v>203</v>
      </c>
      <c r="F949" t="s">
        <v>212</v>
      </c>
      <c r="G949" t="s">
        <v>145</v>
      </c>
      <c r="H949" s="3">
        <v>0.35</v>
      </c>
      <c r="I949">
        <v>6250</v>
      </c>
      <c r="J949" s="4">
        <v>2187.5</v>
      </c>
      <c r="K949" s="4">
        <v>765.625</v>
      </c>
      <c r="L949" s="5">
        <v>0.35</v>
      </c>
      <c r="M949" t="s">
        <v>126</v>
      </c>
      <c r="N949" t="s">
        <v>361</v>
      </c>
    </row>
    <row r="950" spans="1:14">
      <c r="A950" t="s">
        <v>152</v>
      </c>
      <c r="B950">
        <v>1197831</v>
      </c>
      <c r="C950" s="2">
        <v>44230</v>
      </c>
      <c r="D950" t="s">
        <v>139</v>
      </c>
      <c r="E950" t="s">
        <v>203</v>
      </c>
      <c r="F950" t="s">
        <v>212</v>
      </c>
      <c r="G950" t="s">
        <v>146</v>
      </c>
      <c r="H950" s="3">
        <v>0.35</v>
      </c>
      <c r="I950">
        <v>4500</v>
      </c>
      <c r="J950" s="4">
        <v>1575</v>
      </c>
      <c r="K950" s="4">
        <v>551.25</v>
      </c>
      <c r="L950" s="5">
        <v>0.35</v>
      </c>
      <c r="M950" t="s">
        <v>126</v>
      </c>
      <c r="N950" t="s">
        <v>361</v>
      </c>
    </row>
    <row r="951" spans="1:14">
      <c r="A951" t="s">
        <v>152</v>
      </c>
      <c r="B951">
        <v>1197831</v>
      </c>
      <c r="C951" s="2">
        <v>44230</v>
      </c>
      <c r="D951" t="s">
        <v>139</v>
      </c>
      <c r="E951" t="s">
        <v>203</v>
      </c>
      <c r="F951" t="s">
        <v>212</v>
      </c>
      <c r="G951" t="s">
        <v>148</v>
      </c>
      <c r="H951" s="3">
        <v>0.35</v>
      </c>
      <c r="I951">
        <v>4000</v>
      </c>
      <c r="J951" s="4">
        <v>1400</v>
      </c>
      <c r="K951" s="4">
        <v>630</v>
      </c>
      <c r="L951" s="5">
        <v>0.45</v>
      </c>
      <c r="M951" t="s">
        <v>126</v>
      </c>
      <c r="N951" t="s">
        <v>361</v>
      </c>
    </row>
    <row r="952" spans="1:14">
      <c r="A952" t="s">
        <v>152</v>
      </c>
      <c r="B952">
        <v>1197831</v>
      </c>
      <c r="C952" s="2">
        <v>44230</v>
      </c>
      <c r="D952" t="s">
        <v>139</v>
      </c>
      <c r="E952" t="s">
        <v>203</v>
      </c>
      <c r="F952" t="s">
        <v>212</v>
      </c>
      <c r="G952" t="s">
        <v>147</v>
      </c>
      <c r="H952" s="3">
        <v>0.4</v>
      </c>
      <c r="I952">
        <v>2750</v>
      </c>
      <c r="J952" s="4">
        <v>1100</v>
      </c>
      <c r="K952" s="4">
        <v>330</v>
      </c>
      <c r="L952" s="5">
        <v>0.3</v>
      </c>
      <c r="M952" t="s">
        <v>126</v>
      </c>
      <c r="N952" t="s">
        <v>361</v>
      </c>
    </row>
    <row r="953" spans="1:14">
      <c r="A953" t="s">
        <v>152</v>
      </c>
      <c r="B953">
        <v>1197831</v>
      </c>
      <c r="C953" s="2">
        <v>44230</v>
      </c>
      <c r="D953" t="s">
        <v>139</v>
      </c>
      <c r="E953" t="s">
        <v>203</v>
      </c>
      <c r="F953" t="s">
        <v>212</v>
      </c>
      <c r="G953" t="s">
        <v>144</v>
      </c>
      <c r="H953" s="3">
        <v>0.35</v>
      </c>
      <c r="I953">
        <v>4750</v>
      </c>
      <c r="J953" s="4">
        <v>1662.5</v>
      </c>
      <c r="K953" s="4">
        <v>831.25</v>
      </c>
      <c r="L953" s="5">
        <v>0.5</v>
      </c>
      <c r="M953" t="s">
        <v>126</v>
      </c>
      <c r="N953" t="s">
        <v>361</v>
      </c>
    </row>
    <row r="954" spans="1:14">
      <c r="A954" t="s">
        <v>152</v>
      </c>
      <c r="B954">
        <v>1197831</v>
      </c>
      <c r="C954" s="2">
        <v>44260</v>
      </c>
      <c r="D954" t="s">
        <v>139</v>
      </c>
      <c r="E954" t="s">
        <v>203</v>
      </c>
      <c r="F954" t="s">
        <v>212</v>
      </c>
      <c r="G954" t="s">
        <v>27</v>
      </c>
      <c r="H954" s="3">
        <v>0.3</v>
      </c>
      <c r="I954">
        <v>6500</v>
      </c>
      <c r="J954" s="4">
        <v>1950</v>
      </c>
      <c r="K954" s="4">
        <v>779.99999999999989</v>
      </c>
      <c r="L954" s="5">
        <v>0.39999999999999997</v>
      </c>
      <c r="M954" t="s">
        <v>24</v>
      </c>
      <c r="N954" t="s">
        <v>361</v>
      </c>
    </row>
    <row r="955" spans="1:14">
      <c r="A955" t="s">
        <v>152</v>
      </c>
      <c r="B955">
        <v>1197831</v>
      </c>
      <c r="C955" s="2">
        <v>44260</v>
      </c>
      <c r="D955" t="s">
        <v>139</v>
      </c>
      <c r="E955" t="s">
        <v>203</v>
      </c>
      <c r="F955" t="s">
        <v>212</v>
      </c>
      <c r="G955" t="s">
        <v>145</v>
      </c>
      <c r="H955" s="3">
        <v>0.4</v>
      </c>
      <c r="I955">
        <v>6500</v>
      </c>
      <c r="J955" s="4">
        <v>2600</v>
      </c>
      <c r="K955" s="4">
        <v>1040</v>
      </c>
      <c r="L955" s="5">
        <v>0.39999999999999997</v>
      </c>
      <c r="M955" t="s">
        <v>24</v>
      </c>
      <c r="N955" t="s">
        <v>361</v>
      </c>
    </row>
    <row r="956" spans="1:14">
      <c r="A956" t="s">
        <v>152</v>
      </c>
      <c r="B956">
        <v>1197831</v>
      </c>
      <c r="C956" s="2">
        <v>44260</v>
      </c>
      <c r="D956" t="s">
        <v>139</v>
      </c>
      <c r="E956" t="s">
        <v>203</v>
      </c>
      <c r="F956" t="s">
        <v>212</v>
      </c>
      <c r="G956" t="s">
        <v>146</v>
      </c>
      <c r="H956" s="3">
        <v>0.3</v>
      </c>
      <c r="I956">
        <v>4750</v>
      </c>
      <c r="J956" s="4">
        <v>1425</v>
      </c>
      <c r="K956" s="4">
        <v>570</v>
      </c>
      <c r="L956" s="5">
        <v>0.39999999999999997</v>
      </c>
      <c r="M956" t="s">
        <v>24</v>
      </c>
      <c r="N956" t="s">
        <v>361</v>
      </c>
    </row>
    <row r="957" spans="1:14">
      <c r="A957" t="s">
        <v>152</v>
      </c>
      <c r="B957">
        <v>1197831</v>
      </c>
      <c r="C957" s="2">
        <v>44260</v>
      </c>
      <c r="D957" t="s">
        <v>139</v>
      </c>
      <c r="E957" t="s">
        <v>203</v>
      </c>
      <c r="F957" t="s">
        <v>212</v>
      </c>
      <c r="G957" t="s">
        <v>148</v>
      </c>
      <c r="H957" s="3">
        <v>0.35000000000000003</v>
      </c>
      <c r="I957">
        <v>3750</v>
      </c>
      <c r="J957" s="4">
        <v>1312.5000000000002</v>
      </c>
      <c r="K957" s="4">
        <v>656.25000000000011</v>
      </c>
      <c r="L957" s="5">
        <v>0.5</v>
      </c>
      <c r="M957" t="s">
        <v>24</v>
      </c>
      <c r="N957" t="s">
        <v>361</v>
      </c>
    </row>
    <row r="958" spans="1:14">
      <c r="A958" t="s">
        <v>152</v>
      </c>
      <c r="B958">
        <v>1197831</v>
      </c>
      <c r="C958" s="2">
        <v>44260</v>
      </c>
      <c r="D958" t="s">
        <v>139</v>
      </c>
      <c r="E958" t="s">
        <v>203</v>
      </c>
      <c r="F958" t="s">
        <v>212</v>
      </c>
      <c r="G958" t="s">
        <v>147</v>
      </c>
      <c r="H958" s="3">
        <v>0.4</v>
      </c>
      <c r="I958">
        <v>2750</v>
      </c>
      <c r="J958" s="4">
        <v>1100</v>
      </c>
      <c r="K958" s="4">
        <v>385</v>
      </c>
      <c r="L958" s="5">
        <v>0.35</v>
      </c>
      <c r="M958" t="s">
        <v>24</v>
      </c>
      <c r="N958" t="s">
        <v>361</v>
      </c>
    </row>
    <row r="959" spans="1:14">
      <c r="A959" t="s">
        <v>152</v>
      </c>
      <c r="B959">
        <v>1197831</v>
      </c>
      <c r="C959" s="2">
        <v>44260</v>
      </c>
      <c r="D959" t="s">
        <v>139</v>
      </c>
      <c r="E959" t="s">
        <v>203</v>
      </c>
      <c r="F959" t="s">
        <v>212</v>
      </c>
      <c r="G959" t="s">
        <v>144</v>
      </c>
      <c r="H959" s="3">
        <v>0.35000000000000003</v>
      </c>
      <c r="I959">
        <v>4250</v>
      </c>
      <c r="J959" s="4">
        <v>1487.5000000000002</v>
      </c>
      <c r="K959" s="4">
        <v>818.12500000000023</v>
      </c>
      <c r="L959" s="5">
        <v>0.55000000000000004</v>
      </c>
      <c r="M959" t="s">
        <v>24</v>
      </c>
      <c r="N959" t="s">
        <v>361</v>
      </c>
    </row>
    <row r="960" spans="1:14">
      <c r="A960" t="s">
        <v>152</v>
      </c>
      <c r="B960">
        <v>1197831</v>
      </c>
      <c r="C960" s="2">
        <v>44290</v>
      </c>
      <c r="D960" t="s">
        <v>139</v>
      </c>
      <c r="E960" t="s">
        <v>203</v>
      </c>
      <c r="F960" t="s">
        <v>212</v>
      </c>
      <c r="G960" t="s">
        <v>27</v>
      </c>
      <c r="H960" s="3">
        <v>0.19999999999999998</v>
      </c>
      <c r="I960">
        <v>6750</v>
      </c>
      <c r="J960" s="4">
        <v>1350</v>
      </c>
      <c r="K960" s="4">
        <v>540</v>
      </c>
      <c r="L960" s="5">
        <v>0.39999999999999997</v>
      </c>
      <c r="M960" t="s">
        <v>127</v>
      </c>
      <c r="N960" t="s">
        <v>362</v>
      </c>
    </row>
    <row r="961" spans="1:14">
      <c r="A961" t="s">
        <v>152</v>
      </c>
      <c r="B961">
        <v>1197831</v>
      </c>
      <c r="C961" s="2">
        <v>44290</v>
      </c>
      <c r="D961" t="s">
        <v>139</v>
      </c>
      <c r="E961" t="s">
        <v>203</v>
      </c>
      <c r="F961" t="s">
        <v>212</v>
      </c>
      <c r="G961" t="s">
        <v>145</v>
      </c>
      <c r="H961" s="3">
        <v>0.25000000000000006</v>
      </c>
      <c r="I961">
        <v>6750</v>
      </c>
      <c r="J961" s="4">
        <v>1687.5000000000005</v>
      </c>
      <c r="K961" s="4">
        <v>675.00000000000011</v>
      </c>
      <c r="L961" s="5">
        <v>0.39999999999999997</v>
      </c>
      <c r="M961" t="s">
        <v>127</v>
      </c>
      <c r="N961" t="s">
        <v>362</v>
      </c>
    </row>
    <row r="962" spans="1:14">
      <c r="A962" t="s">
        <v>152</v>
      </c>
      <c r="B962">
        <v>1197831</v>
      </c>
      <c r="C962" s="2">
        <v>44290</v>
      </c>
      <c r="D962" t="s">
        <v>139</v>
      </c>
      <c r="E962" t="s">
        <v>203</v>
      </c>
      <c r="F962" t="s">
        <v>212</v>
      </c>
      <c r="G962" t="s">
        <v>146</v>
      </c>
      <c r="H962" s="3">
        <v>0.19999999999999996</v>
      </c>
      <c r="I962">
        <v>5000</v>
      </c>
      <c r="J962" s="4">
        <v>999.99999999999977</v>
      </c>
      <c r="K962" s="4">
        <v>399.99999999999989</v>
      </c>
      <c r="L962" s="5">
        <v>0.39999999999999997</v>
      </c>
      <c r="M962" t="s">
        <v>127</v>
      </c>
      <c r="N962" t="s">
        <v>362</v>
      </c>
    </row>
    <row r="963" spans="1:14">
      <c r="A963" t="s">
        <v>152</v>
      </c>
      <c r="B963">
        <v>1197831</v>
      </c>
      <c r="C963" s="2">
        <v>44290</v>
      </c>
      <c r="D963" t="s">
        <v>139</v>
      </c>
      <c r="E963" t="s">
        <v>203</v>
      </c>
      <c r="F963" t="s">
        <v>212</v>
      </c>
      <c r="G963" t="s">
        <v>148</v>
      </c>
      <c r="H963" s="3">
        <v>0.25000000000000006</v>
      </c>
      <c r="I963">
        <v>4000</v>
      </c>
      <c r="J963" s="4">
        <v>1000.0000000000002</v>
      </c>
      <c r="K963" s="4">
        <v>500.00000000000011</v>
      </c>
      <c r="L963" s="5">
        <v>0.5</v>
      </c>
      <c r="M963" t="s">
        <v>127</v>
      </c>
      <c r="N963" t="s">
        <v>362</v>
      </c>
    </row>
    <row r="964" spans="1:14">
      <c r="A964" t="s">
        <v>152</v>
      </c>
      <c r="B964">
        <v>1197831</v>
      </c>
      <c r="C964" s="2">
        <v>44290</v>
      </c>
      <c r="D964" t="s">
        <v>139</v>
      </c>
      <c r="E964" t="s">
        <v>203</v>
      </c>
      <c r="F964" t="s">
        <v>212</v>
      </c>
      <c r="G964" t="s">
        <v>147</v>
      </c>
      <c r="H964" s="3">
        <v>0.3</v>
      </c>
      <c r="I964">
        <v>3000</v>
      </c>
      <c r="J964" s="4">
        <v>900</v>
      </c>
      <c r="K964" s="4">
        <v>315</v>
      </c>
      <c r="L964" s="5">
        <v>0.35</v>
      </c>
      <c r="M964" t="s">
        <v>127</v>
      </c>
      <c r="N964" t="s">
        <v>362</v>
      </c>
    </row>
    <row r="965" spans="1:14">
      <c r="A965" t="s">
        <v>152</v>
      </c>
      <c r="B965">
        <v>1197831</v>
      </c>
      <c r="C965" s="2">
        <v>44290</v>
      </c>
      <c r="D965" t="s">
        <v>139</v>
      </c>
      <c r="E965" t="s">
        <v>203</v>
      </c>
      <c r="F965" t="s">
        <v>212</v>
      </c>
      <c r="G965" t="s">
        <v>144</v>
      </c>
      <c r="H965" s="3">
        <v>0.25000000000000006</v>
      </c>
      <c r="I965">
        <v>5750</v>
      </c>
      <c r="J965" s="4">
        <v>1437.5000000000002</v>
      </c>
      <c r="K965" s="4">
        <v>790.62500000000023</v>
      </c>
      <c r="L965" s="5">
        <v>0.55000000000000004</v>
      </c>
      <c r="M965" t="s">
        <v>127</v>
      </c>
      <c r="N965" t="s">
        <v>362</v>
      </c>
    </row>
    <row r="966" spans="1:14">
      <c r="A966" t="s">
        <v>152</v>
      </c>
      <c r="B966">
        <v>1197831</v>
      </c>
      <c r="C966" s="2">
        <v>44320</v>
      </c>
      <c r="D966" t="s">
        <v>139</v>
      </c>
      <c r="E966" t="s">
        <v>203</v>
      </c>
      <c r="F966" t="s">
        <v>212</v>
      </c>
      <c r="G966" t="s">
        <v>27</v>
      </c>
      <c r="H966" s="3">
        <v>0.14999999999999997</v>
      </c>
      <c r="I966">
        <v>7250</v>
      </c>
      <c r="J966" s="4">
        <v>1087.4999999999998</v>
      </c>
      <c r="K966" s="4">
        <v>434.99999999999989</v>
      </c>
      <c r="L966" s="5">
        <v>0.39999999999999997</v>
      </c>
      <c r="M966" t="s">
        <v>128</v>
      </c>
      <c r="N966" t="s">
        <v>362</v>
      </c>
    </row>
    <row r="967" spans="1:14">
      <c r="A967" t="s">
        <v>152</v>
      </c>
      <c r="B967">
        <v>1197831</v>
      </c>
      <c r="C967" s="2">
        <v>44320</v>
      </c>
      <c r="D967" t="s">
        <v>139</v>
      </c>
      <c r="E967" t="s">
        <v>203</v>
      </c>
      <c r="F967" t="s">
        <v>212</v>
      </c>
      <c r="G967" t="s">
        <v>145</v>
      </c>
      <c r="H967" s="3">
        <v>0.25000000000000006</v>
      </c>
      <c r="I967">
        <v>7500</v>
      </c>
      <c r="J967" s="4">
        <v>1875.0000000000005</v>
      </c>
      <c r="K967" s="4">
        <v>750.00000000000011</v>
      </c>
      <c r="L967" s="5">
        <v>0.39999999999999997</v>
      </c>
      <c r="M967" t="s">
        <v>128</v>
      </c>
      <c r="N967" t="s">
        <v>362</v>
      </c>
    </row>
    <row r="968" spans="1:14">
      <c r="A968" t="s">
        <v>152</v>
      </c>
      <c r="B968">
        <v>1197831</v>
      </c>
      <c r="C968" s="2">
        <v>44320</v>
      </c>
      <c r="D968" t="s">
        <v>139</v>
      </c>
      <c r="E968" t="s">
        <v>203</v>
      </c>
      <c r="F968" t="s">
        <v>212</v>
      </c>
      <c r="G968" t="s">
        <v>146</v>
      </c>
      <c r="H968" s="3">
        <v>0.19999999999999996</v>
      </c>
      <c r="I968">
        <v>6000</v>
      </c>
      <c r="J968" s="4">
        <v>1199.9999999999998</v>
      </c>
      <c r="K968" s="4">
        <v>479.99999999999989</v>
      </c>
      <c r="L968" s="5">
        <v>0.39999999999999997</v>
      </c>
      <c r="M968" t="s">
        <v>128</v>
      </c>
      <c r="N968" t="s">
        <v>362</v>
      </c>
    </row>
    <row r="969" spans="1:14">
      <c r="A969" t="s">
        <v>152</v>
      </c>
      <c r="B969">
        <v>1197831</v>
      </c>
      <c r="C969" s="2">
        <v>44320</v>
      </c>
      <c r="D969" t="s">
        <v>139</v>
      </c>
      <c r="E969" t="s">
        <v>203</v>
      </c>
      <c r="F969" t="s">
        <v>212</v>
      </c>
      <c r="G969" t="s">
        <v>148</v>
      </c>
      <c r="H969" s="3">
        <v>0.30000000000000004</v>
      </c>
      <c r="I969">
        <v>5250</v>
      </c>
      <c r="J969" s="4">
        <v>1575.0000000000002</v>
      </c>
      <c r="K969" s="4">
        <v>787.50000000000011</v>
      </c>
      <c r="L969" s="5">
        <v>0.5</v>
      </c>
      <c r="M969" t="s">
        <v>128</v>
      </c>
      <c r="N969" t="s">
        <v>362</v>
      </c>
    </row>
    <row r="970" spans="1:14">
      <c r="A970" t="s">
        <v>152</v>
      </c>
      <c r="B970">
        <v>1197831</v>
      </c>
      <c r="C970" s="2">
        <v>44320</v>
      </c>
      <c r="D970" t="s">
        <v>139</v>
      </c>
      <c r="E970" t="s">
        <v>203</v>
      </c>
      <c r="F970" t="s">
        <v>212</v>
      </c>
      <c r="G970" t="s">
        <v>147</v>
      </c>
      <c r="H970" s="3">
        <v>0.45</v>
      </c>
      <c r="I970">
        <v>4250</v>
      </c>
      <c r="J970" s="4">
        <v>1912.5</v>
      </c>
      <c r="K970" s="4">
        <v>669.375</v>
      </c>
      <c r="L970" s="5">
        <v>0.35</v>
      </c>
      <c r="M970" t="s">
        <v>128</v>
      </c>
      <c r="N970" t="s">
        <v>362</v>
      </c>
    </row>
    <row r="971" spans="1:14">
      <c r="A971" t="s">
        <v>152</v>
      </c>
      <c r="B971">
        <v>1197831</v>
      </c>
      <c r="C971" s="2">
        <v>44320</v>
      </c>
      <c r="D971" t="s">
        <v>139</v>
      </c>
      <c r="E971" t="s">
        <v>203</v>
      </c>
      <c r="F971" t="s">
        <v>212</v>
      </c>
      <c r="G971" t="s">
        <v>144</v>
      </c>
      <c r="H971" s="3">
        <v>0.4</v>
      </c>
      <c r="I971">
        <v>7750</v>
      </c>
      <c r="J971" s="4">
        <v>3100</v>
      </c>
      <c r="K971" s="4">
        <v>1705.0000000000002</v>
      </c>
      <c r="L971" s="5">
        <v>0.55000000000000004</v>
      </c>
      <c r="M971" t="s">
        <v>128</v>
      </c>
      <c r="N971" t="s">
        <v>362</v>
      </c>
    </row>
    <row r="972" spans="1:14">
      <c r="A972" t="s">
        <v>152</v>
      </c>
      <c r="B972">
        <v>1197831</v>
      </c>
      <c r="C972" s="2">
        <v>44350</v>
      </c>
      <c r="D972" t="s">
        <v>139</v>
      </c>
      <c r="E972" t="s">
        <v>203</v>
      </c>
      <c r="F972" t="s">
        <v>212</v>
      </c>
      <c r="G972" t="s">
        <v>27</v>
      </c>
      <c r="H972" s="3">
        <v>0.4</v>
      </c>
      <c r="I972">
        <v>7750</v>
      </c>
      <c r="J972" s="4">
        <v>3100</v>
      </c>
      <c r="K972" s="4">
        <v>1240</v>
      </c>
      <c r="L972" s="5">
        <v>0.39999999999999997</v>
      </c>
      <c r="M972" t="s">
        <v>129</v>
      </c>
      <c r="N972" t="s">
        <v>362</v>
      </c>
    </row>
    <row r="973" spans="1:14">
      <c r="A973" t="s">
        <v>152</v>
      </c>
      <c r="B973">
        <v>1197831</v>
      </c>
      <c r="C973" s="2">
        <v>44350</v>
      </c>
      <c r="D973" t="s">
        <v>139</v>
      </c>
      <c r="E973" t="s">
        <v>203</v>
      </c>
      <c r="F973" t="s">
        <v>212</v>
      </c>
      <c r="G973" t="s">
        <v>145</v>
      </c>
      <c r="H973" s="3">
        <v>0.45</v>
      </c>
      <c r="I973">
        <v>7750</v>
      </c>
      <c r="J973" s="4">
        <v>3487.5</v>
      </c>
      <c r="K973" s="4">
        <v>1394.9999999999998</v>
      </c>
      <c r="L973" s="5">
        <v>0.39999999999999997</v>
      </c>
      <c r="M973" t="s">
        <v>129</v>
      </c>
      <c r="N973" t="s">
        <v>362</v>
      </c>
    </row>
    <row r="974" spans="1:14">
      <c r="A974" t="s">
        <v>152</v>
      </c>
      <c r="B974">
        <v>1197831</v>
      </c>
      <c r="C974" s="2">
        <v>44350</v>
      </c>
      <c r="D974" t="s">
        <v>139</v>
      </c>
      <c r="E974" t="s">
        <v>203</v>
      </c>
      <c r="F974" t="s">
        <v>212</v>
      </c>
      <c r="G974" t="s">
        <v>146</v>
      </c>
      <c r="H974" s="3">
        <v>0.4</v>
      </c>
      <c r="I974">
        <v>6500</v>
      </c>
      <c r="J974" s="4">
        <v>2600</v>
      </c>
      <c r="K974" s="4">
        <v>1040</v>
      </c>
      <c r="L974" s="5">
        <v>0.39999999999999997</v>
      </c>
      <c r="M974" t="s">
        <v>129</v>
      </c>
      <c r="N974" t="s">
        <v>362</v>
      </c>
    </row>
    <row r="975" spans="1:14">
      <c r="A975" t="s">
        <v>152</v>
      </c>
      <c r="B975">
        <v>1197831</v>
      </c>
      <c r="C975" s="2">
        <v>44350</v>
      </c>
      <c r="D975" t="s">
        <v>139</v>
      </c>
      <c r="E975" t="s">
        <v>203</v>
      </c>
      <c r="F975" t="s">
        <v>212</v>
      </c>
      <c r="G975" t="s">
        <v>148</v>
      </c>
      <c r="H975" s="3">
        <v>0.4</v>
      </c>
      <c r="I975">
        <v>6000</v>
      </c>
      <c r="J975" s="4">
        <v>2400</v>
      </c>
      <c r="K975" s="4">
        <v>1200</v>
      </c>
      <c r="L975" s="5">
        <v>0.5</v>
      </c>
      <c r="M975" t="s">
        <v>129</v>
      </c>
      <c r="N975" t="s">
        <v>362</v>
      </c>
    </row>
    <row r="976" spans="1:14">
      <c r="A976" t="s">
        <v>152</v>
      </c>
      <c r="B976">
        <v>1197831</v>
      </c>
      <c r="C976" s="2">
        <v>44350</v>
      </c>
      <c r="D976" t="s">
        <v>139</v>
      </c>
      <c r="E976" t="s">
        <v>203</v>
      </c>
      <c r="F976" t="s">
        <v>212</v>
      </c>
      <c r="G976" t="s">
        <v>147</v>
      </c>
      <c r="H976" s="3">
        <v>0.45</v>
      </c>
      <c r="I976">
        <v>5000</v>
      </c>
      <c r="J976" s="4">
        <v>2250</v>
      </c>
      <c r="K976" s="4">
        <v>787.5</v>
      </c>
      <c r="L976" s="5">
        <v>0.35</v>
      </c>
      <c r="M976" t="s">
        <v>129</v>
      </c>
      <c r="N976" t="s">
        <v>362</v>
      </c>
    </row>
    <row r="977" spans="1:14">
      <c r="A977" t="s">
        <v>152</v>
      </c>
      <c r="B977">
        <v>1197831</v>
      </c>
      <c r="C977" s="2">
        <v>44350</v>
      </c>
      <c r="D977" t="s">
        <v>139</v>
      </c>
      <c r="E977" t="s">
        <v>203</v>
      </c>
      <c r="F977" t="s">
        <v>212</v>
      </c>
      <c r="G977" t="s">
        <v>144</v>
      </c>
      <c r="H977" s="3">
        <v>0.5</v>
      </c>
      <c r="I977">
        <v>8750</v>
      </c>
      <c r="J977" s="4">
        <v>4375</v>
      </c>
      <c r="K977" s="4">
        <v>2406.25</v>
      </c>
      <c r="L977" s="5">
        <v>0.55000000000000004</v>
      </c>
      <c r="M977" t="s">
        <v>129</v>
      </c>
      <c r="N977" t="s">
        <v>362</v>
      </c>
    </row>
    <row r="978" spans="1:14">
      <c r="A978" t="s">
        <v>152</v>
      </c>
      <c r="B978">
        <v>1197831</v>
      </c>
      <c r="C978" s="2">
        <v>44382</v>
      </c>
      <c r="D978" t="s">
        <v>139</v>
      </c>
      <c r="E978" t="s">
        <v>203</v>
      </c>
      <c r="F978" t="s">
        <v>212</v>
      </c>
      <c r="G978" t="s">
        <v>27</v>
      </c>
      <c r="H978" s="3">
        <v>0.4</v>
      </c>
      <c r="I978">
        <v>8250</v>
      </c>
      <c r="J978" s="4">
        <v>3300</v>
      </c>
      <c r="K978" s="4">
        <v>1484.9999999999998</v>
      </c>
      <c r="L978" s="5">
        <v>0.44999999999999996</v>
      </c>
      <c r="M978" t="s">
        <v>130</v>
      </c>
      <c r="N978" t="s">
        <v>363</v>
      </c>
    </row>
    <row r="979" spans="1:14">
      <c r="A979" t="s">
        <v>152</v>
      </c>
      <c r="B979">
        <v>1197831</v>
      </c>
      <c r="C979" s="2">
        <v>44382</v>
      </c>
      <c r="D979" t="s">
        <v>139</v>
      </c>
      <c r="E979" t="s">
        <v>203</v>
      </c>
      <c r="F979" t="s">
        <v>212</v>
      </c>
      <c r="G979" t="s">
        <v>145</v>
      </c>
      <c r="H979" s="3">
        <v>0.45</v>
      </c>
      <c r="I979">
        <v>8250</v>
      </c>
      <c r="J979" s="4">
        <v>3712.5</v>
      </c>
      <c r="K979" s="4">
        <v>1670.6249999999998</v>
      </c>
      <c r="L979" s="5">
        <v>0.44999999999999996</v>
      </c>
      <c r="M979" t="s">
        <v>130</v>
      </c>
      <c r="N979" t="s">
        <v>363</v>
      </c>
    </row>
    <row r="980" spans="1:14">
      <c r="A980" t="s">
        <v>152</v>
      </c>
      <c r="B980">
        <v>1197831</v>
      </c>
      <c r="C980" s="2">
        <v>44382</v>
      </c>
      <c r="D980" t="s">
        <v>139</v>
      </c>
      <c r="E980" t="s">
        <v>203</v>
      </c>
      <c r="F980" t="s">
        <v>212</v>
      </c>
      <c r="G980" t="s">
        <v>146</v>
      </c>
      <c r="H980" s="3">
        <v>0.4</v>
      </c>
      <c r="I980">
        <v>9750</v>
      </c>
      <c r="J980" s="4">
        <v>3900</v>
      </c>
      <c r="K980" s="4">
        <v>1754.9999999999998</v>
      </c>
      <c r="L980" s="5">
        <v>0.44999999999999996</v>
      </c>
      <c r="M980" t="s">
        <v>130</v>
      </c>
      <c r="N980" t="s">
        <v>363</v>
      </c>
    </row>
    <row r="981" spans="1:14">
      <c r="A981" t="s">
        <v>152</v>
      </c>
      <c r="B981">
        <v>1197831</v>
      </c>
      <c r="C981" s="2">
        <v>44382</v>
      </c>
      <c r="D981" t="s">
        <v>139</v>
      </c>
      <c r="E981" t="s">
        <v>203</v>
      </c>
      <c r="F981" t="s">
        <v>212</v>
      </c>
      <c r="G981" t="s">
        <v>148</v>
      </c>
      <c r="H981" s="3">
        <v>0.4</v>
      </c>
      <c r="I981">
        <v>5750</v>
      </c>
      <c r="J981" s="4">
        <v>2300</v>
      </c>
      <c r="K981" s="4">
        <v>1265</v>
      </c>
      <c r="L981" s="5">
        <v>0.55000000000000004</v>
      </c>
      <c r="M981" t="s">
        <v>130</v>
      </c>
      <c r="N981" t="s">
        <v>363</v>
      </c>
    </row>
    <row r="982" spans="1:14">
      <c r="A982" t="s">
        <v>152</v>
      </c>
      <c r="B982">
        <v>1197831</v>
      </c>
      <c r="C982" s="2">
        <v>44382</v>
      </c>
      <c r="D982" t="s">
        <v>139</v>
      </c>
      <c r="E982" t="s">
        <v>203</v>
      </c>
      <c r="F982" t="s">
        <v>212</v>
      </c>
      <c r="G982" t="s">
        <v>147</v>
      </c>
      <c r="H982" s="3">
        <v>0.45</v>
      </c>
      <c r="I982">
        <v>5500</v>
      </c>
      <c r="J982" s="4">
        <v>2475</v>
      </c>
      <c r="K982" s="4">
        <v>989.99999999999989</v>
      </c>
      <c r="L982" s="5">
        <v>0.39999999999999997</v>
      </c>
      <c r="M982" t="s">
        <v>130</v>
      </c>
      <c r="N982" t="s">
        <v>363</v>
      </c>
    </row>
    <row r="983" spans="1:14">
      <c r="A983" t="s">
        <v>152</v>
      </c>
      <c r="B983">
        <v>1197831</v>
      </c>
      <c r="C983" s="2">
        <v>44382</v>
      </c>
      <c r="D983" t="s">
        <v>139</v>
      </c>
      <c r="E983" t="s">
        <v>203</v>
      </c>
      <c r="F983" t="s">
        <v>212</v>
      </c>
      <c r="G983" t="s">
        <v>144</v>
      </c>
      <c r="H983" s="3">
        <v>0.54999999999999993</v>
      </c>
      <c r="I983">
        <v>8250</v>
      </c>
      <c r="J983" s="4">
        <v>4537.4999999999991</v>
      </c>
      <c r="K983" s="4">
        <v>2722.5</v>
      </c>
      <c r="L983" s="5">
        <v>0.60000000000000009</v>
      </c>
      <c r="M983" t="s">
        <v>130</v>
      </c>
      <c r="N983" t="s">
        <v>363</v>
      </c>
    </row>
    <row r="984" spans="1:14">
      <c r="A984" t="s">
        <v>152</v>
      </c>
      <c r="B984">
        <v>1197831</v>
      </c>
      <c r="C984" s="2">
        <v>44415</v>
      </c>
      <c r="D984" t="s">
        <v>139</v>
      </c>
      <c r="E984" t="s">
        <v>203</v>
      </c>
      <c r="F984" t="s">
        <v>212</v>
      </c>
      <c r="G984" t="s">
        <v>27</v>
      </c>
      <c r="H984" s="3">
        <v>0.45</v>
      </c>
      <c r="I984">
        <v>7750</v>
      </c>
      <c r="J984" s="4">
        <v>3487.5</v>
      </c>
      <c r="K984" s="4">
        <v>1569.3749999999998</v>
      </c>
      <c r="L984" s="5">
        <v>0.44999999999999996</v>
      </c>
      <c r="M984" t="s">
        <v>131</v>
      </c>
      <c r="N984" t="s">
        <v>363</v>
      </c>
    </row>
    <row r="985" spans="1:14">
      <c r="A985" t="s">
        <v>152</v>
      </c>
      <c r="B985">
        <v>1197831</v>
      </c>
      <c r="C985" s="2">
        <v>44415</v>
      </c>
      <c r="D985" t="s">
        <v>139</v>
      </c>
      <c r="E985" t="s">
        <v>203</v>
      </c>
      <c r="F985" t="s">
        <v>212</v>
      </c>
      <c r="G985" t="s">
        <v>145</v>
      </c>
      <c r="H985" s="3">
        <v>0.55000000000000004</v>
      </c>
      <c r="I985">
        <v>7750</v>
      </c>
      <c r="J985" s="4">
        <v>4262.5</v>
      </c>
      <c r="K985" s="4">
        <v>1918.1249999999998</v>
      </c>
      <c r="L985" s="5">
        <v>0.44999999999999996</v>
      </c>
      <c r="M985" t="s">
        <v>131</v>
      </c>
      <c r="N985" t="s">
        <v>363</v>
      </c>
    </row>
    <row r="986" spans="1:14">
      <c r="A986" t="s">
        <v>152</v>
      </c>
      <c r="B986">
        <v>1197831</v>
      </c>
      <c r="C986" s="2">
        <v>44415</v>
      </c>
      <c r="D986" t="s">
        <v>139</v>
      </c>
      <c r="E986" t="s">
        <v>203</v>
      </c>
      <c r="F986" t="s">
        <v>212</v>
      </c>
      <c r="G986" t="s">
        <v>146</v>
      </c>
      <c r="H986" s="3">
        <v>0.5</v>
      </c>
      <c r="I986">
        <v>9500</v>
      </c>
      <c r="J986" s="4">
        <v>4750</v>
      </c>
      <c r="K986" s="4">
        <v>2137.5</v>
      </c>
      <c r="L986" s="5">
        <v>0.44999999999999996</v>
      </c>
      <c r="M986" t="s">
        <v>131</v>
      </c>
      <c r="N986" t="s">
        <v>363</v>
      </c>
    </row>
    <row r="987" spans="1:14">
      <c r="A987" t="s">
        <v>152</v>
      </c>
      <c r="B987">
        <v>1197831</v>
      </c>
      <c r="C987" s="2">
        <v>44415</v>
      </c>
      <c r="D987" t="s">
        <v>139</v>
      </c>
      <c r="E987" t="s">
        <v>203</v>
      </c>
      <c r="F987" t="s">
        <v>212</v>
      </c>
      <c r="G987" t="s">
        <v>148</v>
      </c>
      <c r="H987" s="3">
        <v>0.45</v>
      </c>
      <c r="I987">
        <v>4750</v>
      </c>
      <c r="J987" s="4">
        <v>2137.5</v>
      </c>
      <c r="K987" s="4">
        <v>1175.625</v>
      </c>
      <c r="L987" s="5">
        <v>0.55000000000000004</v>
      </c>
      <c r="M987" t="s">
        <v>131</v>
      </c>
      <c r="N987" t="s">
        <v>363</v>
      </c>
    </row>
    <row r="988" spans="1:14">
      <c r="A988" t="s">
        <v>152</v>
      </c>
      <c r="B988">
        <v>1197831</v>
      </c>
      <c r="C988" s="2">
        <v>44415</v>
      </c>
      <c r="D988" t="s">
        <v>139</v>
      </c>
      <c r="E988" t="s">
        <v>203</v>
      </c>
      <c r="F988" t="s">
        <v>212</v>
      </c>
      <c r="G988" t="s">
        <v>147</v>
      </c>
      <c r="H988" s="3">
        <v>0.5</v>
      </c>
      <c r="I988">
        <v>4750</v>
      </c>
      <c r="J988" s="4">
        <v>2375</v>
      </c>
      <c r="K988" s="4">
        <v>949.99999999999989</v>
      </c>
      <c r="L988" s="5">
        <v>0.39999999999999997</v>
      </c>
      <c r="M988" t="s">
        <v>131</v>
      </c>
      <c r="N988" t="s">
        <v>363</v>
      </c>
    </row>
    <row r="989" spans="1:14">
      <c r="A989" t="s">
        <v>152</v>
      </c>
      <c r="B989">
        <v>1197831</v>
      </c>
      <c r="C989" s="2">
        <v>44415</v>
      </c>
      <c r="D989" t="s">
        <v>139</v>
      </c>
      <c r="E989" t="s">
        <v>203</v>
      </c>
      <c r="F989" t="s">
        <v>212</v>
      </c>
      <c r="G989" t="s">
        <v>144</v>
      </c>
      <c r="H989" s="3">
        <v>0.54999999999999993</v>
      </c>
      <c r="I989">
        <v>7250</v>
      </c>
      <c r="J989" s="4">
        <v>3987.4999999999995</v>
      </c>
      <c r="K989" s="4">
        <v>2392.5</v>
      </c>
      <c r="L989" s="5">
        <v>0.60000000000000009</v>
      </c>
      <c r="M989" t="s">
        <v>131</v>
      </c>
      <c r="N989" t="s">
        <v>363</v>
      </c>
    </row>
    <row r="990" spans="1:14">
      <c r="A990" t="s">
        <v>152</v>
      </c>
      <c r="B990">
        <v>1197831</v>
      </c>
      <c r="C990" s="2">
        <v>44443</v>
      </c>
      <c r="D990" t="s">
        <v>139</v>
      </c>
      <c r="E990" t="s">
        <v>203</v>
      </c>
      <c r="F990" t="s">
        <v>212</v>
      </c>
      <c r="G990" t="s">
        <v>27</v>
      </c>
      <c r="H990" s="3">
        <v>0.5</v>
      </c>
      <c r="I990">
        <v>6750</v>
      </c>
      <c r="J990" s="4">
        <v>3375</v>
      </c>
      <c r="K990" s="4">
        <v>1518.7499999999998</v>
      </c>
      <c r="L990" s="5">
        <v>0.44999999999999996</v>
      </c>
      <c r="M990" t="s">
        <v>132</v>
      </c>
      <c r="N990" t="s">
        <v>363</v>
      </c>
    </row>
    <row r="991" spans="1:14">
      <c r="A991" t="s">
        <v>152</v>
      </c>
      <c r="B991">
        <v>1197831</v>
      </c>
      <c r="C991" s="2">
        <v>44443</v>
      </c>
      <c r="D991" t="s">
        <v>139</v>
      </c>
      <c r="E991" t="s">
        <v>203</v>
      </c>
      <c r="F991" t="s">
        <v>212</v>
      </c>
      <c r="G991" t="s">
        <v>145</v>
      </c>
      <c r="H991" s="3">
        <v>0.5</v>
      </c>
      <c r="I991">
        <v>6250</v>
      </c>
      <c r="J991" s="4">
        <v>3125</v>
      </c>
      <c r="K991" s="4">
        <v>1406.2499999999998</v>
      </c>
      <c r="L991" s="5">
        <v>0.44999999999999996</v>
      </c>
      <c r="M991" t="s">
        <v>132</v>
      </c>
      <c r="N991" t="s">
        <v>363</v>
      </c>
    </row>
    <row r="992" spans="1:14">
      <c r="A992" t="s">
        <v>152</v>
      </c>
      <c r="B992">
        <v>1197831</v>
      </c>
      <c r="C992" s="2">
        <v>44443</v>
      </c>
      <c r="D992" t="s">
        <v>139</v>
      </c>
      <c r="E992" t="s">
        <v>203</v>
      </c>
      <c r="F992" t="s">
        <v>212</v>
      </c>
      <c r="G992" t="s">
        <v>146</v>
      </c>
      <c r="H992" s="3">
        <v>0.54999999999999993</v>
      </c>
      <c r="I992">
        <v>6750</v>
      </c>
      <c r="J992" s="4">
        <v>3712.4999999999995</v>
      </c>
      <c r="K992" s="4">
        <v>1670.6249999999995</v>
      </c>
      <c r="L992" s="5">
        <v>0.44999999999999996</v>
      </c>
      <c r="M992" t="s">
        <v>132</v>
      </c>
      <c r="N992" t="s">
        <v>363</v>
      </c>
    </row>
    <row r="993" spans="1:14">
      <c r="A993" t="s">
        <v>152</v>
      </c>
      <c r="B993">
        <v>1197831</v>
      </c>
      <c r="C993" s="2">
        <v>44443</v>
      </c>
      <c r="D993" t="s">
        <v>139</v>
      </c>
      <c r="E993" t="s">
        <v>203</v>
      </c>
      <c r="F993" t="s">
        <v>212</v>
      </c>
      <c r="G993" t="s">
        <v>148</v>
      </c>
      <c r="H993" s="3">
        <v>0.54999999999999993</v>
      </c>
      <c r="I993">
        <v>4000</v>
      </c>
      <c r="J993" s="4">
        <v>2199.9999999999995</v>
      </c>
      <c r="K993" s="4">
        <v>1209.9999999999998</v>
      </c>
      <c r="L993" s="5">
        <v>0.55000000000000004</v>
      </c>
      <c r="M993" t="s">
        <v>132</v>
      </c>
      <c r="N993" t="s">
        <v>363</v>
      </c>
    </row>
    <row r="994" spans="1:14">
      <c r="A994" t="s">
        <v>152</v>
      </c>
      <c r="B994">
        <v>1197831</v>
      </c>
      <c r="C994" s="2">
        <v>44443</v>
      </c>
      <c r="D994" t="s">
        <v>139</v>
      </c>
      <c r="E994" t="s">
        <v>203</v>
      </c>
      <c r="F994" t="s">
        <v>212</v>
      </c>
      <c r="G994" t="s">
        <v>147</v>
      </c>
      <c r="H994" s="3">
        <v>0.5</v>
      </c>
      <c r="I994">
        <v>4000</v>
      </c>
      <c r="J994" s="4">
        <v>2000</v>
      </c>
      <c r="K994" s="4">
        <v>799.99999999999989</v>
      </c>
      <c r="L994" s="5">
        <v>0.39999999999999997</v>
      </c>
      <c r="M994" t="s">
        <v>132</v>
      </c>
      <c r="N994" t="s">
        <v>363</v>
      </c>
    </row>
    <row r="995" spans="1:14">
      <c r="A995" t="s">
        <v>152</v>
      </c>
      <c r="B995">
        <v>1197831</v>
      </c>
      <c r="C995" s="2">
        <v>44443</v>
      </c>
      <c r="D995" t="s">
        <v>139</v>
      </c>
      <c r="E995" t="s">
        <v>203</v>
      </c>
      <c r="F995" t="s">
        <v>212</v>
      </c>
      <c r="G995" t="s">
        <v>144</v>
      </c>
      <c r="H995" s="3">
        <v>0.45</v>
      </c>
      <c r="I995">
        <v>6250</v>
      </c>
      <c r="J995" s="4">
        <v>2812.5</v>
      </c>
      <c r="K995" s="4">
        <v>1687.5000000000002</v>
      </c>
      <c r="L995" s="5">
        <v>0.60000000000000009</v>
      </c>
      <c r="M995" t="s">
        <v>132</v>
      </c>
      <c r="N995" t="s">
        <v>363</v>
      </c>
    </row>
    <row r="996" spans="1:14">
      <c r="A996" t="s">
        <v>152</v>
      </c>
      <c r="B996">
        <v>1197831</v>
      </c>
      <c r="C996" s="2">
        <v>44472</v>
      </c>
      <c r="D996" t="s">
        <v>139</v>
      </c>
      <c r="E996" t="s">
        <v>203</v>
      </c>
      <c r="F996" t="s">
        <v>212</v>
      </c>
      <c r="G996" t="s">
        <v>27</v>
      </c>
      <c r="H996" s="3">
        <v>0.35000000000000003</v>
      </c>
      <c r="I996">
        <v>5750</v>
      </c>
      <c r="J996" s="4">
        <v>2012.5000000000002</v>
      </c>
      <c r="K996" s="4">
        <v>905.625</v>
      </c>
      <c r="L996" s="5">
        <v>0.44999999999999996</v>
      </c>
      <c r="M996" t="s">
        <v>133</v>
      </c>
      <c r="N996" t="s">
        <v>364</v>
      </c>
    </row>
    <row r="997" spans="1:14">
      <c r="A997" t="s">
        <v>152</v>
      </c>
      <c r="B997">
        <v>1197831</v>
      </c>
      <c r="C997" s="2">
        <v>44472</v>
      </c>
      <c r="D997" t="s">
        <v>139</v>
      </c>
      <c r="E997" t="s">
        <v>203</v>
      </c>
      <c r="F997" t="s">
        <v>212</v>
      </c>
      <c r="G997" t="s">
        <v>145</v>
      </c>
      <c r="H997" s="3">
        <v>0.35000000000000003</v>
      </c>
      <c r="I997">
        <v>5750</v>
      </c>
      <c r="J997" s="4">
        <v>2012.5000000000002</v>
      </c>
      <c r="K997" s="4">
        <v>905.625</v>
      </c>
      <c r="L997" s="5">
        <v>0.44999999999999996</v>
      </c>
      <c r="M997" t="s">
        <v>133</v>
      </c>
      <c r="N997" t="s">
        <v>364</v>
      </c>
    </row>
    <row r="998" spans="1:14">
      <c r="A998" t="s">
        <v>152</v>
      </c>
      <c r="B998">
        <v>1197831</v>
      </c>
      <c r="C998" s="2">
        <v>44472</v>
      </c>
      <c r="D998" t="s">
        <v>139</v>
      </c>
      <c r="E998" t="s">
        <v>203</v>
      </c>
      <c r="F998" t="s">
        <v>212</v>
      </c>
      <c r="G998" t="s">
        <v>146</v>
      </c>
      <c r="H998" s="3">
        <v>0.4</v>
      </c>
      <c r="I998">
        <v>5250</v>
      </c>
      <c r="J998" s="4">
        <v>2100</v>
      </c>
      <c r="K998" s="4">
        <v>944.99999999999989</v>
      </c>
      <c r="L998" s="5">
        <v>0.44999999999999996</v>
      </c>
      <c r="M998" t="s">
        <v>133</v>
      </c>
      <c r="N998" t="s">
        <v>364</v>
      </c>
    </row>
    <row r="999" spans="1:14">
      <c r="A999" t="s">
        <v>152</v>
      </c>
      <c r="B999">
        <v>1197831</v>
      </c>
      <c r="C999" s="2">
        <v>44472</v>
      </c>
      <c r="D999" t="s">
        <v>139</v>
      </c>
      <c r="E999" t="s">
        <v>203</v>
      </c>
      <c r="F999" t="s">
        <v>212</v>
      </c>
      <c r="G999" t="s">
        <v>148</v>
      </c>
      <c r="H999" s="3">
        <v>0.4</v>
      </c>
      <c r="I999">
        <v>3750</v>
      </c>
      <c r="J999" s="4">
        <v>1500</v>
      </c>
      <c r="K999" s="4">
        <v>825.00000000000011</v>
      </c>
      <c r="L999" s="5">
        <v>0.55000000000000004</v>
      </c>
      <c r="M999" t="s">
        <v>133</v>
      </c>
      <c r="N999" t="s">
        <v>364</v>
      </c>
    </row>
    <row r="1000" spans="1:14">
      <c r="A1000" t="s">
        <v>152</v>
      </c>
      <c r="B1000">
        <v>1197831</v>
      </c>
      <c r="C1000" s="2">
        <v>44472</v>
      </c>
      <c r="D1000" t="s">
        <v>139</v>
      </c>
      <c r="E1000" t="s">
        <v>203</v>
      </c>
      <c r="F1000" t="s">
        <v>212</v>
      </c>
      <c r="G1000" t="s">
        <v>147</v>
      </c>
      <c r="H1000" s="3">
        <v>0.35000000000000003</v>
      </c>
      <c r="I1000">
        <v>3500</v>
      </c>
      <c r="J1000" s="4">
        <v>1225.0000000000002</v>
      </c>
      <c r="K1000" s="4">
        <v>490.00000000000006</v>
      </c>
      <c r="L1000" s="5">
        <v>0.39999999999999997</v>
      </c>
      <c r="M1000" t="s">
        <v>133</v>
      </c>
      <c r="N1000" t="s">
        <v>364</v>
      </c>
    </row>
    <row r="1001" spans="1:14">
      <c r="A1001" t="s">
        <v>152</v>
      </c>
      <c r="B1001">
        <v>1197831</v>
      </c>
      <c r="C1001" s="2">
        <v>44472</v>
      </c>
      <c r="D1001" t="s">
        <v>139</v>
      </c>
      <c r="E1001" t="s">
        <v>203</v>
      </c>
      <c r="F1001" t="s">
        <v>212</v>
      </c>
      <c r="G1001" t="s">
        <v>144</v>
      </c>
      <c r="H1001" s="3">
        <v>0.45</v>
      </c>
      <c r="I1001">
        <v>5250</v>
      </c>
      <c r="J1001" s="4">
        <v>2362.5</v>
      </c>
      <c r="K1001" s="4">
        <v>1417.5000000000002</v>
      </c>
      <c r="L1001" s="5">
        <v>0.60000000000000009</v>
      </c>
      <c r="M1001" t="s">
        <v>133</v>
      </c>
      <c r="N1001" t="s">
        <v>364</v>
      </c>
    </row>
    <row r="1002" spans="1:14">
      <c r="A1002" t="s">
        <v>152</v>
      </c>
      <c r="B1002">
        <v>1197831</v>
      </c>
      <c r="C1002" s="2">
        <v>44504</v>
      </c>
      <c r="D1002" t="s">
        <v>139</v>
      </c>
      <c r="E1002" t="s">
        <v>203</v>
      </c>
      <c r="F1002" t="s">
        <v>212</v>
      </c>
      <c r="G1002" t="s">
        <v>27</v>
      </c>
      <c r="H1002" s="3">
        <v>0.30000000000000004</v>
      </c>
      <c r="I1002">
        <v>6750</v>
      </c>
      <c r="J1002" s="4">
        <v>2025.0000000000002</v>
      </c>
      <c r="K1002" s="4">
        <v>911.25</v>
      </c>
      <c r="L1002" s="5">
        <v>0.44999999999999996</v>
      </c>
      <c r="M1002" t="s">
        <v>134</v>
      </c>
      <c r="N1002" t="s">
        <v>364</v>
      </c>
    </row>
    <row r="1003" spans="1:14">
      <c r="A1003" t="s">
        <v>152</v>
      </c>
      <c r="B1003">
        <v>1197831</v>
      </c>
      <c r="C1003" s="2">
        <v>44504</v>
      </c>
      <c r="D1003" t="s">
        <v>139</v>
      </c>
      <c r="E1003" t="s">
        <v>203</v>
      </c>
      <c r="F1003" t="s">
        <v>212</v>
      </c>
      <c r="G1003" t="s">
        <v>145</v>
      </c>
      <c r="H1003" s="3">
        <v>0.30000000000000004</v>
      </c>
      <c r="I1003">
        <v>6750</v>
      </c>
      <c r="J1003" s="4">
        <v>2025.0000000000002</v>
      </c>
      <c r="K1003" s="4">
        <v>911.25</v>
      </c>
      <c r="L1003" s="5">
        <v>0.44999999999999996</v>
      </c>
      <c r="M1003" t="s">
        <v>134</v>
      </c>
      <c r="N1003" t="s">
        <v>364</v>
      </c>
    </row>
    <row r="1004" spans="1:14">
      <c r="A1004" t="s">
        <v>152</v>
      </c>
      <c r="B1004">
        <v>1197831</v>
      </c>
      <c r="C1004" s="2">
        <v>44504</v>
      </c>
      <c r="D1004" t="s">
        <v>139</v>
      </c>
      <c r="E1004" t="s">
        <v>203</v>
      </c>
      <c r="F1004" t="s">
        <v>212</v>
      </c>
      <c r="G1004" t="s">
        <v>146</v>
      </c>
      <c r="H1004" s="3">
        <v>0.55000000000000004</v>
      </c>
      <c r="I1004">
        <v>6000</v>
      </c>
      <c r="J1004" s="4">
        <v>3300.0000000000005</v>
      </c>
      <c r="K1004" s="4">
        <v>1485</v>
      </c>
      <c r="L1004" s="5">
        <v>0.44999999999999996</v>
      </c>
      <c r="M1004" t="s">
        <v>134</v>
      </c>
      <c r="N1004" t="s">
        <v>364</v>
      </c>
    </row>
    <row r="1005" spans="1:14">
      <c r="A1005" t="s">
        <v>152</v>
      </c>
      <c r="B1005">
        <v>1197831</v>
      </c>
      <c r="C1005" s="2">
        <v>44504</v>
      </c>
      <c r="D1005" t="s">
        <v>139</v>
      </c>
      <c r="E1005" t="s">
        <v>203</v>
      </c>
      <c r="F1005" t="s">
        <v>212</v>
      </c>
      <c r="G1005" t="s">
        <v>148</v>
      </c>
      <c r="H1005" s="3">
        <v>0.55000000000000004</v>
      </c>
      <c r="I1005">
        <v>4750</v>
      </c>
      <c r="J1005" s="4">
        <v>2612.5</v>
      </c>
      <c r="K1005" s="4">
        <v>1436.8750000000002</v>
      </c>
      <c r="L1005" s="5">
        <v>0.55000000000000004</v>
      </c>
      <c r="M1005" t="s">
        <v>134</v>
      </c>
      <c r="N1005" t="s">
        <v>364</v>
      </c>
    </row>
    <row r="1006" spans="1:14">
      <c r="A1006" t="s">
        <v>152</v>
      </c>
      <c r="B1006">
        <v>1197831</v>
      </c>
      <c r="C1006" s="2">
        <v>44504</v>
      </c>
      <c r="D1006" t="s">
        <v>139</v>
      </c>
      <c r="E1006" t="s">
        <v>203</v>
      </c>
      <c r="F1006" t="s">
        <v>212</v>
      </c>
      <c r="G1006" t="s">
        <v>147</v>
      </c>
      <c r="H1006" s="3">
        <v>0.54999999999999993</v>
      </c>
      <c r="I1006">
        <v>4500</v>
      </c>
      <c r="J1006" s="4">
        <v>2474.9999999999995</v>
      </c>
      <c r="K1006" s="4">
        <v>989.99999999999977</v>
      </c>
      <c r="L1006" s="5">
        <v>0.39999999999999997</v>
      </c>
      <c r="M1006" t="s">
        <v>134</v>
      </c>
      <c r="N1006" t="s">
        <v>364</v>
      </c>
    </row>
    <row r="1007" spans="1:14">
      <c r="A1007" t="s">
        <v>152</v>
      </c>
      <c r="B1007">
        <v>1197831</v>
      </c>
      <c r="C1007" s="2">
        <v>44504</v>
      </c>
      <c r="D1007" t="s">
        <v>139</v>
      </c>
      <c r="E1007" t="s">
        <v>203</v>
      </c>
      <c r="F1007" t="s">
        <v>212</v>
      </c>
      <c r="G1007" t="s">
        <v>144</v>
      </c>
      <c r="H1007" s="3">
        <v>0.65</v>
      </c>
      <c r="I1007">
        <v>6500</v>
      </c>
      <c r="J1007" s="4">
        <v>4225</v>
      </c>
      <c r="K1007" s="4">
        <v>2535.0000000000005</v>
      </c>
      <c r="L1007" s="5">
        <v>0.60000000000000009</v>
      </c>
      <c r="M1007" t="s">
        <v>134</v>
      </c>
      <c r="N1007" t="s">
        <v>364</v>
      </c>
    </row>
    <row r="1008" spans="1:14">
      <c r="A1008" t="s">
        <v>152</v>
      </c>
      <c r="B1008">
        <v>1197831</v>
      </c>
      <c r="C1008" s="2">
        <v>44533</v>
      </c>
      <c r="D1008" t="s">
        <v>139</v>
      </c>
      <c r="E1008" t="s">
        <v>203</v>
      </c>
      <c r="F1008" t="s">
        <v>212</v>
      </c>
      <c r="G1008" t="s">
        <v>27</v>
      </c>
      <c r="H1008" s="3">
        <v>0.54999999999999993</v>
      </c>
      <c r="I1008">
        <v>8000</v>
      </c>
      <c r="J1008" s="4">
        <v>4399.9999999999991</v>
      </c>
      <c r="K1008" s="4">
        <v>1979.9999999999993</v>
      </c>
      <c r="L1008" s="5">
        <v>0.44999999999999996</v>
      </c>
      <c r="M1008" t="s">
        <v>23</v>
      </c>
      <c r="N1008" t="s">
        <v>364</v>
      </c>
    </row>
    <row r="1009" spans="1:14">
      <c r="A1009" t="s">
        <v>152</v>
      </c>
      <c r="B1009">
        <v>1197831</v>
      </c>
      <c r="C1009" s="2">
        <v>44533</v>
      </c>
      <c r="D1009" t="s">
        <v>139</v>
      </c>
      <c r="E1009" t="s">
        <v>203</v>
      </c>
      <c r="F1009" t="s">
        <v>212</v>
      </c>
      <c r="G1009" t="s">
        <v>145</v>
      </c>
      <c r="H1009" s="3">
        <v>0.54999999999999993</v>
      </c>
      <c r="I1009">
        <v>8000</v>
      </c>
      <c r="J1009" s="4">
        <v>4399.9999999999991</v>
      </c>
      <c r="K1009" s="4">
        <v>1979.9999999999993</v>
      </c>
      <c r="L1009" s="5">
        <v>0.44999999999999996</v>
      </c>
      <c r="M1009" t="s">
        <v>23</v>
      </c>
      <c r="N1009" t="s">
        <v>364</v>
      </c>
    </row>
    <row r="1010" spans="1:14">
      <c r="A1010" t="s">
        <v>152</v>
      </c>
      <c r="B1010">
        <v>1197831</v>
      </c>
      <c r="C1010" s="2">
        <v>44533</v>
      </c>
      <c r="D1010" t="s">
        <v>139</v>
      </c>
      <c r="E1010" t="s">
        <v>203</v>
      </c>
      <c r="F1010" t="s">
        <v>212</v>
      </c>
      <c r="G1010" t="s">
        <v>146</v>
      </c>
      <c r="H1010" s="3">
        <v>0.6</v>
      </c>
      <c r="I1010">
        <v>7000</v>
      </c>
      <c r="J1010" s="4">
        <v>4200</v>
      </c>
      <c r="K1010" s="4">
        <v>1889.9999999999998</v>
      </c>
      <c r="L1010" s="5">
        <v>0.44999999999999996</v>
      </c>
      <c r="M1010" t="s">
        <v>23</v>
      </c>
      <c r="N1010" t="s">
        <v>364</v>
      </c>
    </row>
    <row r="1011" spans="1:14">
      <c r="A1011" t="s">
        <v>152</v>
      </c>
      <c r="B1011">
        <v>1197831</v>
      </c>
      <c r="C1011" s="2">
        <v>44533</v>
      </c>
      <c r="D1011" t="s">
        <v>139</v>
      </c>
      <c r="E1011" t="s">
        <v>203</v>
      </c>
      <c r="F1011" t="s">
        <v>212</v>
      </c>
      <c r="G1011" t="s">
        <v>148</v>
      </c>
      <c r="H1011" s="3">
        <v>0.6</v>
      </c>
      <c r="I1011">
        <v>5500</v>
      </c>
      <c r="J1011" s="4">
        <v>3300</v>
      </c>
      <c r="K1011" s="4">
        <v>1815.0000000000002</v>
      </c>
      <c r="L1011" s="5">
        <v>0.55000000000000004</v>
      </c>
      <c r="M1011" t="s">
        <v>23</v>
      </c>
      <c r="N1011" t="s">
        <v>364</v>
      </c>
    </row>
    <row r="1012" spans="1:14">
      <c r="A1012" t="s">
        <v>152</v>
      </c>
      <c r="B1012">
        <v>1197831</v>
      </c>
      <c r="C1012" s="2">
        <v>44533</v>
      </c>
      <c r="D1012" t="s">
        <v>139</v>
      </c>
      <c r="E1012" t="s">
        <v>203</v>
      </c>
      <c r="F1012" t="s">
        <v>212</v>
      </c>
      <c r="G1012" t="s">
        <v>147</v>
      </c>
      <c r="H1012" s="3">
        <v>0.54999999999999993</v>
      </c>
      <c r="I1012">
        <v>5000</v>
      </c>
      <c r="J1012" s="4">
        <v>2749.9999999999995</v>
      </c>
      <c r="K1012" s="4">
        <v>1099.9999999999998</v>
      </c>
      <c r="L1012" s="5">
        <v>0.39999999999999997</v>
      </c>
      <c r="M1012" t="s">
        <v>23</v>
      </c>
      <c r="N1012" t="s">
        <v>364</v>
      </c>
    </row>
    <row r="1013" spans="1:14">
      <c r="A1013" t="s">
        <v>152</v>
      </c>
      <c r="B1013">
        <v>1197831</v>
      </c>
      <c r="C1013" s="2">
        <v>44533</v>
      </c>
      <c r="D1013" t="s">
        <v>139</v>
      </c>
      <c r="E1013" t="s">
        <v>203</v>
      </c>
      <c r="F1013" t="s">
        <v>212</v>
      </c>
      <c r="G1013" t="s">
        <v>144</v>
      </c>
      <c r="H1013" s="3">
        <v>0.65</v>
      </c>
      <c r="I1013">
        <v>7500</v>
      </c>
      <c r="J1013" s="4">
        <v>4875</v>
      </c>
      <c r="K1013" s="4">
        <v>2925.0000000000005</v>
      </c>
      <c r="L1013" s="5">
        <v>0.60000000000000009</v>
      </c>
      <c r="M1013" t="s">
        <v>23</v>
      </c>
      <c r="N1013" t="s">
        <v>364</v>
      </c>
    </row>
    <row r="1014" spans="1:14">
      <c r="A1014" t="s">
        <v>29</v>
      </c>
      <c r="B1014">
        <v>1185732</v>
      </c>
      <c r="C1014" s="2">
        <v>44207</v>
      </c>
      <c r="D1014" t="s">
        <v>140</v>
      </c>
      <c r="E1014" t="s">
        <v>264</v>
      </c>
      <c r="F1014" t="s">
        <v>268</v>
      </c>
      <c r="G1014" t="s">
        <v>27</v>
      </c>
      <c r="H1014" s="3">
        <v>0.35</v>
      </c>
      <c r="I1014">
        <v>4250</v>
      </c>
      <c r="J1014" s="4">
        <v>1487.5</v>
      </c>
      <c r="K1014" s="4">
        <v>595</v>
      </c>
      <c r="L1014" s="5">
        <v>0.4</v>
      </c>
      <c r="M1014" t="s">
        <v>125</v>
      </c>
      <c r="N1014" t="s">
        <v>361</v>
      </c>
    </row>
    <row r="1015" spans="1:14">
      <c r="A1015" t="s">
        <v>29</v>
      </c>
      <c r="B1015">
        <v>1185732</v>
      </c>
      <c r="C1015" s="2">
        <v>44207</v>
      </c>
      <c r="D1015" t="s">
        <v>140</v>
      </c>
      <c r="E1015" t="s">
        <v>264</v>
      </c>
      <c r="F1015" t="s">
        <v>268</v>
      </c>
      <c r="G1015" t="s">
        <v>145</v>
      </c>
      <c r="H1015" s="3">
        <v>0.35</v>
      </c>
      <c r="I1015">
        <v>2250</v>
      </c>
      <c r="J1015" s="4">
        <v>787.5</v>
      </c>
      <c r="K1015" s="4">
        <v>275.625</v>
      </c>
      <c r="L1015" s="5">
        <v>0.35</v>
      </c>
      <c r="M1015" t="s">
        <v>125</v>
      </c>
      <c r="N1015" t="s">
        <v>361</v>
      </c>
    </row>
    <row r="1016" spans="1:14">
      <c r="A1016" t="s">
        <v>29</v>
      </c>
      <c r="B1016">
        <v>1185732</v>
      </c>
      <c r="C1016" s="2">
        <v>44207</v>
      </c>
      <c r="D1016" t="s">
        <v>140</v>
      </c>
      <c r="E1016" t="s">
        <v>264</v>
      </c>
      <c r="F1016" t="s">
        <v>268</v>
      </c>
      <c r="G1016" t="s">
        <v>146</v>
      </c>
      <c r="H1016" s="3">
        <v>0.25</v>
      </c>
      <c r="I1016">
        <v>2250</v>
      </c>
      <c r="J1016" s="4">
        <v>562.5</v>
      </c>
      <c r="K1016" s="4">
        <v>196.875</v>
      </c>
      <c r="L1016" s="5">
        <v>0.35</v>
      </c>
      <c r="M1016" t="s">
        <v>125</v>
      </c>
      <c r="N1016" t="s">
        <v>361</v>
      </c>
    </row>
    <row r="1017" spans="1:14">
      <c r="A1017" t="s">
        <v>29</v>
      </c>
      <c r="B1017">
        <v>1185732</v>
      </c>
      <c r="C1017" s="2">
        <v>44207</v>
      </c>
      <c r="D1017" t="s">
        <v>140</v>
      </c>
      <c r="E1017" t="s">
        <v>264</v>
      </c>
      <c r="F1017" t="s">
        <v>268</v>
      </c>
      <c r="G1017" t="s">
        <v>148</v>
      </c>
      <c r="H1017" s="3">
        <v>0.30000000000000004</v>
      </c>
      <c r="I1017">
        <v>750</v>
      </c>
      <c r="J1017" s="4">
        <v>225.00000000000003</v>
      </c>
      <c r="K1017" s="4">
        <v>90.000000000000014</v>
      </c>
      <c r="L1017" s="5">
        <v>0.4</v>
      </c>
      <c r="M1017" t="s">
        <v>125</v>
      </c>
      <c r="N1017" t="s">
        <v>361</v>
      </c>
    </row>
    <row r="1018" spans="1:14">
      <c r="A1018" t="s">
        <v>29</v>
      </c>
      <c r="B1018">
        <v>1185732</v>
      </c>
      <c r="C1018" s="2">
        <v>44207</v>
      </c>
      <c r="D1018" t="s">
        <v>140</v>
      </c>
      <c r="E1018" t="s">
        <v>264</v>
      </c>
      <c r="F1018" t="s">
        <v>268</v>
      </c>
      <c r="G1018" t="s">
        <v>147</v>
      </c>
      <c r="H1018" s="3">
        <v>0.44999999999999996</v>
      </c>
      <c r="I1018">
        <v>1250</v>
      </c>
      <c r="J1018" s="4">
        <v>562.5</v>
      </c>
      <c r="K1018" s="4">
        <v>196.875</v>
      </c>
      <c r="L1018" s="5">
        <v>0.35</v>
      </c>
      <c r="M1018" t="s">
        <v>125</v>
      </c>
      <c r="N1018" t="s">
        <v>361</v>
      </c>
    </row>
    <row r="1019" spans="1:14">
      <c r="A1019" t="s">
        <v>29</v>
      </c>
      <c r="B1019">
        <v>1185732</v>
      </c>
      <c r="C1019" s="2">
        <v>44207</v>
      </c>
      <c r="D1019" t="s">
        <v>140</v>
      </c>
      <c r="E1019" t="s">
        <v>264</v>
      </c>
      <c r="F1019" t="s">
        <v>268</v>
      </c>
      <c r="G1019" t="s">
        <v>144</v>
      </c>
      <c r="H1019" s="3">
        <v>0.35</v>
      </c>
      <c r="I1019">
        <v>2250</v>
      </c>
      <c r="J1019" s="4">
        <v>787.5</v>
      </c>
      <c r="K1019" s="4">
        <v>393.75</v>
      </c>
      <c r="L1019" s="5">
        <v>0.5</v>
      </c>
      <c r="M1019" t="s">
        <v>125</v>
      </c>
      <c r="N1019" t="s">
        <v>361</v>
      </c>
    </row>
    <row r="1020" spans="1:14">
      <c r="A1020" t="s">
        <v>29</v>
      </c>
      <c r="B1020">
        <v>1185732</v>
      </c>
      <c r="C1020" s="2">
        <v>44238</v>
      </c>
      <c r="D1020" t="s">
        <v>140</v>
      </c>
      <c r="E1020" t="s">
        <v>264</v>
      </c>
      <c r="F1020" t="s">
        <v>268</v>
      </c>
      <c r="G1020" t="s">
        <v>27</v>
      </c>
      <c r="H1020" s="3">
        <v>0.35</v>
      </c>
      <c r="I1020">
        <v>4750</v>
      </c>
      <c r="J1020" s="4">
        <v>1662.5</v>
      </c>
      <c r="K1020" s="4">
        <v>665</v>
      </c>
      <c r="L1020" s="5">
        <v>0.4</v>
      </c>
      <c r="M1020" t="s">
        <v>126</v>
      </c>
      <c r="N1020" t="s">
        <v>361</v>
      </c>
    </row>
    <row r="1021" spans="1:14">
      <c r="A1021" t="s">
        <v>29</v>
      </c>
      <c r="B1021">
        <v>1185732</v>
      </c>
      <c r="C1021" s="2">
        <v>44238</v>
      </c>
      <c r="D1021" t="s">
        <v>140</v>
      </c>
      <c r="E1021" t="s">
        <v>264</v>
      </c>
      <c r="F1021" t="s">
        <v>268</v>
      </c>
      <c r="G1021" t="s">
        <v>145</v>
      </c>
      <c r="H1021" s="3">
        <v>0.35</v>
      </c>
      <c r="I1021">
        <v>1250</v>
      </c>
      <c r="J1021" s="4">
        <v>437.5</v>
      </c>
      <c r="K1021" s="4">
        <v>153.125</v>
      </c>
      <c r="L1021" s="5">
        <v>0.35</v>
      </c>
      <c r="M1021" t="s">
        <v>126</v>
      </c>
      <c r="N1021" t="s">
        <v>361</v>
      </c>
    </row>
    <row r="1022" spans="1:14">
      <c r="A1022" t="s">
        <v>29</v>
      </c>
      <c r="B1022">
        <v>1185732</v>
      </c>
      <c r="C1022" s="2">
        <v>44238</v>
      </c>
      <c r="D1022" t="s">
        <v>140</v>
      </c>
      <c r="E1022" t="s">
        <v>264</v>
      </c>
      <c r="F1022" t="s">
        <v>268</v>
      </c>
      <c r="G1022" t="s">
        <v>146</v>
      </c>
      <c r="H1022" s="3">
        <v>0.25</v>
      </c>
      <c r="I1022">
        <v>1750</v>
      </c>
      <c r="J1022" s="4">
        <v>437.5</v>
      </c>
      <c r="K1022" s="4">
        <v>153.125</v>
      </c>
      <c r="L1022" s="5">
        <v>0.35</v>
      </c>
      <c r="M1022" t="s">
        <v>126</v>
      </c>
      <c r="N1022" t="s">
        <v>361</v>
      </c>
    </row>
    <row r="1023" spans="1:14">
      <c r="A1023" t="s">
        <v>29</v>
      </c>
      <c r="B1023">
        <v>1185732</v>
      </c>
      <c r="C1023" s="2">
        <v>44238</v>
      </c>
      <c r="D1023" t="s">
        <v>140</v>
      </c>
      <c r="E1023" t="s">
        <v>264</v>
      </c>
      <c r="F1023" t="s">
        <v>268</v>
      </c>
      <c r="G1023" t="s">
        <v>148</v>
      </c>
      <c r="H1023" s="3">
        <v>0.30000000000000004</v>
      </c>
      <c r="I1023">
        <v>500</v>
      </c>
      <c r="J1023" s="4">
        <v>150.00000000000003</v>
      </c>
      <c r="K1023" s="4">
        <v>60.000000000000014</v>
      </c>
      <c r="L1023" s="5">
        <v>0.4</v>
      </c>
      <c r="M1023" t="s">
        <v>126</v>
      </c>
      <c r="N1023" t="s">
        <v>361</v>
      </c>
    </row>
    <row r="1024" spans="1:14">
      <c r="A1024" t="s">
        <v>29</v>
      </c>
      <c r="B1024">
        <v>1185732</v>
      </c>
      <c r="C1024" s="2">
        <v>44238</v>
      </c>
      <c r="D1024" t="s">
        <v>140</v>
      </c>
      <c r="E1024" t="s">
        <v>264</v>
      </c>
      <c r="F1024" t="s">
        <v>268</v>
      </c>
      <c r="G1024" t="s">
        <v>147</v>
      </c>
      <c r="H1024" s="3">
        <v>0.44999999999999996</v>
      </c>
      <c r="I1024">
        <v>1250</v>
      </c>
      <c r="J1024" s="4">
        <v>562.5</v>
      </c>
      <c r="K1024" s="4">
        <v>196.875</v>
      </c>
      <c r="L1024" s="5">
        <v>0.35</v>
      </c>
      <c r="M1024" t="s">
        <v>126</v>
      </c>
      <c r="N1024" t="s">
        <v>361</v>
      </c>
    </row>
    <row r="1025" spans="1:14">
      <c r="A1025" t="s">
        <v>29</v>
      </c>
      <c r="B1025">
        <v>1185732</v>
      </c>
      <c r="C1025" s="2">
        <v>44238</v>
      </c>
      <c r="D1025" t="s">
        <v>140</v>
      </c>
      <c r="E1025" t="s">
        <v>264</v>
      </c>
      <c r="F1025" t="s">
        <v>268</v>
      </c>
      <c r="G1025" t="s">
        <v>144</v>
      </c>
      <c r="H1025" s="3">
        <v>0.35</v>
      </c>
      <c r="I1025">
        <v>2000</v>
      </c>
      <c r="J1025" s="4">
        <v>700</v>
      </c>
      <c r="K1025" s="4">
        <v>350</v>
      </c>
      <c r="L1025" s="5">
        <v>0.5</v>
      </c>
      <c r="M1025" t="s">
        <v>126</v>
      </c>
      <c r="N1025" t="s">
        <v>361</v>
      </c>
    </row>
    <row r="1026" spans="1:14">
      <c r="A1026" t="s">
        <v>29</v>
      </c>
      <c r="B1026">
        <v>1185732</v>
      </c>
      <c r="C1026" s="2">
        <v>44265</v>
      </c>
      <c r="D1026" t="s">
        <v>140</v>
      </c>
      <c r="E1026" t="s">
        <v>264</v>
      </c>
      <c r="F1026" t="s">
        <v>268</v>
      </c>
      <c r="G1026" t="s">
        <v>27</v>
      </c>
      <c r="H1026" s="3">
        <v>0.4</v>
      </c>
      <c r="I1026">
        <v>4200</v>
      </c>
      <c r="J1026" s="4">
        <v>1680</v>
      </c>
      <c r="K1026" s="4">
        <v>672</v>
      </c>
      <c r="L1026" s="5">
        <v>0.4</v>
      </c>
      <c r="M1026" t="s">
        <v>24</v>
      </c>
      <c r="N1026" t="s">
        <v>361</v>
      </c>
    </row>
    <row r="1027" spans="1:14">
      <c r="A1027" t="s">
        <v>29</v>
      </c>
      <c r="B1027">
        <v>1185732</v>
      </c>
      <c r="C1027" s="2">
        <v>44265</v>
      </c>
      <c r="D1027" t="s">
        <v>140</v>
      </c>
      <c r="E1027" t="s">
        <v>264</v>
      </c>
      <c r="F1027" t="s">
        <v>268</v>
      </c>
      <c r="G1027" t="s">
        <v>145</v>
      </c>
      <c r="H1027" s="3">
        <v>0.4</v>
      </c>
      <c r="I1027">
        <v>1000</v>
      </c>
      <c r="J1027" s="4">
        <v>400</v>
      </c>
      <c r="K1027" s="4">
        <v>140</v>
      </c>
      <c r="L1027" s="5">
        <v>0.35</v>
      </c>
      <c r="M1027" t="s">
        <v>24</v>
      </c>
      <c r="N1027" t="s">
        <v>361</v>
      </c>
    </row>
    <row r="1028" spans="1:14">
      <c r="A1028" t="s">
        <v>29</v>
      </c>
      <c r="B1028">
        <v>1185732</v>
      </c>
      <c r="C1028" s="2">
        <v>44265</v>
      </c>
      <c r="D1028" t="s">
        <v>140</v>
      </c>
      <c r="E1028" t="s">
        <v>264</v>
      </c>
      <c r="F1028" t="s">
        <v>268</v>
      </c>
      <c r="G1028" t="s">
        <v>146</v>
      </c>
      <c r="H1028" s="3">
        <v>0.30000000000000004</v>
      </c>
      <c r="I1028">
        <v>1500</v>
      </c>
      <c r="J1028" s="4">
        <v>450.00000000000006</v>
      </c>
      <c r="K1028" s="4">
        <v>157.5</v>
      </c>
      <c r="L1028" s="5">
        <v>0.35</v>
      </c>
      <c r="M1028" t="s">
        <v>24</v>
      </c>
      <c r="N1028" t="s">
        <v>361</v>
      </c>
    </row>
    <row r="1029" spans="1:14">
      <c r="A1029" t="s">
        <v>29</v>
      </c>
      <c r="B1029">
        <v>1185732</v>
      </c>
      <c r="C1029" s="2">
        <v>44265</v>
      </c>
      <c r="D1029" t="s">
        <v>140</v>
      </c>
      <c r="E1029" t="s">
        <v>264</v>
      </c>
      <c r="F1029" t="s">
        <v>268</v>
      </c>
      <c r="G1029" t="s">
        <v>148</v>
      </c>
      <c r="H1029" s="3">
        <v>0.35</v>
      </c>
      <c r="I1029">
        <v>0</v>
      </c>
      <c r="J1029" s="4">
        <v>0</v>
      </c>
      <c r="K1029" s="4">
        <v>0</v>
      </c>
      <c r="L1029" s="5">
        <v>0.4</v>
      </c>
      <c r="M1029" t="s">
        <v>24</v>
      </c>
      <c r="N1029" t="s">
        <v>361</v>
      </c>
    </row>
    <row r="1030" spans="1:14">
      <c r="A1030" t="s">
        <v>29</v>
      </c>
      <c r="B1030">
        <v>1185732</v>
      </c>
      <c r="C1030" s="2">
        <v>44265</v>
      </c>
      <c r="D1030" t="s">
        <v>140</v>
      </c>
      <c r="E1030" t="s">
        <v>264</v>
      </c>
      <c r="F1030" t="s">
        <v>268</v>
      </c>
      <c r="G1030" t="s">
        <v>147</v>
      </c>
      <c r="H1030" s="3">
        <v>0.5</v>
      </c>
      <c r="I1030">
        <v>500</v>
      </c>
      <c r="J1030" s="4">
        <v>250</v>
      </c>
      <c r="K1030" s="4">
        <v>87.5</v>
      </c>
      <c r="L1030" s="5">
        <v>0.35</v>
      </c>
      <c r="M1030" t="s">
        <v>24</v>
      </c>
      <c r="N1030" t="s">
        <v>361</v>
      </c>
    </row>
    <row r="1031" spans="1:14">
      <c r="A1031" t="s">
        <v>29</v>
      </c>
      <c r="B1031">
        <v>1185732</v>
      </c>
      <c r="C1031" s="2">
        <v>44265</v>
      </c>
      <c r="D1031" t="s">
        <v>140</v>
      </c>
      <c r="E1031" t="s">
        <v>264</v>
      </c>
      <c r="F1031" t="s">
        <v>268</v>
      </c>
      <c r="G1031" t="s">
        <v>144</v>
      </c>
      <c r="H1031" s="3">
        <v>0.4</v>
      </c>
      <c r="I1031">
        <v>1500</v>
      </c>
      <c r="J1031" s="4">
        <v>600</v>
      </c>
      <c r="K1031" s="4">
        <v>300</v>
      </c>
      <c r="L1031" s="5">
        <v>0.5</v>
      </c>
      <c r="M1031" t="s">
        <v>24</v>
      </c>
      <c r="N1031" t="s">
        <v>361</v>
      </c>
    </row>
    <row r="1032" spans="1:14">
      <c r="A1032" t="s">
        <v>29</v>
      </c>
      <c r="B1032">
        <v>1185732</v>
      </c>
      <c r="C1032" s="2">
        <v>44297</v>
      </c>
      <c r="D1032" t="s">
        <v>140</v>
      </c>
      <c r="E1032" t="s">
        <v>264</v>
      </c>
      <c r="F1032" t="s">
        <v>268</v>
      </c>
      <c r="G1032" t="s">
        <v>27</v>
      </c>
      <c r="H1032" s="3">
        <v>0.4</v>
      </c>
      <c r="I1032">
        <v>3750</v>
      </c>
      <c r="J1032" s="4">
        <v>1500</v>
      </c>
      <c r="K1032" s="4">
        <v>600</v>
      </c>
      <c r="L1032" s="5">
        <v>0.4</v>
      </c>
      <c r="M1032" t="s">
        <v>127</v>
      </c>
      <c r="N1032" t="s">
        <v>362</v>
      </c>
    </row>
    <row r="1033" spans="1:14">
      <c r="A1033" t="s">
        <v>29</v>
      </c>
      <c r="B1033">
        <v>1185732</v>
      </c>
      <c r="C1033" s="2">
        <v>44297</v>
      </c>
      <c r="D1033" t="s">
        <v>140</v>
      </c>
      <c r="E1033" t="s">
        <v>264</v>
      </c>
      <c r="F1033" t="s">
        <v>268</v>
      </c>
      <c r="G1033" t="s">
        <v>145</v>
      </c>
      <c r="H1033" s="3">
        <v>0.35000000000000003</v>
      </c>
      <c r="I1033">
        <v>750</v>
      </c>
      <c r="J1033" s="4">
        <v>262.5</v>
      </c>
      <c r="K1033" s="4">
        <v>91.875</v>
      </c>
      <c r="L1033" s="5">
        <v>0.35</v>
      </c>
      <c r="M1033" t="s">
        <v>127</v>
      </c>
      <c r="N1033" t="s">
        <v>362</v>
      </c>
    </row>
    <row r="1034" spans="1:14">
      <c r="A1034" t="s">
        <v>29</v>
      </c>
      <c r="B1034">
        <v>1185732</v>
      </c>
      <c r="C1034" s="2">
        <v>44297</v>
      </c>
      <c r="D1034" t="s">
        <v>140</v>
      </c>
      <c r="E1034" t="s">
        <v>264</v>
      </c>
      <c r="F1034" t="s">
        <v>268</v>
      </c>
      <c r="G1034" t="s">
        <v>146</v>
      </c>
      <c r="H1034" s="3">
        <v>0.25000000000000006</v>
      </c>
      <c r="I1034">
        <v>750</v>
      </c>
      <c r="J1034" s="4">
        <v>187.50000000000003</v>
      </c>
      <c r="K1034" s="4">
        <v>65.625</v>
      </c>
      <c r="L1034" s="5">
        <v>0.35</v>
      </c>
      <c r="M1034" t="s">
        <v>127</v>
      </c>
      <c r="N1034" t="s">
        <v>362</v>
      </c>
    </row>
    <row r="1035" spans="1:14">
      <c r="A1035" t="s">
        <v>29</v>
      </c>
      <c r="B1035">
        <v>1185732</v>
      </c>
      <c r="C1035" s="2">
        <v>44297</v>
      </c>
      <c r="D1035" t="s">
        <v>140</v>
      </c>
      <c r="E1035" t="s">
        <v>264</v>
      </c>
      <c r="F1035" t="s">
        <v>268</v>
      </c>
      <c r="G1035" t="s">
        <v>148</v>
      </c>
      <c r="H1035" s="3">
        <v>0.3</v>
      </c>
      <c r="I1035">
        <v>0</v>
      </c>
      <c r="J1035" s="4">
        <v>0</v>
      </c>
      <c r="K1035" s="4">
        <v>0</v>
      </c>
      <c r="L1035" s="5">
        <v>0.4</v>
      </c>
      <c r="M1035" t="s">
        <v>127</v>
      </c>
      <c r="N1035" t="s">
        <v>362</v>
      </c>
    </row>
    <row r="1036" spans="1:14">
      <c r="A1036" t="s">
        <v>29</v>
      </c>
      <c r="B1036">
        <v>1185732</v>
      </c>
      <c r="C1036" s="2">
        <v>44297</v>
      </c>
      <c r="D1036" t="s">
        <v>140</v>
      </c>
      <c r="E1036" t="s">
        <v>264</v>
      </c>
      <c r="F1036" t="s">
        <v>268</v>
      </c>
      <c r="G1036" t="s">
        <v>147</v>
      </c>
      <c r="H1036" s="3">
        <v>0.45</v>
      </c>
      <c r="I1036">
        <v>250</v>
      </c>
      <c r="J1036" s="4">
        <v>112.5</v>
      </c>
      <c r="K1036" s="4">
        <v>39.375</v>
      </c>
      <c r="L1036" s="5">
        <v>0.35</v>
      </c>
      <c r="M1036" t="s">
        <v>127</v>
      </c>
      <c r="N1036" t="s">
        <v>362</v>
      </c>
    </row>
    <row r="1037" spans="1:14">
      <c r="A1037" t="s">
        <v>29</v>
      </c>
      <c r="B1037">
        <v>1185732</v>
      </c>
      <c r="C1037" s="2">
        <v>44297</v>
      </c>
      <c r="D1037" t="s">
        <v>140</v>
      </c>
      <c r="E1037" t="s">
        <v>264</v>
      </c>
      <c r="F1037" t="s">
        <v>268</v>
      </c>
      <c r="G1037" t="s">
        <v>144</v>
      </c>
      <c r="H1037" s="3">
        <v>0.35000000000000003</v>
      </c>
      <c r="I1037">
        <v>1500</v>
      </c>
      <c r="J1037" s="4">
        <v>525</v>
      </c>
      <c r="K1037" s="4">
        <v>262.5</v>
      </c>
      <c r="L1037" s="5">
        <v>0.5</v>
      </c>
      <c r="M1037" t="s">
        <v>127</v>
      </c>
      <c r="N1037" t="s">
        <v>362</v>
      </c>
    </row>
    <row r="1038" spans="1:14">
      <c r="A1038" t="s">
        <v>29</v>
      </c>
      <c r="B1038">
        <v>1185732</v>
      </c>
      <c r="C1038" s="2">
        <v>44328</v>
      </c>
      <c r="D1038" t="s">
        <v>140</v>
      </c>
      <c r="E1038" t="s">
        <v>264</v>
      </c>
      <c r="F1038" t="s">
        <v>268</v>
      </c>
      <c r="G1038" t="s">
        <v>27</v>
      </c>
      <c r="H1038" s="3">
        <v>0.45</v>
      </c>
      <c r="I1038">
        <v>4200</v>
      </c>
      <c r="J1038" s="4">
        <v>1890</v>
      </c>
      <c r="K1038" s="4">
        <v>756</v>
      </c>
      <c r="L1038" s="5">
        <v>0.4</v>
      </c>
      <c r="M1038" t="s">
        <v>128</v>
      </c>
      <c r="N1038" t="s">
        <v>362</v>
      </c>
    </row>
    <row r="1039" spans="1:14">
      <c r="A1039" t="s">
        <v>29</v>
      </c>
      <c r="B1039">
        <v>1185732</v>
      </c>
      <c r="C1039" s="2">
        <v>44328</v>
      </c>
      <c r="D1039" t="s">
        <v>140</v>
      </c>
      <c r="E1039" t="s">
        <v>264</v>
      </c>
      <c r="F1039" t="s">
        <v>268</v>
      </c>
      <c r="G1039" t="s">
        <v>145</v>
      </c>
      <c r="H1039" s="3">
        <v>0.40000000000000008</v>
      </c>
      <c r="I1039">
        <v>1250</v>
      </c>
      <c r="J1039" s="4">
        <v>500.00000000000011</v>
      </c>
      <c r="K1039" s="4">
        <v>175.00000000000003</v>
      </c>
      <c r="L1039" s="5">
        <v>0.35</v>
      </c>
      <c r="M1039" t="s">
        <v>128</v>
      </c>
      <c r="N1039" t="s">
        <v>362</v>
      </c>
    </row>
    <row r="1040" spans="1:14">
      <c r="A1040" t="s">
        <v>29</v>
      </c>
      <c r="B1040">
        <v>1185732</v>
      </c>
      <c r="C1040" s="2">
        <v>44328</v>
      </c>
      <c r="D1040" t="s">
        <v>140</v>
      </c>
      <c r="E1040" t="s">
        <v>264</v>
      </c>
      <c r="F1040" t="s">
        <v>268</v>
      </c>
      <c r="G1040" t="s">
        <v>146</v>
      </c>
      <c r="H1040" s="3">
        <v>0.35000000000000003</v>
      </c>
      <c r="I1040">
        <v>1000</v>
      </c>
      <c r="J1040" s="4">
        <v>350.00000000000006</v>
      </c>
      <c r="K1040" s="4">
        <v>122.50000000000001</v>
      </c>
      <c r="L1040" s="5">
        <v>0.35</v>
      </c>
      <c r="M1040" t="s">
        <v>128</v>
      </c>
      <c r="N1040" t="s">
        <v>362</v>
      </c>
    </row>
    <row r="1041" spans="1:14">
      <c r="A1041" t="s">
        <v>29</v>
      </c>
      <c r="B1041">
        <v>1185732</v>
      </c>
      <c r="C1041" s="2">
        <v>44328</v>
      </c>
      <c r="D1041" t="s">
        <v>140</v>
      </c>
      <c r="E1041" t="s">
        <v>264</v>
      </c>
      <c r="F1041" t="s">
        <v>268</v>
      </c>
      <c r="G1041" t="s">
        <v>148</v>
      </c>
      <c r="H1041" s="3">
        <v>0.35000000000000003</v>
      </c>
      <c r="I1041">
        <v>250</v>
      </c>
      <c r="J1041" s="4">
        <v>87.500000000000014</v>
      </c>
      <c r="K1041" s="4">
        <v>35.000000000000007</v>
      </c>
      <c r="L1041" s="5">
        <v>0.4</v>
      </c>
      <c r="M1041" t="s">
        <v>128</v>
      </c>
      <c r="N1041" t="s">
        <v>362</v>
      </c>
    </row>
    <row r="1042" spans="1:14">
      <c r="A1042" t="s">
        <v>29</v>
      </c>
      <c r="B1042">
        <v>1185732</v>
      </c>
      <c r="C1042" s="2">
        <v>44328</v>
      </c>
      <c r="D1042" t="s">
        <v>140</v>
      </c>
      <c r="E1042" t="s">
        <v>264</v>
      </c>
      <c r="F1042" t="s">
        <v>268</v>
      </c>
      <c r="G1042" t="s">
        <v>147</v>
      </c>
      <c r="H1042" s="3">
        <v>0.49999999999999994</v>
      </c>
      <c r="I1042">
        <v>500</v>
      </c>
      <c r="J1042" s="4">
        <v>249.99999999999997</v>
      </c>
      <c r="K1042" s="4">
        <v>87.499999999999986</v>
      </c>
      <c r="L1042" s="5">
        <v>0.35</v>
      </c>
      <c r="M1042" t="s">
        <v>128</v>
      </c>
      <c r="N1042" t="s">
        <v>362</v>
      </c>
    </row>
    <row r="1043" spans="1:14">
      <c r="A1043" t="s">
        <v>29</v>
      </c>
      <c r="B1043">
        <v>1185732</v>
      </c>
      <c r="C1043" s="2">
        <v>44328</v>
      </c>
      <c r="D1043" t="s">
        <v>140</v>
      </c>
      <c r="E1043" t="s">
        <v>264</v>
      </c>
      <c r="F1043" t="s">
        <v>268</v>
      </c>
      <c r="G1043" t="s">
        <v>144</v>
      </c>
      <c r="H1043" s="3">
        <v>0.54999999999999993</v>
      </c>
      <c r="I1043">
        <v>1500</v>
      </c>
      <c r="J1043" s="4">
        <v>824.99999999999989</v>
      </c>
      <c r="K1043" s="4">
        <v>412.49999999999994</v>
      </c>
      <c r="L1043" s="5">
        <v>0.5</v>
      </c>
      <c r="M1043" t="s">
        <v>128</v>
      </c>
      <c r="N1043" t="s">
        <v>362</v>
      </c>
    </row>
    <row r="1044" spans="1:14">
      <c r="A1044" t="s">
        <v>29</v>
      </c>
      <c r="B1044">
        <v>1185732</v>
      </c>
      <c r="C1044" s="2">
        <v>44358</v>
      </c>
      <c r="D1044" t="s">
        <v>140</v>
      </c>
      <c r="E1044" t="s">
        <v>264</v>
      </c>
      <c r="F1044" t="s">
        <v>268</v>
      </c>
      <c r="G1044" t="s">
        <v>27</v>
      </c>
      <c r="H1044" s="3">
        <v>0.4</v>
      </c>
      <c r="I1044">
        <v>4000</v>
      </c>
      <c r="J1044" s="4">
        <v>1600</v>
      </c>
      <c r="K1044" s="4">
        <v>640</v>
      </c>
      <c r="L1044" s="5">
        <v>0.4</v>
      </c>
      <c r="M1044" t="s">
        <v>129</v>
      </c>
      <c r="N1044" t="s">
        <v>362</v>
      </c>
    </row>
    <row r="1045" spans="1:14">
      <c r="A1045" t="s">
        <v>29</v>
      </c>
      <c r="B1045">
        <v>1185732</v>
      </c>
      <c r="C1045" s="2">
        <v>44358</v>
      </c>
      <c r="D1045" t="s">
        <v>140</v>
      </c>
      <c r="E1045" t="s">
        <v>264</v>
      </c>
      <c r="F1045" t="s">
        <v>268</v>
      </c>
      <c r="G1045" t="s">
        <v>145</v>
      </c>
      <c r="H1045" s="3">
        <v>0.35000000000000009</v>
      </c>
      <c r="I1045">
        <v>1500</v>
      </c>
      <c r="J1045" s="4">
        <v>525.00000000000011</v>
      </c>
      <c r="K1045" s="4">
        <v>183.75000000000003</v>
      </c>
      <c r="L1045" s="5">
        <v>0.35</v>
      </c>
      <c r="M1045" t="s">
        <v>129</v>
      </c>
      <c r="N1045" t="s">
        <v>362</v>
      </c>
    </row>
    <row r="1046" spans="1:14">
      <c r="A1046" t="s">
        <v>29</v>
      </c>
      <c r="B1046">
        <v>1185732</v>
      </c>
      <c r="C1046" s="2">
        <v>44358</v>
      </c>
      <c r="D1046" t="s">
        <v>140</v>
      </c>
      <c r="E1046" t="s">
        <v>264</v>
      </c>
      <c r="F1046" t="s">
        <v>268</v>
      </c>
      <c r="G1046" t="s">
        <v>146</v>
      </c>
      <c r="H1046" s="3">
        <v>0.30000000000000004</v>
      </c>
      <c r="I1046">
        <v>1750</v>
      </c>
      <c r="J1046" s="4">
        <v>525.00000000000011</v>
      </c>
      <c r="K1046" s="4">
        <v>183.75000000000003</v>
      </c>
      <c r="L1046" s="5">
        <v>0.35</v>
      </c>
      <c r="M1046" t="s">
        <v>129</v>
      </c>
      <c r="N1046" t="s">
        <v>362</v>
      </c>
    </row>
    <row r="1047" spans="1:14">
      <c r="A1047" t="s">
        <v>29</v>
      </c>
      <c r="B1047">
        <v>1185732</v>
      </c>
      <c r="C1047" s="2">
        <v>44358</v>
      </c>
      <c r="D1047" t="s">
        <v>140</v>
      </c>
      <c r="E1047" t="s">
        <v>264</v>
      </c>
      <c r="F1047" t="s">
        <v>268</v>
      </c>
      <c r="G1047" t="s">
        <v>148</v>
      </c>
      <c r="H1047" s="3">
        <v>0.30000000000000004</v>
      </c>
      <c r="I1047">
        <v>1500</v>
      </c>
      <c r="J1047" s="4">
        <v>450.00000000000006</v>
      </c>
      <c r="K1047" s="4">
        <v>180.00000000000003</v>
      </c>
      <c r="L1047" s="5">
        <v>0.4</v>
      </c>
      <c r="M1047" t="s">
        <v>129</v>
      </c>
      <c r="N1047" t="s">
        <v>362</v>
      </c>
    </row>
    <row r="1048" spans="1:14">
      <c r="A1048" t="s">
        <v>29</v>
      </c>
      <c r="B1048">
        <v>1185732</v>
      </c>
      <c r="C1048" s="2">
        <v>44358</v>
      </c>
      <c r="D1048" t="s">
        <v>140</v>
      </c>
      <c r="E1048" t="s">
        <v>264</v>
      </c>
      <c r="F1048" t="s">
        <v>268</v>
      </c>
      <c r="G1048" t="s">
        <v>147</v>
      </c>
      <c r="H1048" s="3">
        <v>0.45</v>
      </c>
      <c r="I1048">
        <v>1500</v>
      </c>
      <c r="J1048" s="4">
        <v>675</v>
      </c>
      <c r="K1048" s="4">
        <v>236.24999999999997</v>
      </c>
      <c r="L1048" s="5">
        <v>0.35</v>
      </c>
      <c r="M1048" t="s">
        <v>129</v>
      </c>
      <c r="N1048" t="s">
        <v>362</v>
      </c>
    </row>
    <row r="1049" spans="1:14">
      <c r="A1049" t="s">
        <v>29</v>
      </c>
      <c r="B1049">
        <v>1185732</v>
      </c>
      <c r="C1049" s="2">
        <v>44358</v>
      </c>
      <c r="D1049" t="s">
        <v>140</v>
      </c>
      <c r="E1049" t="s">
        <v>264</v>
      </c>
      <c r="F1049" t="s">
        <v>268</v>
      </c>
      <c r="G1049" t="s">
        <v>144</v>
      </c>
      <c r="H1049" s="3">
        <v>0.5</v>
      </c>
      <c r="I1049">
        <v>3250</v>
      </c>
      <c r="J1049" s="4">
        <v>1625</v>
      </c>
      <c r="K1049" s="4">
        <v>812.5</v>
      </c>
      <c r="L1049" s="5">
        <v>0.5</v>
      </c>
      <c r="M1049" t="s">
        <v>129</v>
      </c>
      <c r="N1049" t="s">
        <v>362</v>
      </c>
    </row>
    <row r="1050" spans="1:14">
      <c r="A1050" t="s">
        <v>29</v>
      </c>
      <c r="B1050">
        <v>1185732</v>
      </c>
      <c r="C1050" s="2">
        <v>44387</v>
      </c>
      <c r="D1050" t="s">
        <v>140</v>
      </c>
      <c r="E1050" t="s">
        <v>264</v>
      </c>
      <c r="F1050" t="s">
        <v>268</v>
      </c>
      <c r="G1050" t="s">
        <v>27</v>
      </c>
      <c r="H1050" s="3">
        <v>0.45</v>
      </c>
      <c r="I1050">
        <v>5500</v>
      </c>
      <c r="J1050" s="4">
        <v>2475</v>
      </c>
      <c r="K1050" s="4">
        <v>990</v>
      </c>
      <c r="L1050" s="5">
        <v>0.4</v>
      </c>
      <c r="M1050" t="s">
        <v>130</v>
      </c>
      <c r="N1050" t="s">
        <v>363</v>
      </c>
    </row>
    <row r="1051" spans="1:14">
      <c r="A1051" t="s">
        <v>29</v>
      </c>
      <c r="B1051">
        <v>1185732</v>
      </c>
      <c r="C1051" s="2">
        <v>44387</v>
      </c>
      <c r="D1051" t="s">
        <v>140</v>
      </c>
      <c r="E1051" t="s">
        <v>264</v>
      </c>
      <c r="F1051" t="s">
        <v>268</v>
      </c>
      <c r="G1051" t="s">
        <v>145</v>
      </c>
      <c r="H1051" s="3">
        <v>0.40000000000000008</v>
      </c>
      <c r="I1051">
        <v>3000</v>
      </c>
      <c r="J1051" s="4">
        <v>1200.0000000000002</v>
      </c>
      <c r="K1051" s="4">
        <v>420.00000000000006</v>
      </c>
      <c r="L1051" s="5">
        <v>0.35</v>
      </c>
      <c r="M1051" t="s">
        <v>130</v>
      </c>
      <c r="N1051" t="s">
        <v>363</v>
      </c>
    </row>
    <row r="1052" spans="1:14">
      <c r="A1052" t="s">
        <v>29</v>
      </c>
      <c r="B1052">
        <v>1185732</v>
      </c>
      <c r="C1052" s="2">
        <v>44387</v>
      </c>
      <c r="D1052" t="s">
        <v>140</v>
      </c>
      <c r="E1052" t="s">
        <v>264</v>
      </c>
      <c r="F1052" t="s">
        <v>268</v>
      </c>
      <c r="G1052" t="s">
        <v>146</v>
      </c>
      <c r="H1052" s="3">
        <v>0.35000000000000003</v>
      </c>
      <c r="I1052">
        <v>2250</v>
      </c>
      <c r="J1052" s="4">
        <v>787.50000000000011</v>
      </c>
      <c r="K1052" s="4">
        <v>275.625</v>
      </c>
      <c r="L1052" s="5">
        <v>0.35</v>
      </c>
      <c r="M1052" t="s">
        <v>130</v>
      </c>
      <c r="N1052" t="s">
        <v>363</v>
      </c>
    </row>
    <row r="1053" spans="1:14">
      <c r="A1053" t="s">
        <v>29</v>
      </c>
      <c r="B1053">
        <v>1185732</v>
      </c>
      <c r="C1053" s="2">
        <v>44387</v>
      </c>
      <c r="D1053" t="s">
        <v>140</v>
      </c>
      <c r="E1053" t="s">
        <v>264</v>
      </c>
      <c r="F1053" t="s">
        <v>268</v>
      </c>
      <c r="G1053" t="s">
        <v>148</v>
      </c>
      <c r="H1053" s="3">
        <v>0.35000000000000003</v>
      </c>
      <c r="I1053">
        <v>1750</v>
      </c>
      <c r="J1053" s="4">
        <v>612.50000000000011</v>
      </c>
      <c r="K1053" s="4">
        <v>245.00000000000006</v>
      </c>
      <c r="L1053" s="5">
        <v>0.4</v>
      </c>
      <c r="M1053" t="s">
        <v>130</v>
      </c>
      <c r="N1053" t="s">
        <v>363</v>
      </c>
    </row>
    <row r="1054" spans="1:14">
      <c r="A1054" t="s">
        <v>29</v>
      </c>
      <c r="B1054">
        <v>1185732</v>
      </c>
      <c r="C1054" s="2">
        <v>44387</v>
      </c>
      <c r="D1054" t="s">
        <v>140</v>
      </c>
      <c r="E1054" t="s">
        <v>264</v>
      </c>
      <c r="F1054" t="s">
        <v>268</v>
      </c>
      <c r="G1054" t="s">
        <v>147</v>
      </c>
      <c r="H1054" s="3">
        <v>0.45</v>
      </c>
      <c r="I1054">
        <v>1750</v>
      </c>
      <c r="J1054" s="4">
        <v>787.5</v>
      </c>
      <c r="K1054" s="4">
        <v>275.625</v>
      </c>
      <c r="L1054" s="5">
        <v>0.35</v>
      </c>
      <c r="M1054" t="s">
        <v>130</v>
      </c>
      <c r="N1054" t="s">
        <v>363</v>
      </c>
    </row>
    <row r="1055" spans="1:14">
      <c r="A1055" t="s">
        <v>29</v>
      </c>
      <c r="B1055">
        <v>1185732</v>
      </c>
      <c r="C1055" s="2">
        <v>44387</v>
      </c>
      <c r="D1055" t="s">
        <v>140</v>
      </c>
      <c r="E1055" t="s">
        <v>264</v>
      </c>
      <c r="F1055" t="s">
        <v>268</v>
      </c>
      <c r="G1055" t="s">
        <v>144</v>
      </c>
      <c r="H1055" s="3">
        <v>0.5</v>
      </c>
      <c r="I1055">
        <v>3500</v>
      </c>
      <c r="J1055" s="4">
        <v>1750</v>
      </c>
      <c r="K1055" s="4">
        <v>875</v>
      </c>
      <c r="L1055" s="5">
        <v>0.5</v>
      </c>
      <c r="M1055" t="s">
        <v>130</v>
      </c>
      <c r="N1055" t="s">
        <v>363</v>
      </c>
    </row>
    <row r="1056" spans="1:14">
      <c r="A1056" t="s">
        <v>29</v>
      </c>
      <c r="B1056">
        <v>1185732</v>
      </c>
      <c r="C1056" s="2">
        <v>44419</v>
      </c>
      <c r="D1056" t="s">
        <v>140</v>
      </c>
      <c r="E1056" t="s">
        <v>264</v>
      </c>
      <c r="F1056" t="s">
        <v>268</v>
      </c>
      <c r="G1056" t="s">
        <v>27</v>
      </c>
      <c r="H1056" s="3">
        <v>0.45</v>
      </c>
      <c r="I1056">
        <v>5000</v>
      </c>
      <c r="J1056" s="4">
        <v>2250</v>
      </c>
      <c r="K1056" s="4">
        <v>900</v>
      </c>
      <c r="L1056" s="5">
        <v>0.4</v>
      </c>
      <c r="M1056" t="s">
        <v>131</v>
      </c>
      <c r="N1056" t="s">
        <v>363</v>
      </c>
    </row>
    <row r="1057" spans="1:14">
      <c r="A1057" t="s">
        <v>29</v>
      </c>
      <c r="B1057">
        <v>1185732</v>
      </c>
      <c r="C1057" s="2">
        <v>44419</v>
      </c>
      <c r="D1057" t="s">
        <v>140</v>
      </c>
      <c r="E1057" t="s">
        <v>264</v>
      </c>
      <c r="F1057" t="s">
        <v>268</v>
      </c>
      <c r="G1057" t="s">
        <v>145</v>
      </c>
      <c r="H1057" s="3">
        <v>0.45000000000000007</v>
      </c>
      <c r="I1057">
        <v>2750</v>
      </c>
      <c r="J1057" s="4">
        <v>1237.5000000000002</v>
      </c>
      <c r="K1057" s="4">
        <v>433.12500000000006</v>
      </c>
      <c r="L1057" s="5">
        <v>0.35</v>
      </c>
      <c r="M1057" t="s">
        <v>131</v>
      </c>
      <c r="N1057" t="s">
        <v>363</v>
      </c>
    </row>
    <row r="1058" spans="1:14">
      <c r="A1058" t="s">
        <v>29</v>
      </c>
      <c r="B1058">
        <v>1185732</v>
      </c>
      <c r="C1058" s="2">
        <v>44419</v>
      </c>
      <c r="D1058" t="s">
        <v>140</v>
      </c>
      <c r="E1058" t="s">
        <v>264</v>
      </c>
      <c r="F1058" t="s">
        <v>268</v>
      </c>
      <c r="G1058" t="s">
        <v>146</v>
      </c>
      <c r="H1058" s="3">
        <v>0.4</v>
      </c>
      <c r="I1058">
        <v>2000</v>
      </c>
      <c r="J1058" s="4">
        <v>800</v>
      </c>
      <c r="K1058" s="4">
        <v>280</v>
      </c>
      <c r="L1058" s="5">
        <v>0.35</v>
      </c>
      <c r="M1058" t="s">
        <v>131</v>
      </c>
      <c r="N1058" t="s">
        <v>363</v>
      </c>
    </row>
    <row r="1059" spans="1:14">
      <c r="A1059" t="s">
        <v>29</v>
      </c>
      <c r="B1059">
        <v>1185732</v>
      </c>
      <c r="C1059" s="2">
        <v>44419</v>
      </c>
      <c r="D1059" t="s">
        <v>140</v>
      </c>
      <c r="E1059" t="s">
        <v>264</v>
      </c>
      <c r="F1059" t="s">
        <v>268</v>
      </c>
      <c r="G1059" t="s">
        <v>148</v>
      </c>
      <c r="H1059" s="3">
        <v>0.30000000000000004</v>
      </c>
      <c r="I1059">
        <v>1250</v>
      </c>
      <c r="J1059" s="4">
        <v>375.00000000000006</v>
      </c>
      <c r="K1059" s="4">
        <v>150.00000000000003</v>
      </c>
      <c r="L1059" s="5">
        <v>0.4</v>
      </c>
      <c r="M1059" t="s">
        <v>131</v>
      </c>
      <c r="N1059" t="s">
        <v>363</v>
      </c>
    </row>
    <row r="1060" spans="1:14">
      <c r="A1060" t="s">
        <v>29</v>
      </c>
      <c r="B1060">
        <v>1185732</v>
      </c>
      <c r="C1060" s="2">
        <v>44419</v>
      </c>
      <c r="D1060" t="s">
        <v>140</v>
      </c>
      <c r="E1060" t="s">
        <v>264</v>
      </c>
      <c r="F1060" t="s">
        <v>268</v>
      </c>
      <c r="G1060" t="s">
        <v>147</v>
      </c>
      <c r="H1060" s="3">
        <v>0.4</v>
      </c>
      <c r="I1060">
        <v>1000</v>
      </c>
      <c r="J1060" s="4">
        <v>400</v>
      </c>
      <c r="K1060" s="4">
        <v>140</v>
      </c>
      <c r="L1060" s="5">
        <v>0.35</v>
      </c>
      <c r="M1060" t="s">
        <v>131</v>
      </c>
      <c r="N1060" t="s">
        <v>363</v>
      </c>
    </row>
    <row r="1061" spans="1:14">
      <c r="A1061" t="s">
        <v>29</v>
      </c>
      <c r="B1061">
        <v>1185732</v>
      </c>
      <c r="C1061" s="2">
        <v>44419</v>
      </c>
      <c r="D1061" t="s">
        <v>140</v>
      </c>
      <c r="E1061" t="s">
        <v>264</v>
      </c>
      <c r="F1061" t="s">
        <v>268</v>
      </c>
      <c r="G1061" t="s">
        <v>144</v>
      </c>
      <c r="H1061" s="3">
        <v>0.45</v>
      </c>
      <c r="I1061">
        <v>2750</v>
      </c>
      <c r="J1061" s="4">
        <v>1237.5</v>
      </c>
      <c r="K1061" s="4">
        <v>618.75</v>
      </c>
      <c r="L1061" s="5">
        <v>0.5</v>
      </c>
      <c r="M1061" t="s">
        <v>131</v>
      </c>
      <c r="N1061" t="s">
        <v>363</v>
      </c>
    </row>
    <row r="1062" spans="1:14">
      <c r="A1062" t="s">
        <v>29</v>
      </c>
      <c r="B1062">
        <v>1185732</v>
      </c>
      <c r="C1062" s="2">
        <v>44451</v>
      </c>
      <c r="D1062" t="s">
        <v>140</v>
      </c>
      <c r="E1062" t="s">
        <v>264</v>
      </c>
      <c r="F1062" t="s">
        <v>268</v>
      </c>
      <c r="G1062" t="s">
        <v>27</v>
      </c>
      <c r="H1062" s="3">
        <v>0.4</v>
      </c>
      <c r="I1062">
        <v>4000</v>
      </c>
      <c r="J1062" s="4">
        <v>1600</v>
      </c>
      <c r="K1062" s="4">
        <v>640</v>
      </c>
      <c r="L1062" s="5">
        <v>0.4</v>
      </c>
      <c r="M1062" t="s">
        <v>132</v>
      </c>
      <c r="N1062" t="s">
        <v>363</v>
      </c>
    </row>
    <row r="1063" spans="1:14">
      <c r="A1063" t="s">
        <v>29</v>
      </c>
      <c r="B1063">
        <v>1185732</v>
      </c>
      <c r="C1063" s="2">
        <v>44451</v>
      </c>
      <c r="D1063" t="s">
        <v>140</v>
      </c>
      <c r="E1063" t="s">
        <v>264</v>
      </c>
      <c r="F1063" t="s">
        <v>268</v>
      </c>
      <c r="G1063" t="s">
        <v>145</v>
      </c>
      <c r="H1063" s="3">
        <v>0.35000000000000009</v>
      </c>
      <c r="I1063">
        <v>2000</v>
      </c>
      <c r="J1063" s="4">
        <v>700.00000000000023</v>
      </c>
      <c r="K1063" s="4">
        <v>245.00000000000006</v>
      </c>
      <c r="L1063" s="5">
        <v>0.35</v>
      </c>
      <c r="M1063" t="s">
        <v>132</v>
      </c>
      <c r="N1063" t="s">
        <v>363</v>
      </c>
    </row>
    <row r="1064" spans="1:14">
      <c r="A1064" t="s">
        <v>29</v>
      </c>
      <c r="B1064">
        <v>1185732</v>
      </c>
      <c r="C1064" s="2">
        <v>44451</v>
      </c>
      <c r="D1064" t="s">
        <v>140</v>
      </c>
      <c r="E1064" t="s">
        <v>264</v>
      </c>
      <c r="F1064" t="s">
        <v>268</v>
      </c>
      <c r="G1064" t="s">
        <v>146</v>
      </c>
      <c r="H1064" s="3">
        <v>0.2</v>
      </c>
      <c r="I1064">
        <v>1000</v>
      </c>
      <c r="J1064" s="4">
        <v>200</v>
      </c>
      <c r="K1064" s="4">
        <v>70</v>
      </c>
      <c r="L1064" s="5">
        <v>0.35</v>
      </c>
      <c r="M1064" t="s">
        <v>132</v>
      </c>
      <c r="N1064" t="s">
        <v>363</v>
      </c>
    </row>
    <row r="1065" spans="1:14">
      <c r="A1065" t="s">
        <v>29</v>
      </c>
      <c r="B1065">
        <v>1185732</v>
      </c>
      <c r="C1065" s="2">
        <v>44451</v>
      </c>
      <c r="D1065" t="s">
        <v>140</v>
      </c>
      <c r="E1065" t="s">
        <v>264</v>
      </c>
      <c r="F1065" t="s">
        <v>268</v>
      </c>
      <c r="G1065" t="s">
        <v>148</v>
      </c>
      <c r="H1065" s="3">
        <v>0.2</v>
      </c>
      <c r="I1065">
        <v>750</v>
      </c>
      <c r="J1065" s="4">
        <v>150</v>
      </c>
      <c r="K1065" s="4">
        <v>60</v>
      </c>
      <c r="L1065" s="5">
        <v>0.4</v>
      </c>
      <c r="M1065" t="s">
        <v>132</v>
      </c>
      <c r="N1065" t="s">
        <v>363</v>
      </c>
    </row>
    <row r="1066" spans="1:14">
      <c r="A1066" t="s">
        <v>29</v>
      </c>
      <c r="B1066">
        <v>1185732</v>
      </c>
      <c r="C1066" s="2">
        <v>44451</v>
      </c>
      <c r="D1066" t="s">
        <v>140</v>
      </c>
      <c r="E1066" t="s">
        <v>264</v>
      </c>
      <c r="F1066" t="s">
        <v>268</v>
      </c>
      <c r="G1066" t="s">
        <v>147</v>
      </c>
      <c r="H1066" s="3">
        <v>0.3</v>
      </c>
      <c r="I1066">
        <v>750</v>
      </c>
      <c r="J1066" s="4">
        <v>225</v>
      </c>
      <c r="K1066" s="4">
        <v>78.75</v>
      </c>
      <c r="L1066" s="5">
        <v>0.35</v>
      </c>
      <c r="M1066" t="s">
        <v>132</v>
      </c>
      <c r="N1066" t="s">
        <v>363</v>
      </c>
    </row>
    <row r="1067" spans="1:14">
      <c r="A1067" t="s">
        <v>29</v>
      </c>
      <c r="B1067">
        <v>1185732</v>
      </c>
      <c r="C1067" s="2">
        <v>44451</v>
      </c>
      <c r="D1067" t="s">
        <v>140</v>
      </c>
      <c r="E1067" t="s">
        <v>264</v>
      </c>
      <c r="F1067" t="s">
        <v>268</v>
      </c>
      <c r="G1067" t="s">
        <v>144</v>
      </c>
      <c r="H1067" s="3">
        <v>0.35000000000000003</v>
      </c>
      <c r="I1067">
        <v>1500</v>
      </c>
      <c r="J1067" s="4">
        <v>525</v>
      </c>
      <c r="K1067" s="4">
        <v>262.5</v>
      </c>
      <c r="L1067" s="5">
        <v>0.5</v>
      </c>
      <c r="M1067" t="s">
        <v>132</v>
      </c>
      <c r="N1067" t="s">
        <v>363</v>
      </c>
    </row>
    <row r="1068" spans="1:14">
      <c r="A1068" t="s">
        <v>29</v>
      </c>
      <c r="B1068">
        <v>1185732</v>
      </c>
      <c r="C1068" s="2">
        <v>44480</v>
      </c>
      <c r="D1068" t="s">
        <v>140</v>
      </c>
      <c r="E1068" t="s">
        <v>264</v>
      </c>
      <c r="F1068" t="s">
        <v>268</v>
      </c>
      <c r="G1068" t="s">
        <v>27</v>
      </c>
      <c r="H1068" s="3">
        <v>0.39999999999999997</v>
      </c>
      <c r="I1068">
        <v>3250</v>
      </c>
      <c r="J1068" s="4">
        <v>1300</v>
      </c>
      <c r="K1068" s="4">
        <v>520</v>
      </c>
      <c r="L1068" s="5">
        <v>0.4</v>
      </c>
      <c r="M1068" t="s">
        <v>133</v>
      </c>
      <c r="N1068" t="s">
        <v>364</v>
      </c>
    </row>
    <row r="1069" spans="1:14">
      <c r="A1069" t="s">
        <v>29</v>
      </c>
      <c r="B1069">
        <v>1185732</v>
      </c>
      <c r="C1069" s="2">
        <v>44480</v>
      </c>
      <c r="D1069" t="s">
        <v>140</v>
      </c>
      <c r="E1069" t="s">
        <v>264</v>
      </c>
      <c r="F1069" t="s">
        <v>268</v>
      </c>
      <c r="G1069" t="s">
        <v>145</v>
      </c>
      <c r="H1069" s="3">
        <v>0.3</v>
      </c>
      <c r="I1069">
        <v>1500</v>
      </c>
      <c r="J1069" s="4">
        <v>450</v>
      </c>
      <c r="K1069" s="4">
        <v>157.5</v>
      </c>
      <c r="L1069" s="5">
        <v>0.35</v>
      </c>
      <c r="M1069" t="s">
        <v>133</v>
      </c>
      <c r="N1069" t="s">
        <v>364</v>
      </c>
    </row>
    <row r="1070" spans="1:14">
      <c r="A1070" t="s">
        <v>29</v>
      </c>
      <c r="B1070">
        <v>1185732</v>
      </c>
      <c r="C1070" s="2">
        <v>44480</v>
      </c>
      <c r="D1070" t="s">
        <v>140</v>
      </c>
      <c r="E1070" t="s">
        <v>264</v>
      </c>
      <c r="F1070" t="s">
        <v>268</v>
      </c>
      <c r="G1070" t="s">
        <v>146</v>
      </c>
      <c r="H1070" s="3">
        <v>0.3</v>
      </c>
      <c r="I1070">
        <v>500</v>
      </c>
      <c r="J1070" s="4">
        <v>150</v>
      </c>
      <c r="K1070" s="4">
        <v>52.5</v>
      </c>
      <c r="L1070" s="5">
        <v>0.35</v>
      </c>
      <c r="M1070" t="s">
        <v>133</v>
      </c>
      <c r="N1070" t="s">
        <v>364</v>
      </c>
    </row>
    <row r="1071" spans="1:14">
      <c r="A1071" t="s">
        <v>29</v>
      </c>
      <c r="B1071">
        <v>1185732</v>
      </c>
      <c r="C1071" s="2">
        <v>44480</v>
      </c>
      <c r="D1071" t="s">
        <v>140</v>
      </c>
      <c r="E1071" t="s">
        <v>264</v>
      </c>
      <c r="F1071" t="s">
        <v>268</v>
      </c>
      <c r="G1071" t="s">
        <v>148</v>
      </c>
      <c r="H1071" s="3">
        <v>0.3</v>
      </c>
      <c r="I1071">
        <v>250</v>
      </c>
      <c r="J1071" s="4">
        <v>75</v>
      </c>
      <c r="K1071" s="4">
        <v>30</v>
      </c>
      <c r="L1071" s="5">
        <v>0.4</v>
      </c>
      <c r="M1071" t="s">
        <v>133</v>
      </c>
      <c r="N1071" t="s">
        <v>364</v>
      </c>
    </row>
    <row r="1072" spans="1:14">
      <c r="A1072" t="s">
        <v>29</v>
      </c>
      <c r="B1072">
        <v>1185732</v>
      </c>
      <c r="C1072" s="2">
        <v>44480</v>
      </c>
      <c r="D1072" t="s">
        <v>140</v>
      </c>
      <c r="E1072" t="s">
        <v>264</v>
      </c>
      <c r="F1072" t="s">
        <v>268</v>
      </c>
      <c r="G1072" t="s">
        <v>147</v>
      </c>
      <c r="H1072" s="3">
        <v>0.39999999999999997</v>
      </c>
      <c r="I1072">
        <v>250</v>
      </c>
      <c r="J1072" s="4">
        <v>99.999999999999986</v>
      </c>
      <c r="K1072" s="4">
        <v>34.999999999999993</v>
      </c>
      <c r="L1072" s="5">
        <v>0.35</v>
      </c>
      <c r="M1072" t="s">
        <v>133</v>
      </c>
      <c r="N1072" t="s">
        <v>364</v>
      </c>
    </row>
    <row r="1073" spans="1:14">
      <c r="A1073" t="s">
        <v>29</v>
      </c>
      <c r="B1073">
        <v>1185732</v>
      </c>
      <c r="C1073" s="2">
        <v>44480</v>
      </c>
      <c r="D1073" t="s">
        <v>140</v>
      </c>
      <c r="E1073" t="s">
        <v>264</v>
      </c>
      <c r="F1073" t="s">
        <v>268</v>
      </c>
      <c r="G1073" t="s">
        <v>144</v>
      </c>
      <c r="H1073" s="3">
        <v>0.4499999999999999</v>
      </c>
      <c r="I1073">
        <v>1500</v>
      </c>
      <c r="J1073" s="4">
        <v>674.99999999999989</v>
      </c>
      <c r="K1073" s="4">
        <v>337.49999999999994</v>
      </c>
      <c r="L1073" s="5">
        <v>0.5</v>
      </c>
      <c r="M1073" t="s">
        <v>133</v>
      </c>
      <c r="N1073" t="s">
        <v>364</v>
      </c>
    </row>
    <row r="1074" spans="1:14">
      <c r="A1074" t="s">
        <v>29</v>
      </c>
      <c r="B1074">
        <v>1185732</v>
      </c>
      <c r="C1074" s="2">
        <v>44511</v>
      </c>
      <c r="D1074" t="s">
        <v>140</v>
      </c>
      <c r="E1074" t="s">
        <v>264</v>
      </c>
      <c r="F1074" t="s">
        <v>268</v>
      </c>
      <c r="G1074" t="s">
        <v>27</v>
      </c>
      <c r="H1074" s="3">
        <v>0.4</v>
      </c>
      <c r="I1074">
        <v>3000</v>
      </c>
      <c r="J1074" s="4">
        <v>1200</v>
      </c>
      <c r="K1074" s="4">
        <v>480</v>
      </c>
      <c r="L1074" s="5">
        <v>0.4</v>
      </c>
      <c r="M1074" t="s">
        <v>134</v>
      </c>
      <c r="N1074" t="s">
        <v>364</v>
      </c>
    </row>
    <row r="1075" spans="1:14">
      <c r="A1075" t="s">
        <v>29</v>
      </c>
      <c r="B1075">
        <v>1185732</v>
      </c>
      <c r="C1075" s="2">
        <v>44511</v>
      </c>
      <c r="D1075" t="s">
        <v>140</v>
      </c>
      <c r="E1075" t="s">
        <v>264</v>
      </c>
      <c r="F1075" t="s">
        <v>268</v>
      </c>
      <c r="G1075" t="s">
        <v>145</v>
      </c>
      <c r="H1075" s="3">
        <v>0.30000000000000004</v>
      </c>
      <c r="I1075">
        <v>1500</v>
      </c>
      <c r="J1075" s="4">
        <v>450.00000000000006</v>
      </c>
      <c r="K1075" s="4">
        <v>157.5</v>
      </c>
      <c r="L1075" s="5">
        <v>0.35</v>
      </c>
      <c r="M1075" t="s">
        <v>134</v>
      </c>
      <c r="N1075" t="s">
        <v>364</v>
      </c>
    </row>
    <row r="1076" spans="1:14">
      <c r="A1076" t="s">
        <v>29</v>
      </c>
      <c r="B1076">
        <v>1185732</v>
      </c>
      <c r="C1076" s="2">
        <v>44511</v>
      </c>
      <c r="D1076" t="s">
        <v>140</v>
      </c>
      <c r="E1076" t="s">
        <v>264</v>
      </c>
      <c r="F1076" t="s">
        <v>268</v>
      </c>
      <c r="G1076" t="s">
        <v>146</v>
      </c>
      <c r="H1076" s="3">
        <v>0.30000000000000004</v>
      </c>
      <c r="I1076">
        <v>950</v>
      </c>
      <c r="J1076" s="4">
        <v>285.00000000000006</v>
      </c>
      <c r="K1076" s="4">
        <v>99.750000000000014</v>
      </c>
      <c r="L1076" s="5">
        <v>0.35</v>
      </c>
      <c r="M1076" t="s">
        <v>134</v>
      </c>
      <c r="N1076" t="s">
        <v>364</v>
      </c>
    </row>
    <row r="1077" spans="1:14">
      <c r="A1077" t="s">
        <v>29</v>
      </c>
      <c r="B1077">
        <v>1185732</v>
      </c>
      <c r="C1077" s="2">
        <v>44511</v>
      </c>
      <c r="D1077" t="s">
        <v>140</v>
      </c>
      <c r="E1077" t="s">
        <v>264</v>
      </c>
      <c r="F1077" t="s">
        <v>268</v>
      </c>
      <c r="G1077" t="s">
        <v>148</v>
      </c>
      <c r="H1077" s="3">
        <v>0.30000000000000004</v>
      </c>
      <c r="I1077">
        <v>1250</v>
      </c>
      <c r="J1077" s="4">
        <v>375.00000000000006</v>
      </c>
      <c r="K1077" s="4">
        <v>150.00000000000003</v>
      </c>
      <c r="L1077" s="5">
        <v>0.4</v>
      </c>
      <c r="M1077" t="s">
        <v>134</v>
      </c>
      <c r="N1077" t="s">
        <v>364</v>
      </c>
    </row>
    <row r="1078" spans="1:14">
      <c r="A1078" t="s">
        <v>29</v>
      </c>
      <c r="B1078">
        <v>1185732</v>
      </c>
      <c r="C1078" s="2">
        <v>44511</v>
      </c>
      <c r="D1078" t="s">
        <v>140</v>
      </c>
      <c r="E1078" t="s">
        <v>264</v>
      </c>
      <c r="F1078" t="s">
        <v>268</v>
      </c>
      <c r="G1078" t="s">
        <v>147</v>
      </c>
      <c r="H1078" s="3">
        <v>0.49999999999999994</v>
      </c>
      <c r="I1078">
        <v>1000</v>
      </c>
      <c r="J1078" s="4">
        <v>499.99999999999994</v>
      </c>
      <c r="K1078" s="4">
        <v>174.99999999999997</v>
      </c>
      <c r="L1078" s="5">
        <v>0.35</v>
      </c>
      <c r="M1078" t="s">
        <v>134</v>
      </c>
      <c r="N1078" t="s">
        <v>364</v>
      </c>
    </row>
    <row r="1079" spans="1:14">
      <c r="A1079" t="s">
        <v>29</v>
      </c>
      <c r="B1079">
        <v>1185732</v>
      </c>
      <c r="C1079" s="2">
        <v>44511</v>
      </c>
      <c r="D1079" t="s">
        <v>140</v>
      </c>
      <c r="E1079" t="s">
        <v>264</v>
      </c>
      <c r="F1079" t="s">
        <v>268</v>
      </c>
      <c r="G1079" t="s">
        <v>144</v>
      </c>
      <c r="H1079" s="3">
        <v>0.54999999999999982</v>
      </c>
      <c r="I1079">
        <v>2000</v>
      </c>
      <c r="J1079" s="4">
        <v>1099.9999999999995</v>
      </c>
      <c r="K1079" s="4">
        <v>549.99999999999977</v>
      </c>
      <c r="L1079" s="5">
        <v>0.5</v>
      </c>
      <c r="M1079" t="s">
        <v>134</v>
      </c>
      <c r="N1079" t="s">
        <v>364</v>
      </c>
    </row>
    <row r="1080" spans="1:14">
      <c r="A1080" t="s">
        <v>29</v>
      </c>
      <c r="B1080">
        <v>1185732</v>
      </c>
      <c r="C1080" s="2">
        <v>44540</v>
      </c>
      <c r="D1080" t="s">
        <v>140</v>
      </c>
      <c r="E1080" t="s">
        <v>264</v>
      </c>
      <c r="F1080" t="s">
        <v>268</v>
      </c>
      <c r="G1080" t="s">
        <v>27</v>
      </c>
      <c r="H1080" s="3">
        <v>0.49999999999999994</v>
      </c>
      <c r="I1080">
        <v>4500</v>
      </c>
      <c r="J1080" s="4">
        <v>2249.9999999999995</v>
      </c>
      <c r="K1080" s="4">
        <v>899.99999999999989</v>
      </c>
      <c r="L1080" s="5">
        <v>0.4</v>
      </c>
      <c r="M1080" t="s">
        <v>23</v>
      </c>
      <c r="N1080" t="s">
        <v>364</v>
      </c>
    </row>
    <row r="1081" spans="1:14">
      <c r="A1081" t="s">
        <v>29</v>
      </c>
      <c r="B1081">
        <v>1185732</v>
      </c>
      <c r="C1081" s="2">
        <v>44540</v>
      </c>
      <c r="D1081" t="s">
        <v>140</v>
      </c>
      <c r="E1081" t="s">
        <v>264</v>
      </c>
      <c r="F1081" t="s">
        <v>268</v>
      </c>
      <c r="G1081" t="s">
        <v>145</v>
      </c>
      <c r="H1081" s="3">
        <v>0.4</v>
      </c>
      <c r="I1081">
        <v>2500</v>
      </c>
      <c r="J1081" s="4">
        <v>1000</v>
      </c>
      <c r="K1081" s="4">
        <v>350</v>
      </c>
      <c r="L1081" s="5">
        <v>0.35</v>
      </c>
      <c r="M1081" t="s">
        <v>23</v>
      </c>
      <c r="N1081" t="s">
        <v>364</v>
      </c>
    </row>
    <row r="1082" spans="1:14">
      <c r="A1082" t="s">
        <v>29</v>
      </c>
      <c r="B1082">
        <v>1185732</v>
      </c>
      <c r="C1082" s="2">
        <v>44540</v>
      </c>
      <c r="D1082" t="s">
        <v>140</v>
      </c>
      <c r="E1082" t="s">
        <v>264</v>
      </c>
      <c r="F1082" t="s">
        <v>268</v>
      </c>
      <c r="G1082" t="s">
        <v>146</v>
      </c>
      <c r="H1082" s="3">
        <v>0.4</v>
      </c>
      <c r="I1082">
        <v>2000</v>
      </c>
      <c r="J1082" s="4">
        <v>800</v>
      </c>
      <c r="K1082" s="4">
        <v>280</v>
      </c>
      <c r="L1082" s="5">
        <v>0.35</v>
      </c>
      <c r="M1082" t="s">
        <v>23</v>
      </c>
      <c r="N1082" t="s">
        <v>364</v>
      </c>
    </row>
    <row r="1083" spans="1:14">
      <c r="A1083" t="s">
        <v>29</v>
      </c>
      <c r="B1083">
        <v>1185732</v>
      </c>
      <c r="C1083" s="2">
        <v>44540</v>
      </c>
      <c r="D1083" t="s">
        <v>140</v>
      </c>
      <c r="E1083" t="s">
        <v>264</v>
      </c>
      <c r="F1083" t="s">
        <v>268</v>
      </c>
      <c r="G1083" t="s">
        <v>148</v>
      </c>
      <c r="H1083" s="3">
        <v>0.4</v>
      </c>
      <c r="I1083">
        <v>1500</v>
      </c>
      <c r="J1083" s="4">
        <v>600</v>
      </c>
      <c r="K1083" s="4">
        <v>240</v>
      </c>
      <c r="L1083" s="5">
        <v>0.4</v>
      </c>
      <c r="M1083" t="s">
        <v>23</v>
      </c>
      <c r="N1083" t="s">
        <v>364</v>
      </c>
    </row>
    <row r="1084" spans="1:14">
      <c r="A1084" t="s">
        <v>29</v>
      </c>
      <c r="B1084">
        <v>1185732</v>
      </c>
      <c r="C1084" s="2">
        <v>44540</v>
      </c>
      <c r="D1084" t="s">
        <v>140</v>
      </c>
      <c r="E1084" t="s">
        <v>264</v>
      </c>
      <c r="F1084" t="s">
        <v>268</v>
      </c>
      <c r="G1084" t="s">
        <v>147</v>
      </c>
      <c r="H1084" s="3">
        <v>0.49999999999999994</v>
      </c>
      <c r="I1084">
        <v>1500</v>
      </c>
      <c r="J1084" s="4">
        <v>749.99999999999989</v>
      </c>
      <c r="K1084" s="4">
        <v>262.49999999999994</v>
      </c>
      <c r="L1084" s="5">
        <v>0.35</v>
      </c>
      <c r="M1084" t="s">
        <v>23</v>
      </c>
      <c r="N1084" t="s">
        <v>364</v>
      </c>
    </row>
    <row r="1085" spans="1:14">
      <c r="A1085" t="s">
        <v>29</v>
      </c>
      <c r="B1085">
        <v>1185732</v>
      </c>
      <c r="C1085" s="2">
        <v>44540</v>
      </c>
      <c r="D1085" t="s">
        <v>140</v>
      </c>
      <c r="E1085" t="s">
        <v>264</v>
      </c>
      <c r="F1085" t="s">
        <v>268</v>
      </c>
      <c r="G1085" t="s">
        <v>144</v>
      </c>
      <c r="H1085" s="3">
        <v>0.54999999999999982</v>
      </c>
      <c r="I1085">
        <v>2500</v>
      </c>
      <c r="J1085" s="4">
        <v>1374.9999999999995</v>
      </c>
      <c r="K1085" s="4">
        <v>687.49999999999977</v>
      </c>
      <c r="L1085" s="5">
        <v>0.5</v>
      </c>
      <c r="M1085" t="s">
        <v>23</v>
      </c>
      <c r="N1085" t="s">
        <v>364</v>
      </c>
    </row>
    <row r="1086" spans="1:14">
      <c r="A1086" t="s">
        <v>152</v>
      </c>
      <c r="B1086">
        <v>1197831</v>
      </c>
      <c r="C1086" s="2">
        <v>44198</v>
      </c>
      <c r="D1086" t="s">
        <v>139</v>
      </c>
      <c r="E1086" t="s">
        <v>205</v>
      </c>
      <c r="F1086" t="s">
        <v>214</v>
      </c>
      <c r="G1086" t="s">
        <v>27</v>
      </c>
      <c r="H1086" s="3">
        <v>0.2</v>
      </c>
      <c r="I1086">
        <v>6750</v>
      </c>
      <c r="J1086" s="4">
        <v>1350</v>
      </c>
      <c r="K1086" s="4">
        <v>540</v>
      </c>
      <c r="L1086" s="5">
        <v>0.39999999999999997</v>
      </c>
      <c r="M1086" t="s">
        <v>125</v>
      </c>
      <c r="N1086" t="s">
        <v>361</v>
      </c>
    </row>
    <row r="1087" spans="1:14">
      <c r="A1087" t="s">
        <v>152</v>
      </c>
      <c r="B1087">
        <v>1197831</v>
      </c>
      <c r="C1087" s="2">
        <v>44198</v>
      </c>
      <c r="D1087" t="s">
        <v>139</v>
      </c>
      <c r="E1087" t="s">
        <v>205</v>
      </c>
      <c r="F1087" t="s">
        <v>214</v>
      </c>
      <c r="G1087" t="s">
        <v>145</v>
      </c>
      <c r="H1087" s="3">
        <v>0.3</v>
      </c>
      <c r="I1087">
        <v>6750</v>
      </c>
      <c r="J1087" s="4">
        <v>2025</v>
      </c>
      <c r="K1087" s="4">
        <v>809.99999999999989</v>
      </c>
      <c r="L1087" s="5">
        <v>0.39999999999999997</v>
      </c>
      <c r="M1087" t="s">
        <v>125</v>
      </c>
      <c r="N1087" t="s">
        <v>361</v>
      </c>
    </row>
    <row r="1088" spans="1:14">
      <c r="A1088" t="s">
        <v>152</v>
      </c>
      <c r="B1088">
        <v>1197831</v>
      </c>
      <c r="C1088" s="2">
        <v>44198</v>
      </c>
      <c r="D1088" t="s">
        <v>139</v>
      </c>
      <c r="E1088" t="s">
        <v>205</v>
      </c>
      <c r="F1088" t="s">
        <v>214</v>
      </c>
      <c r="G1088" t="s">
        <v>146</v>
      </c>
      <c r="H1088" s="3">
        <v>0.3</v>
      </c>
      <c r="I1088">
        <v>4750</v>
      </c>
      <c r="J1088" s="4">
        <v>1425</v>
      </c>
      <c r="K1088" s="4">
        <v>570</v>
      </c>
      <c r="L1088" s="5">
        <v>0.39999999999999997</v>
      </c>
      <c r="M1088" t="s">
        <v>125</v>
      </c>
      <c r="N1088" t="s">
        <v>361</v>
      </c>
    </row>
    <row r="1089" spans="1:14">
      <c r="A1089" t="s">
        <v>152</v>
      </c>
      <c r="B1089">
        <v>1197831</v>
      </c>
      <c r="C1089" s="2">
        <v>44198</v>
      </c>
      <c r="D1089" t="s">
        <v>139</v>
      </c>
      <c r="E1089" t="s">
        <v>205</v>
      </c>
      <c r="F1089" t="s">
        <v>214</v>
      </c>
      <c r="G1089" t="s">
        <v>148</v>
      </c>
      <c r="H1089" s="3">
        <v>0.35</v>
      </c>
      <c r="I1089">
        <v>4750</v>
      </c>
      <c r="J1089" s="4">
        <v>1662.5</v>
      </c>
      <c r="K1089" s="4">
        <v>831.25</v>
      </c>
      <c r="L1089" s="5">
        <v>0.5</v>
      </c>
      <c r="M1089" t="s">
        <v>125</v>
      </c>
      <c r="N1089" t="s">
        <v>361</v>
      </c>
    </row>
    <row r="1090" spans="1:14">
      <c r="A1090" t="s">
        <v>152</v>
      </c>
      <c r="B1090">
        <v>1197831</v>
      </c>
      <c r="C1090" s="2">
        <v>44198</v>
      </c>
      <c r="D1090" t="s">
        <v>139</v>
      </c>
      <c r="E1090" t="s">
        <v>205</v>
      </c>
      <c r="F1090" t="s">
        <v>214</v>
      </c>
      <c r="G1090" t="s">
        <v>147</v>
      </c>
      <c r="H1090" s="3">
        <v>0.4</v>
      </c>
      <c r="I1090">
        <v>3250</v>
      </c>
      <c r="J1090" s="4">
        <v>1300</v>
      </c>
      <c r="K1090" s="4">
        <v>454.99999999999994</v>
      </c>
      <c r="L1090" s="5">
        <v>0.35</v>
      </c>
      <c r="M1090" t="s">
        <v>125</v>
      </c>
      <c r="N1090" t="s">
        <v>361</v>
      </c>
    </row>
    <row r="1091" spans="1:14">
      <c r="A1091" t="s">
        <v>152</v>
      </c>
      <c r="B1091">
        <v>1197831</v>
      </c>
      <c r="C1091" s="2">
        <v>44198</v>
      </c>
      <c r="D1091" t="s">
        <v>139</v>
      </c>
      <c r="E1091" t="s">
        <v>205</v>
      </c>
      <c r="F1091" t="s">
        <v>214</v>
      </c>
      <c r="G1091" t="s">
        <v>144</v>
      </c>
      <c r="H1091" s="3">
        <v>0.35</v>
      </c>
      <c r="I1091">
        <v>4750</v>
      </c>
      <c r="J1091" s="4">
        <v>1662.5</v>
      </c>
      <c r="K1091" s="4">
        <v>914.37500000000011</v>
      </c>
      <c r="L1091" s="5">
        <v>0.55000000000000004</v>
      </c>
      <c r="M1091" t="s">
        <v>125</v>
      </c>
      <c r="N1091" t="s">
        <v>361</v>
      </c>
    </row>
    <row r="1092" spans="1:14">
      <c r="A1092" t="s">
        <v>152</v>
      </c>
      <c r="B1092">
        <v>1197831</v>
      </c>
      <c r="C1092" s="2">
        <v>44228</v>
      </c>
      <c r="D1092" t="s">
        <v>139</v>
      </c>
      <c r="E1092" t="s">
        <v>205</v>
      </c>
      <c r="F1092" t="s">
        <v>214</v>
      </c>
      <c r="G1092" t="s">
        <v>27</v>
      </c>
      <c r="H1092" s="3">
        <v>0.25</v>
      </c>
      <c r="I1092">
        <v>6250</v>
      </c>
      <c r="J1092" s="4">
        <v>1562.5</v>
      </c>
      <c r="K1092" s="4">
        <v>625</v>
      </c>
      <c r="L1092" s="5">
        <v>0.39999999999999997</v>
      </c>
      <c r="M1092" t="s">
        <v>126</v>
      </c>
      <c r="N1092" t="s">
        <v>361</v>
      </c>
    </row>
    <row r="1093" spans="1:14">
      <c r="A1093" t="s">
        <v>152</v>
      </c>
      <c r="B1093">
        <v>1197831</v>
      </c>
      <c r="C1093" s="2">
        <v>44228</v>
      </c>
      <c r="D1093" t="s">
        <v>139</v>
      </c>
      <c r="E1093" t="s">
        <v>205</v>
      </c>
      <c r="F1093" t="s">
        <v>214</v>
      </c>
      <c r="G1093" t="s">
        <v>145</v>
      </c>
      <c r="H1093" s="3">
        <v>0.35</v>
      </c>
      <c r="I1093">
        <v>6000</v>
      </c>
      <c r="J1093" s="4">
        <v>2100</v>
      </c>
      <c r="K1093" s="4">
        <v>839.99999999999989</v>
      </c>
      <c r="L1093" s="5">
        <v>0.39999999999999997</v>
      </c>
      <c r="M1093" t="s">
        <v>126</v>
      </c>
      <c r="N1093" t="s">
        <v>361</v>
      </c>
    </row>
    <row r="1094" spans="1:14">
      <c r="A1094" t="s">
        <v>152</v>
      </c>
      <c r="B1094">
        <v>1197831</v>
      </c>
      <c r="C1094" s="2">
        <v>44228</v>
      </c>
      <c r="D1094" t="s">
        <v>139</v>
      </c>
      <c r="E1094" t="s">
        <v>205</v>
      </c>
      <c r="F1094" t="s">
        <v>214</v>
      </c>
      <c r="G1094" t="s">
        <v>146</v>
      </c>
      <c r="H1094" s="3">
        <v>0.35</v>
      </c>
      <c r="I1094">
        <v>4250</v>
      </c>
      <c r="J1094" s="4">
        <v>1487.5</v>
      </c>
      <c r="K1094" s="4">
        <v>595</v>
      </c>
      <c r="L1094" s="5">
        <v>0.39999999999999997</v>
      </c>
      <c r="M1094" t="s">
        <v>126</v>
      </c>
      <c r="N1094" t="s">
        <v>361</v>
      </c>
    </row>
    <row r="1095" spans="1:14">
      <c r="A1095" t="s">
        <v>152</v>
      </c>
      <c r="B1095">
        <v>1197831</v>
      </c>
      <c r="C1095" s="2">
        <v>44228</v>
      </c>
      <c r="D1095" t="s">
        <v>139</v>
      </c>
      <c r="E1095" t="s">
        <v>205</v>
      </c>
      <c r="F1095" t="s">
        <v>214</v>
      </c>
      <c r="G1095" t="s">
        <v>148</v>
      </c>
      <c r="H1095" s="3">
        <v>0.35</v>
      </c>
      <c r="I1095">
        <v>3750</v>
      </c>
      <c r="J1095" s="4">
        <v>1312.5</v>
      </c>
      <c r="K1095" s="4">
        <v>656.25</v>
      </c>
      <c r="L1095" s="5">
        <v>0.5</v>
      </c>
      <c r="M1095" t="s">
        <v>126</v>
      </c>
      <c r="N1095" t="s">
        <v>361</v>
      </c>
    </row>
    <row r="1096" spans="1:14">
      <c r="A1096" t="s">
        <v>152</v>
      </c>
      <c r="B1096">
        <v>1197831</v>
      </c>
      <c r="C1096" s="2">
        <v>44228</v>
      </c>
      <c r="D1096" t="s">
        <v>139</v>
      </c>
      <c r="E1096" t="s">
        <v>205</v>
      </c>
      <c r="F1096" t="s">
        <v>214</v>
      </c>
      <c r="G1096" t="s">
        <v>147</v>
      </c>
      <c r="H1096" s="3">
        <v>0.4</v>
      </c>
      <c r="I1096">
        <v>2500</v>
      </c>
      <c r="J1096" s="4">
        <v>1000</v>
      </c>
      <c r="K1096" s="4">
        <v>350</v>
      </c>
      <c r="L1096" s="5">
        <v>0.35</v>
      </c>
      <c r="M1096" t="s">
        <v>126</v>
      </c>
      <c r="N1096" t="s">
        <v>361</v>
      </c>
    </row>
    <row r="1097" spans="1:14">
      <c r="A1097" t="s">
        <v>152</v>
      </c>
      <c r="B1097">
        <v>1197831</v>
      </c>
      <c r="C1097" s="2">
        <v>44228</v>
      </c>
      <c r="D1097" t="s">
        <v>139</v>
      </c>
      <c r="E1097" t="s">
        <v>205</v>
      </c>
      <c r="F1097" t="s">
        <v>214</v>
      </c>
      <c r="G1097" t="s">
        <v>144</v>
      </c>
      <c r="H1097" s="3">
        <v>0.35</v>
      </c>
      <c r="I1097">
        <v>4500</v>
      </c>
      <c r="J1097" s="4">
        <v>1575</v>
      </c>
      <c r="K1097" s="4">
        <v>866.25000000000011</v>
      </c>
      <c r="L1097" s="5">
        <v>0.55000000000000004</v>
      </c>
      <c r="M1097" t="s">
        <v>126</v>
      </c>
      <c r="N1097" t="s">
        <v>361</v>
      </c>
    </row>
    <row r="1098" spans="1:14">
      <c r="A1098" t="s">
        <v>152</v>
      </c>
      <c r="B1098">
        <v>1197831</v>
      </c>
      <c r="C1098" s="2">
        <v>44258</v>
      </c>
      <c r="D1098" t="s">
        <v>139</v>
      </c>
      <c r="E1098" t="s">
        <v>205</v>
      </c>
      <c r="F1098" t="s">
        <v>214</v>
      </c>
      <c r="G1098" t="s">
        <v>27</v>
      </c>
      <c r="H1098" s="3">
        <v>0.3</v>
      </c>
      <c r="I1098">
        <v>6250</v>
      </c>
      <c r="J1098" s="4">
        <v>1875</v>
      </c>
      <c r="K1098" s="4">
        <v>843.74999999999989</v>
      </c>
      <c r="L1098" s="5">
        <v>0.44999999999999996</v>
      </c>
      <c r="M1098" t="s">
        <v>24</v>
      </c>
      <c r="N1098" t="s">
        <v>361</v>
      </c>
    </row>
    <row r="1099" spans="1:14">
      <c r="A1099" t="s">
        <v>152</v>
      </c>
      <c r="B1099">
        <v>1197831</v>
      </c>
      <c r="C1099" s="2">
        <v>44258</v>
      </c>
      <c r="D1099" t="s">
        <v>139</v>
      </c>
      <c r="E1099" t="s">
        <v>205</v>
      </c>
      <c r="F1099" t="s">
        <v>214</v>
      </c>
      <c r="G1099" t="s">
        <v>145</v>
      </c>
      <c r="H1099" s="3">
        <v>0.4</v>
      </c>
      <c r="I1099">
        <v>6250</v>
      </c>
      <c r="J1099" s="4">
        <v>2500</v>
      </c>
      <c r="K1099" s="4">
        <v>1125</v>
      </c>
      <c r="L1099" s="5">
        <v>0.44999999999999996</v>
      </c>
      <c r="M1099" t="s">
        <v>24</v>
      </c>
      <c r="N1099" t="s">
        <v>361</v>
      </c>
    </row>
    <row r="1100" spans="1:14">
      <c r="A1100" t="s">
        <v>152</v>
      </c>
      <c r="B1100">
        <v>1197831</v>
      </c>
      <c r="C1100" s="2">
        <v>44258</v>
      </c>
      <c r="D1100" t="s">
        <v>139</v>
      </c>
      <c r="E1100" t="s">
        <v>205</v>
      </c>
      <c r="F1100" t="s">
        <v>214</v>
      </c>
      <c r="G1100" t="s">
        <v>146</v>
      </c>
      <c r="H1100" s="3">
        <v>0.3</v>
      </c>
      <c r="I1100">
        <v>4500</v>
      </c>
      <c r="J1100" s="4">
        <v>1350</v>
      </c>
      <c r="K1100" s="4">
        <v>607.49999999999989</v>
      </c>
      <c r="L1100" s="5">
        <v>0.44999999999999996</v>
      </c>
      <c r="M1100" t="s">
        <v>24</v>
      </c>
      <c r="N1100" t="s">
        <v>361</v>
      </c>
    </row>
    <row r="1101" spans="1:14">
      <c r="A1101" t="s">
        <v>152</v>
      </c>
      <c r="B1101">
        <v>1197831</v>
      </c>
      <c r="C1101" s="2">
        <v>44258</v>
      </c>
      <c r="D1101" t="s">
        <v>139</v>
      </c>
      <c r="E1101" t="s">
        <v>205</v>
      </c>
      <c r="F1101" t="s">
        <v>214</v>
      </c>
      <c r="G1101" t="s">
        <v>148</v>
      </c>
      <c r="H1101" s="3">
        <v>0.35000000000000003</v>
      </c>
      <c r="I1101">
        <v>3500</v>
      </c>
      <c r="J1101" s="4">
        <v>1225.0000000000002</v>
      </c>
      <c r="K1101" s="4">
        <v>673.75000000000023</v>
      </c>
      <c r="L1101" s="5">
        <v>0.55000000000000004</v>
      </c>
      <c r="M1101" t="s">
        <v>24</v>
      </c>
      <c r="N1101" t="s">
        <v>361</v>
      </c>
    </row>
    <row r="1102" spans="1:14">
      <c r="A1102" t="s">
        <v>152</v>
      </c>
      <c r="B1102">
        <v>1197831</v>
      </c>
      <c r="C1102" s="2">
        <v>44258</v>
      </c>
      <c r="D1102" t="s">
        <v>139</v>
      </c>
      <c r="E1102" t="s">
        <v>205</v>
      </c>
      <c r="F1102" t="s">
        <v>214</v>
      </c>
      <c r="G1102" t="s">
        <v>147</v>
      </c>
      <c r="H1102" s="3">
        <v>0.4</v>
      </c>
      <c r="I1102">
        <v>2500</v>
      </c>
      <c r="J1102" s="4">
        <v>1000</v>
      </c>
      <c r="K1102" s="4">
        <v>399.99999999999994</v>
      </c>
      <c r="L1102" s="5">
        <v>0.39999999999999997</v>
      </c>
      <c r="M1102" t="s">
        <v>24</v>
      </c>
      <c r="N1102" t="s">
        <v>361</v>
      </c>
    </row>
    <row r="1103" spans="1:14">
      <c r="A1103" t="s">
        <v>152</v>
      </c>
      <c r="B1103">
        <v>1197831</v>
      </c>
      <c r="C1103" s="2">
        <v>44258</v>
      </c>
      <c r="D1103" t="s">
        <v>139</v>
      </c>
      <c r="E1103" t="s">
        <v>205</v>
      </c>
      <c r="F1103" t="s">
        <v>214</v>
      </c>
      <c r="G1103" t="s">
        <v>144</v>
      </c>
      <c r="H1103" s="3">
        <v>0.35000000000000003</v>
      </c>
      <c r="I1103">
        <v>4000</v>
      </c>
      <c r="J1103" s="4">
        <v>1400.0000000000002</v>
      </c>
      <c r="K1103" s="4">
        <v>840.00000000000023</v>
      </c>
      <c r="L1103" s="5">
        <v>0.60000000000000009</v>
      </c>
      <c r="M1103" t="s">
        <v>24</v>
      </c>
      <c r="N1103" t="s">
        <v>361</v>
      </c>
    </row>
    <row r="1104" spans="1:14">
      <c r="A1104" t="s">
        <v>152</v>
      </c>
      <c r="B1104">
        <v>1197831</v>
      </c>
      <c r="C1104" s="2">
        <v>44288</v>
      </c>
      <c r="D1104" t="s">
        <v>139</v>
      </c>
      <c r="E1104" t="s">
        <v>205</v>
      </c>
      <c r="F1104" t="s">
        <v>214</v>
      </c>
      <c r="G1104" t="s">
        <v>27</v>
      </c>
      <c r="H1104" s="3">
        <v>0.19999999999999998</v>
      </c>
      <c r="I1104">
        <v>6500</v>
      </c>
      <c r="J1104" s="4">
        <v>1300</v>
      </c>
      <c r="K1104" s="4">
        <v>584.99999999999989</v>
      </c>
      <c r="L1104" s="5">
        <v>0.44999999999999996</v>
      </c>
      <c r="M1104" t="s">
        <v>127</v>
      </c>
      <c r="N1104" t="s">
        <v>362</v>
      </c>
    </row>
    <row r="1105" spans="1:14">
      <c r="A1105" t="s">
        <v>152</v>
      </c>
      <c r="B1105">
        <v>1197831</v>
      </c>
      <c r="C1105" s="2">
        <v>44288</v>
      </c>
      <c r="D1105" t="s">
        <v>139</v>
      </c>
      <c r="E1105" t="s">
        <v>205</v>
      </c>
      <c r="F1105" t="s">
        <v>214</v>
      </c>
      <c r="G1105" t="s">
        <v>145</v>
      </c>
      <c r="H1105" s="3">
        <v>0.20000000000000007</v>
      </c>
      <c r="I1105">
        <v>6500</v>
      </c>
      <c r="J1105" s="4">
        <v>1300.0000000000005</v>
      </c>
      <c r="K1105" s="4">
        <v>585.00000000000011</v>
      </c>
      <c r="L1105" s="5">
        <v>0.44999999999999996</v>
      </c>
      <c r="M1105" t="s">
        <v>127</v>
      </c>
      <c r="N1105" t="s">
        <v>362</v>
      </c>
    </row>
    <row r="1106" spans="1:14">
      <c r="A1106" t="s">
        <v>152</v>
      </c>
      <c r="B1106">
        <v>1197831</v>
      </c>
      <c r="C1106" s="2">
        <v>44288</v>
      </c>
      <c r="D1106" t="s">
        <v>139</v>
      </c>
      <c r="E1106" t="s">
        <v>205</v>
      </c>
      <c r="F1106" t="s">
        <v>214</v>
      </c>
      <c r="G1106" t="s">
        <v>146</v>
      </c>
      <c r="H1106" s="3">
        <v>0.14999999999999997</v>
      </c>
      <c r="I1106">
        <v>4750</v>
      </c>
      <c r="J1106" s="4">
        <v>712.49999999999989</v>
      </c>
      <c r="K1106" s="4">
        <v>320.62499999999994</v>
      </c>
      <c r="L1106" s="5">
        <v>0.44999999999999996</v>
      </c>
      <c r="M1106" t="s">
        <v>127</v>
      </c>
      <c r="N1106" t="s">
        <v>362</v>
      </c>
    </row>
    <row r="1107" spans="1:14">
      <c r="A1107" t="s">
        <v>152</v>
      </c>
      <c r="B1107">
        <v>1197831</v>
      </c>
      <c r="C1107" s="2">
        <v>44288</v>
      </c>
      <c r="D1107" t="s">
        <v>139</v>
      </c>
      <c r="E1107" t="s">
        <v>205</v>
      </c>
      <c r="F1107" t="s">
        <v>214</v>
      </c>
      <c r="G1107" t="s">
        <v>148</v>
      </c>
      <c r="H1107" s="3">
        <v>0.20000000000000007</v>
      </c>
      <c r="I1107">
        <v>3750</v>
      </c>
      <c r="J1107" s="4">
        <v>750.00000000000023</v>
      </c>
      <c r="K1107" s="4">
        <v>412.50000000000017</v>
      </c>
      <c r="L1107" s="5">
        <v>0.55000000000000004</v>
      </c>
      <c r="M1107" t="s">
        <v>127</v>
      </c>
      <c r="N1107" t="s">
        <v>362</v>
      </c>
    </row>
    <row r="1108" spans="1:14">
      <c r="A1108" t="s">
        <v>152</v>
      </c>
      <c r="B1108">
        <v>1197831</v>
      </c>
      <c r="C1108" s="2">
        <v>44288</v>
      </c>
      <c r="D1108" t="s">
        <v>139</v>
      </c>
      <c r="E1108" t="s">
        <v>205</v>
      </c>
      <c r="F1108" t="s">
        <v>214</v>
      </c>
      <c r="G1108" t="s">
        <v>147</v>
      </c>
      <c r="H1108" s="3">
        <v>0.25</v>
      </c>
      <c r="I1108">
        <v>2750</v>
      </c>
      <c r="J1108" s="4">
        <v>687.5</v>
      </c>
      <c r="K1108" s="4">
        <v>275</v>
      </c>
      <c r="L1108" s="5">
        <v>0.39999999999999997</v>
      </c>
      <c r="M1108" t="s">
        <v>127</v>
      </c>
      <c r="N1108" t="s">
        <v>362</v>
      </c>
    </row>
    <row r="1109" spans="1:14">
      <c r="A1109" t="s">
        <v>152</v>
      </c>
      <c r="B1109">
        <v>1197831</v>
      </c>
      <c r="C1109" s="2">
        <v>44288</v>
      </c>
      <c r="D1109" t="s">
        <v>139</v>
      </c>
      <c r="E1109" t="s">
        <v>205</v>
      </c>
      <c r="F1109" t="s">
        <v>214</v>
      </c>
      <c r="G1109" t="s">
        <v>144</v>
      </c>
      <c r="H1109" s="3">
        <v>0.20000000000000007</v>
      </c>
      <c r="I1109">
        <v>5500</v>
      </c>
      <c r="J1109" s="4">
        <v>1100.0000000000005</v>
      </c>
      <c r="K1109" s="4">
        <v>660.00000000000034</v>
      </c>
      <c r="L1109" s="5">
        <v>0.60000000000000009</v>
      </c>
      <c r="M1109" t="s">
        <v>127</v>
      </c>
      <c r="N1109" t="s">
        <v>362</v>
      </c>
    </row>
    <row r="1110" spans="1:14">
      <c r="A1110" t="s">
        <v>152</v>
      </c>
      <c r="B1110">
        <v>1197831</v>
      </c>
      <c r="C1110" s="2">
        <v>44318</v>
      </c>
      <c r="D1110" t="s">
        <v>139</v>
      </c>
      <c r="E1110" t="s">
        <v>205</v>
      </c>
      <c r="F1110" t="s">
        <v>214</v>
      </c>
      <c r="G1110" t="s">
        <v>27</v>
      </c>
      <c r="H1110" s="3">
        <v>9.9999999999999964E-2</v>
      </c>
      <c r="I1110">
        <v>7000</v>
      </c>
      <c r="J1110" s="4">
        <v>699.99999999999977</v>
      </c>
      <c r="K1110" s="4">
        <v>314.99999999999989</v>
      </c>
      <c r="L1110" s="5">
        <v>0.44999999999999996</v>
      </c>
      <c r="M1110" t="s">
        <v>128</v>
      </c>
      <c r="N1110" t="s">
        <v>362</v>
      </c>
    </row>
    <row r="1111" spans="1:14">
      <c r="A1111" t="s">
        <v>152</v>
      </c>
      <c r="B1111">
        <v>1197831</v>
      </c>
      <c r="C1111" s="2">
        <v>44318</v>
      </c>
      <c r="D1111" t="s">
        <v>139</v>
      </c>
      <c r="E1111" t="s">
        <v>205</v>
      </c>
      <c r="F1111" t="s">
        <v>214</v>
      </c>
      <c r="G1111" t="s">
        <v>145</v>
      </c>
      <c r="H1111" s="3">
        <v>0.20000000000000007</v>
      </c>
      <c r="I1111">
        <v>7250</v>
      </c>
      <c r="J1111" s="4">
        <v>1450.0000000000005</v>
      </c>
      <c r="K1111" s="4">
        <v>652.50000000000011</v>
      </c>
      <c r="L1111" s="5">
        <v>0.44999999999999996</v>
      </c>
      <c r="M1111" t="s">
        <v>128</v>
      </c>
      <c r="N1111" t="s">
        <v>362</v>
      </c>
    </row>
    <row r="1112" spans="1:14">
      <c r="A1112" t="s">
        <v>152</v>
      </c>
      <c r="B1112">
        <v>1197831</v>
      </c>
      <c r="C1112" s="2">
        <v>44318</v>
      </c>
      <c r="D1112" t="s">
        <v>139</v>
      </c>
      <c r="E1112" t="s">
        <v>205</v>
      </c>
      <c r="F1112" t="s">
        <v>214</v>
      </c>
      <c r="G1112" t="s">
        <v>146</v>
      </c>
      <c r="H1112" s="3">
        <v>0.14999999999999997</v>
      </c>
      <c r="I1112">
        <v>5750</v>
      </c>
      <c r="J1112" s="4">
        <v>862.49999999999977</v>
      </c>
      <c r="K1112" s="4">
        <v>388.12499999999989</v>
      </c>
      <c r="L1112" s="5">
        <v>0.44999999999999996</v>
      </c>
      <c r="M1112" t="s">
        <v>128</v>
      </c>
      <c r="N1112" t="s">
        <v>362</v>
      </c>
    </row>
    <row r="1113" spans="1:14">
      <c r="A1113" t="s">
        <v>152</v>
      </c>
      <c r="B1113">
        <v>1197831</v>
      </c>
      <c r="C1113" s="2">
        <v>44318</v>
      </c>
      <c r="D1113" t="s">
        <v>139</v>
      </c>
      <c r="E1113" t="s">
        <v>205</v>
      </c>
      <c r="F1113" t="s">
        <v>214</v>
      </c>
      <c r="G1113" t="s">
        <v>148</v>
      </c>
      <c r="H1113" s="3">
        <v>0.35000000000000003</v>
      </c>
      <c r="I1113">
        <v>5000</v>
      </c>
      <c r="J1113" s="4">
        <v>1750.0000000000002</v>
      </c>
      <c r="K1113" s="4">
        <v>962.50000000000023</v>
      </c>
      <c r="L1113" s="5">
        <v>0.55000000000000004</v>
      </c>
      <c r="M1113" t="s">
        <v>128</v>
      </c>
      <c r="N1113" t="s">
        <v>362</v>
      </c>
    </row>
    <row r="1114" spans="1:14">
      <c r="A1114" t="s">
        <v>152</v>
      </c>
      <c r="B1114">
        <v>1197831</v>
      </c>
      <c r="C1114" s="2">
        <v>44318</v>
      </c>
      <c r="D1114" t="s">
        <v>139</v>
      </c>
      <c r="E1114" t="s">
        <v>205</v>
      </c>
      <c r="F1114" t="s">
        <v>214</v>
      </c>
      <c r="G1114" t="s">
        <v>147</v>
      </c>
      <c r="H1114" s="3">
        <v>0.5</v>
      </c>
      <c r="I1114">
        <v>4000</v>
      </c>
      <c r="J1114" s="4">
        <v>2000</v>
      </c>
      <c r="K1114" s="4">
        <v>799.99999999999989</v>
      </c>
      <c r="L1114" s="5">
        <v>0.39999999999999997</v>
      </c>
      <c r="M1114" t="s">
        <v>128</v>
      </c>
      <c r="N1114" t="s">
        <v>362</v>
      </c>
    </row>
    <row r="1115" spans="1:14">
      <c r="A1115" t="s">
        <v>152</v>
      </c>
      <c r="B1115">
        <v>1197831</v>
      </c>
      <c r="C1115" s="2">
        <v>44318</v>
      </c>
      <c r="D1115" t="s">
        <v>139</v>
      </c>
      <c r="E1115" t="s">
        <v>205</v>
      </c>
      <c r="F1115" t="s">
        <v>214</v>
      </c>
      <c r="G1115" t="s">
        <v>144</v>
      </c>
      <c r="H1115" s="3">
        <v>0.45</v>
      </c>
      <c r="I1115">
        <v>7500</v>
      </c>
      <c r="J1115" s="4">
        <v>3375</v>
      </c>
      <c r="K1115" s="4">
        <v>2025.0000000000002</v>
      </c>
      <c r="L1115" s="5">
        <v>0.60000000000000009</v>
      </c>
      <c r="M1115" t="s">
        <v>128</v>
      </c>
      <c r="N1115" t="s">
        <v>362</v>
      </c>
    </row>
    <row r="1116" spans="1:14">
      <c r="A1116" t="s">
        <v>152</v>
      </c>
      <c r="B1116">
        <v>1197831</v>
      </c>
      <c r="C1116" s="2">
        <v>44348</v>
      </c>
      <c r="D1116" t="s">
        <v>139</v>
      </c>
      <c r="E1116" t="s">
        <v>205</v>
      </c>
      <c r="F1116" t="s">
        <v>214</v>
      </c>
      <c r="G1116" t="s">
        <v>27</v>
      </c>
      <c r="H1116" s="3">
        <v>0.45</v>
      </c>
      <c r="I1116">
        <v>7500</v>
      </c>
      <c r="J1116" s="4">
        <v>3375</v>
      </c>
      <c r="K1116" s="4">
        <v>1518.7499999999998</v>
      </c>
      <c r="L1116" s="5">
        <v>0.44999999999999996</v>
      </c>
      <c r="M1116" t="s">
        <v>129</v>
      </c>
      <c r="N1116" t="s">
        <v>362</v>
      </c>
    </row>
    <row r="1117" spans="1:14">
      <c r="A1117" t="s">
        <v>152</v>
      </c>
      <c r="B1117">
        <v>1197831</v>
      </c>
      <c r="C1117" s="2">
        <v>44348</v>
      </c>
      <c r="D1117" t="s">
        <v>139</v>
      </c>
      <c r="E1117" t="s">
        <v>205</v>
      </c>
      <c r="F1117" t="s">
        <v>214</v>
      </c>
      <c r="G1117" t="s">
        <v>145</v>
      </c>
      <c r="H1117" s="3">
        <v>0.5</v>
      </c>
      <c r="I1117">
        <v>7500</v>
      </c>
      <c r="J1117" s="4">
        <v>3750</v>
      </c>
      <c r="K1117" s="4">
        <v>1687.4999999999998</v>
      </c>
      <c r="L1117" s="5">
        <v>0.44999999999999996</v>
      </c>
      <c r="M1117" t="s">
        <v>129</v>
      </c>
      <c r="N1117" t="s">
        <v>362</v>
      </c>
    </row>
    <row r="1118" spans="1:14">
      <c r="A1118" t="s">
        <v>152</v>
      </c>
      <c r="B1118">
        <v>1197831</v>
      </c>
      <c r="C1118" s="2">
        <v>44348</v>
      </c>
      <c r="D1118" t="s">
        <v>139</v>
      </c>
      <c r="E1118" t="s">
        <v>205</v>
      </c>
      <c r="F1118" t="s">
        <v>214</v>
      </c>
      <c r="G1118" t="s">
        <v>146</v>
      </c>
      <c r="H1118" s="3">
        <v>0.45</v>
      </c>
      <c r="I1118">
        <v>6500</v>
      </c>
      <c r="J1118" s="4">
        <v>2925</v>
      </c>
      <c r="K1118" s="4">
        <v>1316.2499999999998</v>
      </c>
      <c r="L1118" s="5">
        <v>0.44999999999999996</v>
      </c>
      <c r="M1118" t="s">
        <v>129</v>
      </c>
      <c r="N1118" t="s">
        <v>362</v>
      </c>
    </row>
    <row r="1119" spans="1:14">
      <c r="A1119" t="s">
        <v>152</v>
      </c>
      <c r="B1119">
        <v>1197831</v>
      </c>
      <c r="C1119" s="2">
        <v>44348</v>
      </c>
      <c r="D1119" t="s">
        <v>139</v>
      </c>
      <c r="E1119" t="s">
        <v>205</v>
      </c>
      <c r="F1119" t="s">
        <v>214</v>
      </c>
      <c r="G1119" t="s">
        <v>148</v>
      </c>
      <c r="H1119" s="3">
        <v>0.45</v>
      </c>
      <c r="I1119">
        <v>6000</v>
      </c>
      <c r="J1119" s="4">
        <v>2700</v>
      </c>
      <c r="K1119" s="4">
        <v>1485.0000000000002</v>
      </c>
      <c r="L1119" s="5">
        <v>0.55000000000000004</v>
      </c>
      <c r="M1119" t="s">
        <v>129</v>
      </c>
      <c r="N1119" t="s">
        <v>362</v>
      </c>
    </row>
    <row r="1120" spans="1:14">
      <c r="A1120" t="s">
        <v>152</v>
      </c>
      <c r="B1120">
        <v>1197831</v>
      </c>
      <c r="C1120" s="2">
        <v>44348</v>
      </c>
      <c r="D1120" t="s">
        <v>139</v>
      </c>
      <c r="E1120" t="s">
        <v>205</v>
      </c>
      <c r="F1120" t="s">
        <v>214</v>
      </c>
      <c r="G1120" t="s">
        <v>147</v>
      </c>
      <c r="H1120" s="3">
        <v>0.5</v>
      </c>
      <c r="I1120">
        <v>5000</v>
      </c>
      <c r="J1120" s="4">
        <v>2500</v>
      </c>
      <c r="K1120" s="4">
        <v>999.99999999999989</v>
      </c>
      <c r="L1120" s="5">
        <v>0.39999999999999997</v>
      </c>
      <c r="M1120" t="s">
        <v>129</v>
      </c>
      <c r="N1120" t="s">
        <v>362</v>
      </c>
    </row>
    <row r="1121" spans="1:14">
      <c r="A1121" t="s">
        <v>152</v>
      </c>
      <c r="B1121">
        <v>1197831</v>
      </c>
      <c r="C1121" s="2">
        <v>44348</v>
      </c>
      <c r="D1121" t="s">
        <v>139</v>
      </c>
      <c r="E1121" t="s">
        <v>205</v>
      </c>
      <c r="F1121" t="s">
        <v>214</v>
      </c>
      <c r="G1121" t="s">
        <v>144</v>
      </c>
      <c r="H1121" s="3">
        <v>0.55000000000000004</v>
      </c>
      <c r="I1121">
        <v>8750</v>
      </c>
      <c r="J1121" s="4">
        <v>4812.5</v>
      </c>
      <c r="K1121" s="4">
        <v>2887.5000000000005</v>
      </c>
      <c r="L1121" s="5">
        <v>0.60000000000000009</v>
      </c>
      <c r="M1121" t="s">
        <v>129</v>
      </c>
      <c r="N1121" t="s">
        <v>362</v>
      </c>
    </row>
    <row r="1122" spans="1:14">
      <c r="A1122" t="s">
        <v>152</v>
      </c>
      <c r="B1122">
        <v>1197831</v>
      </c>
      <c r="C1122" s="2">
        <v>44380</v>
      </c>
      <c r="D1122" t="s">
        <v>139</v>
      </c>
      <c r="E1122" t="s">
        <v>205</v>
      </c>
      <c r="F1122" t="s">
        <v>214</v>
      </c>
      <c r="G1122" t="s">
        <v>27</v>
      </c>
      <c r="H1122" s="3">
        <v>0.45</v>
      </c>
      <c r="I1122">
        <v>8250</v>
      </c>
      <c r="J1122" s="4">
        <v>3712.5</v>
      </c>
      <c r="K1122" s="4">
        <v>1856.2499999999998</v>
      </c>
      <c r="L1122" s="5">
        <v>0.49999999999999994</v>
      </c>
      <c r="M1122" t="s">
        <v>130</v>
      </c>
      <c r="N1122" t="s">
        <v>363</v>
      </c>
    </row>
    <row r="1123" spans="1:14">
      <c r="A1123" t="s">
        <v>152</v>
      </c>
      <c r="B1123">
        <v>1197831</v>
      </c>
      <c r="C1123" s="2">
        <v>44380</v>
      </c>
      <c r="D1123" t="s">
        <v>139</v>
      </c>
      <c r="E1123" t="s">
        <v>205</v>
      </c>
      <c r="F1123" t="s">
        <v>214</v>
      </c>
      <c r="G1123" t="s">
        <v>145</v>
      </c>
      <c r="H1123" s="3">
        <v>0.5</v>
      </c>
      <c r="I1123">
        <v>8250</v>
      </c>
      <c r="J1123" s="4">
        <v>4125</v>
      </c>
      <c r="K1123" s="4">
        <v>2062.4999999999995</v>
      </c>
      <c r="L1123" s="5">
        <v>0.49999999999999994</v>
      </c>
      <c r="M1123" t="s">
        <v>130</v>
      </c>
      <c r="N1123" t="s">
        <v>363</v>
      </c>
    </row>
    <row r="1124" spans="1:14">
      <c r="A1124" t="s">
        <v>152</v>
      </c>
      <c r="B1124">
        <v>1197831</v>
      </c>
      <c r="C1124" s="2">
        <v>44380</v>
      </c>
      <c r="D1124" t="s">
        <v>139</v>
      </c>
      <c r="E1124" t="s">
        <v>205</v>
      </c>
      <c r="F1124" t="s">
        <v>214</v>
      </c>
      <c r="G1124" t="s">
        <v>146</v>
      </c>
      <c r="H1124" s="3">
        <v>0.45</v>
      </c>
      <c r="I1124">
        <v>9750</v>
      </c>
      <c r="J1124" s="4">
        <v>4387.5</v>
      </c>
      <c r="K1124" s="4">
        <v>2193.7499999999995</v>
      </c>
      <c r="L1124" s="5">
        <v>0.49999999999999994</v>
      </c>
      <c r="M1124" t="s">
        <v>130</v>
      </c>
      <c r="N1124" t="s">
        <v>363</v>
      </c>
    </row>
    <row r="1125" spans="1:14">
      <c r="A1125" t="s">
        <v>152</v>
      </c>
      <c r="B1125">
        <v>1197831</v>
      </c>
      <c r="C1125" s="2">
        <v>44380</v>
      </c>
      <c r="D1125" t="s">
        <v>139</v>
      </c>
      <c r="E1125" t="s">
        <v>205</v>
      </c>
      <c r="F1125" t="s">
        <v>214</v>
      </c>
      <c r="G1125" t="s">
        <v>148</v>
      </c>
      <c r="H1125" s="3">
        <v>0.45</v>
      </c>
      <c r="I1125">
        <v>5750</v>
      </c>
      <c r="J1125" s="4">
        <v>2587.5</v>
      </c>
      <c r="K1125" s="4">
        <v>1552.5000000000002</v>
      </c>
      <c r="L1125" s="5">
        <v>0.60000000000000009</v>
      </c>
      <c r="M1125" t="s">
        <v>130</v>
      </c>
      <c r="N1125" t="s">
        <v>363</v>
      </c>
    </row>
    <row r="1126" spans="1:14">
      <c r="A1126" t="s">
        <v>152</v>
      </c>
      <c r="B1126">
        <v>1197831</v>
      </c>
      <c r="C1126" s="2">
        <v>44380</v>
      </c>
      <c r="D1126" t="s">
        <v>139</v>
      </c>
      <c r="E1126" t="s">
        <v>205</v>
      </c>
      <c r="F1126" t="s">
        <v>214</v>
      </c>
      <c r="G1126" t="s">
        <v>147</v>
      </c>
      <c r="H1126" s="3">
        <v>0.5</v>
      </c>
      <c r="I1126">
        <v>5250</v>
      </c>
      <c r="J1126" s="4">
        <v>2625</v>
      </c>
      <c r="K1126" s="4">
        <v>1181.2499999999998</v>
      </c>
      <c r="L1126" s="5">
        <v>0.44999999999999996</v>
      </c>
      <c r="M1126" t="s">
        <v>130</v>
      </c>
      <c r="N1126" t="s">
        <v>363</v>
      </c>
    </row>
    <row r="1127" spans="1:14">
      <c r="A1127" t="s">
        <v>152</v>
      </c>
      <c r="B1127">
        <v>1197831</v>
      </c>
      <c r="C1127" s="2">
        <v>44380</v>
      </c>
      <c r="D1127" t="s">
        <v>139</v>
      </c>
      <c r="E1127" t="s">
        <v>205</v>
      </c>
      <c r="F1127" t="s">
        <v>214</v>
      </c>
      <c r="G1127" t="s">
        <v>144</v>
      </c>
      <c r="H1127" s="3">
        <v>0.6</v>
      </c>
      <c r="I1127">
        <v>8000</v>
      </c>
      <c r="J1127" s="4">
        <v>4800</v>
      </c>
      <c r="K1127" s="4">
        <v>3120.0000000000005</v>
      </c>
      <c r="L1127" s="5">
        <v>0.65000000000000013</v>
      </c>
      <c r="M1127" t="s">
        <v>130</v>
      </c>
      <c r="N1127" t="s">
        <v>363</v>
      </c>
    </row>
    <row r="1128" spans="1:14">
      <c r="A1128" t="s">
        <v>152</v>
      </c>
      <c r="B1128">
        <v>1197831</v>
      </c>
      <c r="C1128" s="2">
        <v>44413</v>
      </c>
      <c r="D1128" t="s">
        <v>139</v>
      </c>
      <c r="E1128" t="s">
        <v>205</v>
      </c>
      <c r="F1128" t="s">
        <v>214</v>
      </c>
      <c r="G1128" t="s">
        <v>27</v>
      </c>
      <c r="H1128" s="3">
        <v>0.4</v>
      </c>
      <c r="I1128">
        <v>7500</v>
      </c>
      <c r="J1128" s="4">
        <v>3000</v>
      </c>
      <c r="K1128" s="4">
        <v>1499.9999999999998</v>
      </c>
      <c r="L1128" s="5">
        <v>0.49999999999999994</v>
      </c>
      <c r="M1128" t="s">
        <v>131</v>
      </c>
      <c r="N1128" t="s">
        <v>363</v>
      </c>
    </row>
    <row r="1129" spans="1:14">
      <c r="A1129" t="s">
        <v>152</v>
      </c>
      <c r="B1129">
        <v>1197831</v>
      </c>
      <c r="C1129" s="2">
        <v>44413</v>
      </c>
      <c r="D1129" t="s">
        <v>139</v>
      </c>
      <c r="E1129" t="s">
        <v>205</v>
      </c>
      <c r="F1129" t="s">
        <v>214</v>
      </c>
      <c r="G1129" t="s">
        <v>145</v>
      </c>
      <c r="H1129" s="3">
        <v>0.55000000000000004</v>
      </c>
      <c r="I1129">
        <v>7500</v>
      </c>
      <c r="J1129" s="4">
        <v>4125</v>
      </c>
      <c r="K1129" s="4">
        <v>2062.4999999999995</v>
      </c>
      <c r="L1129" s="5">
        <v>0.49999999999999994</v>
      </c>
      <c r="M1129" t="s">
        <v>131</v>
      </c>
      <c r="N1129" t="s">
        <v>363</v>
      </c>
    </row>
    <row r="1130" spans="1:14">
      <c r="A1130" t="s">
        <v>152</v>
      </c>
      <c r="B1130">
        <v>1197831</v>
      </c>
      <c r="C1130" s="2">
        <v>44413</v>
      </c>
      <c r="D1130" t="s">
        <v>139</v>
      </c>
      <c r="E1130" t="s">
        <v>205</v>
      </c>
      <c r="F1130" t="s">
        <v>214</v>
      </c>
      <c r="G1130" t="s">
        <v>146</v>
      </c>
      <c r="H1130" s="3">
        <v>0.55000000000000004</v>
      </c>
      <c r="I1130">
        <v>9250</v>
      </c>
      <c r="J1130" s="4">
        <v>5087.5</v>
      </c>
      <c r="K1130" s="4">
        <v>2543.7499999999995</v>
      </c>
      <c r="L1130" s="5">
        <v>0.49999999999999994</v>
      </c>
      <c r="M1130" t="s">
        <v>131</v>
      </c>
      <c r="N1130" t="s">
        <v>363</v>
      </c>
    </row>
    <row r="1131" spans="1:14">
      <c r="A1131" t="s">
        <v>152</v>
      </c>
      <c r="B1131">
        <v>1197831</v>
      </c>
      <c r="C1131" s="2">
        <v>44413</v>
      </c>
      <c r="D1131" t="s">
        <v>139</v>
      </c>
      <c r="E1131" t="s">
        <v>205</v>
      </c>
      <c r="F1131" t="s">
        <v>214</v>
      </c>
      <c r="G1131" t="s">
        <v>148</v>
      </c>
      <c r="H1131" s="3">
        <v>0.5</v>
      </c>
      <c r="I1131">
        <v>4250</v>
      </c>
      <c r="J1131" s="4">
        <v>2125</v>
      </c>
      <c r="K1131" s="4">
        <v>1275.0000000000002</v>
      </c>
      <c r="L1131" s="5">
        <v>0.60000000000000009</v>
      </c>
      <c r="M1131" t="s">
        <v>131</v>
      </c>
      <c r="N1131" t="s">
        <v>363</v>
      </c>
    </row>
    <row r="1132" spans="1:14">
      <c r="A1132" t="s">
        <v>152</v>
      </c>
      <c r="B1132">
        <v>1197831</v>
      </c>
      <c r="C1132" s="2">
        <v>44413</v>
      </c>
      <c r="D1132" t="s">
        <v>139</v>
      </c>
      <c r="E1132" t="s">
        <v>205</v>
      </c>
      <c r="F1132" t="s">
        <v>214</v>
      </c>
      <c r="G1132" t="s">
        <v>147</v>
      </c>
      <c r="H1132" s="3">
        <v>0.55000000000000004</v>
      </c>
      <c r="I1132">
        <v>4250</v>
      </c>
      <c r="J1132" s="4">
        <v>2337.5</v>
      </c>
      <c r="K1132" s="4">
        <v>1051.875</v>
      </c>
      <c r="L1132" s="5">
        <v>0.44999999999999996</v>
      </c>
      <c r="M1132" t="s">
        <v>131</v>
      </c>
      <c r="N1132" t="s">
        <v>363</v>
      </c>
    </row>
    <row r="1133" spans="1:14">
      <c r="A1133" t="s">
        <v>152</v>
      </c>
      <c r="B1133">
        <v>1197831</v>
      </c>
      <c r="C1133" s="2">
        <v>44413</v>
      </c>
      <c r="D1133" t="s">
        <v>139</v>
      </c>
      <c r="E1133" t="s">
        <v>205</v>
      </c>
      <c r="F1133" t="s">
        <v>214</v>
      </c>
      <c r="G1133" t="s">
        <v>144</v>
      </c>
      <c r="H1133" s="3">
        <v>0.6</v>
      </c>
      <c r="I1133">
        <v>6750</v>
      </c>
      <c r="J1133" s="4">
        <v>4050</v>
      </c>
      <c r="K1133" s="4">
        <v>2632.5000000000005</v>
      </c>
      <c r="L1133" s="5">
        <v>0.65000000000000013</v>
      </c>
      <c r="M1133" t="s">
        <v>131</v>
      </c>
      <c r="N1133" t="s">
        <v>363</v>
      </c>
    </row>
    <row r="1134" spans="1:14">
      <c r="A1134" t="s">
        <v>152</v>
      </c>
      <c r="B1134">
        <v>1197831</v>
      </c>
      <c r="C1134" s="2">
        <v>44441</v>
      </c>
      <c r="D1134" t="s">
        <v>139</v>
      </c>
      <c r="E1134" t="s">
        <v>205</v>
      </c>
      <c r="F1134" t="s">
        <v>214</v>
      </c>
      <c r="G1134" t="s">
        <v>27</v>
      </c>
      <c r="H1134" s="3">
        <v>0.55000000000000004</v>
      </c>
      <c r="I1134">
        <v>6250</v>
      </c>
      <c r="J1134" s="4">
        <v>3437.5000000000005</v>
      </c>
      <c r="K1134" s="4">
        <v>1718.75</v>
      </c>
      <c r="L1134" s="5">
        <v>0.49999999999999994</v>
      </c>
      <c r="M1134" t="s">
        <v>132</v>
      </c>
      <c r="N1134" t="s">
        <v>363</v>
      </c>
    </row>
    <row r="1135" spans="1:14">
      <c r="A1135" t="s">
        <v>152</v>
      </c>
      <c r="B1135">
        <v>1197831</v>
      </c>
      <c r="C1135" s="2">
        <v>44441</v>
      </c>
      <c r="D1135" t="s">
        <v>139</v>
      </c>
      <c r="E1135" t="s">
        <v>205</v>
      </c>
      <c r="F1135" t="s">
        <v>214</v>
      </c>
      <c r="G1135" t="s">
        <v>145</v>
      </c>
      <c r="H1135" s="3">
        <v>0.55000000000000004</v>
      </c>
      <c r="I1135">
        <v>5750</v>
      </c>
      <c r="J1135" s="4">
        <v>3162.5000000000005</v>
      </c>
      <c r="K1135" s="4">
        <v>1581.25</v>
      </c>
      <c r="L1135" s="5">
        <v>0.49999999999999994</v>
      </c>
      <c r="M1135" t="s">
        <v>132</v>
      </c>
      <c r="N1135" t="s">
        <v>363</v>
      </c>
    </row>
    <row r="1136" spans="1:14">
      <c r="A1136" t="s">
        <v>152</v>
      </c>
      <c r="B1136">
        <v>1197831</v>
      </c>
      <c r="C1136" s="2">
        <v>44441</v>
      </c>
      <c r="D1136" t="s">
        <v>139</v>
      </c>
      <c r="E1136" t="s">
        <v>205</v>
      </c>
      <c r="F1136" t="s">
        <v>214</v>
      </c>
      <c r="G1136" t="s">
        <v>146</v>
      </c>
      <c r="H1136" s="3">
        <v>0.6</v>
      </c>
      <c r="I1136">
        <v>6250</v>
      </c>
      <c r="J1136" s="4">
        <v>3750</v>
      </c>
      <c r="K1136" s="4">
        <v>1874.9999999999998</v>
      </c>
      <c r="L1136" s="5">
        <v>0.49999999999999994</v>
      </c>
      <c r="M1136" t="s">
        <v>132</v>
      </c>
      <c r="N1136" t="s">
        <v>363</v>
      </c>
    </row>
    <row r="1137" spans="1:14">
      <c r="A1137" t="s">
        <v>152</v>
      </c>
      <c r="B1137">
        <v>1197831</v>
      </c>
      <c r="C1137" s="2">
        <v>44441</v>
      </c>
      <c r="D1137" t="s">
        <v>139</v>
      </c>
      <c r="E1137" t="s">
        <v>205</v>
      </c>
      <c r="F1137" t="s">
        <v>214</v>
      </c>
      <c r="G1137" t="s">
        <v>148</v>
      </c>
      <c r="H1137" s="3">
        <v>0.6</v>
      </c>
      <c r="I1137">
        <v>3500</v>
      </c>
      <c r="J1137" s="4">
        <v>2100</v>
      </c>
      <c r="K1137" s="4">
        <v>1260.0000000000002</v>
      </c>
      <c r="L1137" s="5">
        <v>0.60000000000000009</v>
      </c>
      <c r="M1137" t="s">
        <v>132</v>
      </c>
      <c r="N1137" t="s">
        <v>363</v>
      </c>
    </row>
    <row r="1138" spans="1:14">
      <c r="A1138" t="s">
        <v>152</v>
      </c>
      <c r="B1138">
        <v>1197831</v>
      </c>
      <c r="C1138" s="2">
        <v>44441</v>
      </c>
      <c r="D1138" t="s">
        <v>139</v>
      </c>
      <c r="E1138" t="s">
        <v>205</v>
      </c>
      <c r="F1138" t="s">
        <v>214</v>
      </c>
      <c r="G1138" t="s">
        <v>147</v>
      </c>
      <c r="H1138" s="3">
        <v>0.45</v>
      </c>
      <c r="I1138">
        <v>3500</v>
      </c>
      <c r="J1138" s="4">
        <v>1575</v>
      </c>
      <c r="K1138" s="4">
        <v>708.74999999999989</v>
      </c>
      <c r="L1138" s="5">
        <v>0.44999999999999996</v>
      </c>
      <c r="M1138" t="s">
        <v>132</v>
      </c>
      <c r="N1138" t="s">
        <v>363</v>
      </c>
    </row>
    <row r="1139" spans="1:14">
      <c r="A1139" t="s">
        <v>152</v>
      </c>
      <c r="B1139">
        <v>1197831</v>
      </c>
      <c r="C1139" s="2">
        <v>44441</v>
      </c>
      <c r="D1139" t="s">
        <v>139</v>
      </c>
      <c r="E1139" t="s">
        <v>205</v>
      </c>
      <c r="F1139" t="s">
        <v>214</v>
      </c>
      <c r="G1139" t="s">
        <v>144</v>
      </c>
      <c r="H1139" s="3">
        <v>0.4</v>
      </c>
      <c r="I1139">
        <v>5750</v>
      </c>
      <c r="J1139" s="4">
        <v>2300</v>
      </c>
      <c r="K1139" s="4">
        <v>1495.0000000000002</v>
      </c>
      <c r="L1139" s="5">
        <v>0.65000000000000013</v>
      </c>
      <c r="M1139" t="s">
        <v>132</v>
      </c>
      <c r="N1139" t="s">
        <v>363</v>
      </c>
    </row>
    <row r="1140" spans="1:14">
      <c r="A1140" t="s">
        <v>152</v>
      </c>
      <c r="B1140">
        <v>1197831</v>
      </c>
      <c r="C1140" s="2">
        <v>44470</v>
      </c>
      <c r="D1140" t="s">
        <v>139</v>
      </c>
      <c r="E1140" t="s">
        <v>205</v>
      </c>
      <c r="F1140" t="s">
        <v>214</v>
      </c>
      <c r="G1140" t="s">
        <v>27</v>
      </c>
      <c r="H1140" s="3">
        <v>0.30000000000000004</v>
      </c>
      <c r="I1140">
        <v>5250</v>
      </c>
      <c r="J1140" s="4">
        <v>1575.0000000000002</v>
      </c>
      <c r="K1140" s="4">
        <v>787.5</v>
      </c>
      <c r="L1140" s="5">
        <v>0.49999999999999994</v>
      </c>
      <c r="M1140" t="s">
        <v>133</v>
      </c>
      <c r="N1140" t="s">
        <v>364</v>
      </c>
    </row>
    <row r="1141" spans="1:14">
      <c r="A1141" t="s">
        <v>152</v>
      </c>
      <c r="B1141">
        <v>1197831</v>
      </c>
      <c r="C1141" s="2">
        <v>44470</v>
      </c>
      <c r="D1141" t="s">
        <v>139</v>
      </c>
      <c r="E1141" t="s">
        <v>205</v>
      </c>
      <c r="F1141" t="s">
        <v>214</v>
      </c>
      <c r="G1141" t="s">
        <v>145</v>
      </c>
      <c r="H1141" s="3">
        <v>0.30000000000000004</v>
      </c>
      <c r="I1141">
        <v>5250</v>
      </c>
      <c r="J1141" s="4">
        <v>1575.0000000000002</v>
      </c>
      <c r="K1141" s="4">
        <v>787.5</v>
      </c>
      <c r="L1141" s="5">
        <v>0.49999999999999994</v>
      </c>
      <c r="M1141" t="s">
        <v>133</v>
      </c>
      <c r="N1141" t="s">
        <v>364</v>
      </c>
    </row>
    <row r="1142" spans="1:14">
      <c r="A1142" t="s">
        <v>152</v>
      </c>
      <c r="B1142">
        <v>1197831</v>
      </c>
      <c r="C1142" s="2">
        <v>44470</v>
      </c>
      <c r="D1142" t="s">
        <v>139</v>
      </c>
      <c r="E1142" t="s">
        <v>205</v>
      </c>
      <c r="F1142" t="s">
        <v>214</v>
      </c>
      <c r="G1142" t="s">
        <v>146</v>
      </c>
      <c r="H1142" s="3">
        <v>0.35000000000000003</v>
      </c>
      <c r="I1142">
        <v>4750</v>
      </c>
      <c r="J1142" s="4">
        <v>1662.5000000000002</v>
      </c>
      <c r="K1142" s="4">
        <v>831.25</v>
      </c>
      <c r="L1142" s="5">
        <v>0.49999999999999994</v>
      </c>
      <c r="M1142" t="s">
        <v>133</v>
      </c>
      <c r="N1142" t="s">
        <v>364</v>
      </c>
    </row>
    <row r="1143" spans="1:14">
      <c r="A1143" t="s">
        <v>152</v>
      </c>
      <c r="B1143">
        <v>1197831</v>
      </c>
      <c r="C1143" s="2">
        <v>44470</v>
      </c>
      <c r="D1143" t="s">
        <v>139</v>
      </c>
      <c r="E1143" t="s">
        <v>205</v>
      </c>
      <c r="F1143" t="s">
        <v>214</v>
      </c>
      <c r="G1143" t="s">
        <v>148</v>
      </c>
      <c r="H1143" s="3">
        <v>0.35000000000000003</v>
      </c>
      <c r="I1143">
        <v>3250</v>
      </c>
      <c r="J1143" s="4">
        <v>1137.5</v>
      </c>
      <c r="K1143" s="4">
        <v>682.50000000000011</v>
      </c>
      <c r="L1143" s="5">
        <v>0.60000000000000009</v>
      </c>
      <c r="M1143" t="s">
        <v>133</v>
      </c>
      <c r="N1143" t="s">
        <v>364</v>
      </c>
    </row>
    <row r="1144" spans="1:14">
      <c r="A1144" t="s">
        <v>152</v>
      </c>
      <c r="B1144">
        <v>1197831</v>
      </c>
      <c r="C1144" s="2">
        <v>44470</v>
      </c>
      <c r="D1144" t="s">
        <v>139</v>
      </c>
      <c r="E1144" t="s">
        <v>205</v>
      </c>
      <c r="F1144" t="s">
        <v>214</v>
      </c>
      <c r="G1144" t="s">
        <v>147</v>
      </c>
      <c r="H1144" s="3">
        <v>0.30000000000000004</v>
      </c>
      <c r="I1144">
        <v>3000</v>
      </c>
      <c r="J1144" s="4">
        <v>900.00000000000011</v>
      </c>
      <c r="K1144" s="4">
        <v>405</v>
      </c>
      <c r="L1144" s="5">
        <v>0.44999999999999996</v>
      </c>
      <c r="M1144" t="s">
        <v>133</v>
      </c>
      <c r="N1144" t="s">
        <v>364</v>
      </c>
    </row>
    <row r="1145" spans="1:14">
      <c r="A1145" t="s">
        <v>152</v>
      </c>
      <c r="B1145">
        <v>1197831</v>
      </c>
      <c r="C1145" s="2">
        <v>44470</v>
      </c>
      <c r="D1145" t="s">
        <v>139</v>
      </c>
      <c r="E1145" t="s">
        <v>205</v>
      </c>
      <c r="F1145" t="s">
        <v>214</v>
      </c>
      <c r="G1145" t="s">
        <v>144</v>
      </c>
      <c r="H1145" s="3">
        <v>0.4</v>
      </c>
      <c r="I1145">
        <v>4750</v>
      </c>
      <c r="J1145" s="4">
        <v>1900</v>
      </c>
      <c r="K1145" s="4">
        <v>1235.0000000000002</v>
      </c>
      <c r="L1145" s="5">
        <v>0.65000000000000013</v>
      </c>
      <c r="M1145" t="s">
        <v>133</v>
      </c>
      <c r="N1145" t="s">
        <v>364</v>
      </c>
    </row>
    <row r="1146" spans="1:14">
      <c r="A1146" t="s">
        <v>152</v>
      </c>
      <c r="B1146">
        <v>1197831</v>
      </c>
      <c r="C1146" s="2">
        <v>44502</v>
      </c>
      <c r="D1146" t="s">
        <v>139</v>
      </c>
      <c r="E1146" t="s">
        <v>205</v>
      </c>
      <c r="F1146" t="s">
        <v>214</v>
      </c>
      <c r="G1146" t="s">
        <v>27</v>
      </c>
      <c r="H1146" s="3">
        <v>0.20000000000000004</v>
      </c>
      <c r="I1146">
        <v>6250</v>
      </c>
      <c r="J1146" s="4">
        <v>1250.0000000000002</v>
      </c>
      <c r="K1146" s="4">
        <v>625</v>
      </c>
      <c r="L1146" s="5">
        <v>0.49999999999999994</v>
      </c>
      <c r="M1146" t="s">
        <v>134</v>
      </c>
      <c r="N1146" t="s">
        <v>364</v>
      </c>
    </row>
    <row r="1147" spans="1:14">
      <c r="A1147" t="s">
        <v>152</v>
      </c>
      <c r="B1147">
        <v>1197831</v>
      </c>
      <c r="C1147" s="2">
        <v>44502</v>
      </c>
      <c r="D1147" t="s">
        <v>139</v>
      </c>
      <c r="E1147" t="s">
        <v>205</v>
      </c>
      <c r="F1147" t="s">
        <v>214</v>
      </c>
      <c r="G1147" t="s">
        <v>145</v>
      </c>
      <c r="H1147" s="3">
        <v>0.20000000000000004</v>
      </c>
      <c r="I1147">
        <v>6250</v>
      </c>
      <c r="J1147" s="4">
        <v>1250.0000000000002</v>
      </c>
      <c r="K1147" s="4">
        <v>625</v>
      </c>
      <c r="L1147" s="5">
        <v>0.49999999999999994</v>
      </c>
      <c r="M1147" t="s">
        <v>134</v>
      </c>
      <c r="N1147" t="s">
        <v>364</v>
      </c>
    </row>
    <row r="1148" spans="1:14">
      <c r="A1148" t="s">
        <v>152</v>
      </c>
      <c r="B1148">
        <v>1197831</v>
      </c>
      <c r="C1148" s="2">
        <v>44502</v>
      </c>
      <c r="D1148" t="s">
        <v>139</v>
      </c>
      <c r="E1148" t="s">
        <v>205</v>
      </c>
      <c r="F1148" t="s">
        <v>214</v>
      </c>
      <c r="G1148" t="s">
        <v>146</v>
      </c>
      <c r="H1148" s="3">
        <v>0.45000000000000007</v>
      </c>
      <c r="I1148">
        <v>5750</v>
      </c>
      <c r="J1148" s="4">
        <v>2587.5000000000005</v>
      </c>
      <c r="K1148" s="4">
        <v>1293.75</v>
      </c>
      <c r="L1148" s="5">
        <v>0.49999999999999994</v>
      </c>
      <c r="M1148" t="s">
        <v>134</v>
      </c>
      <c r="N1148" t="s">
        <v>364</v>
      </c>
    </row>
    <row r="1149" spans="1:14">
      <c r="A1149" t="s">
        <v>152</v>
      </c>
      <c r="B1149">
        <v>1197831</v>
      </c>
      <c r="C1149" s="2">
        <v>44502</v>
      </c>
      <c r="D1149" t="s">
        <v>139</v>
      </c>
      <c r="E1149" t="s">
        <v>205</v>
      </c>
      <c r="F1149" t="s">
        <v>214</v>
      </c>
      <c r="G1149" t="s">
        <v>148</v>
      </c>
      <c r="H1149" s="3">
        <v>0.45000000000000007</v>
      </c>
      <c r="I1149">
        <v>4500</v>
      </c>
      <c r="J1149" s="4">
        <v>2025.0000000000002</v>
      </c>
      <c r="K1149" s="4">
        <v>1215.0000000000002</v>
      </c>
      <c r="L1149" s="5">
        <v>0.60000000000000009</v>
      </c>
      <c r="M1149" t="s">
        <v>134</v>
      </c>
      <c r="N1149" t="s">
        <v>364</v>
      </c>
    </row>
    <row r="1150" spans="1:14">
      <c r="A1150" t="s">
        <v>152</v>
      </c>
      <c r="B1150">
        <v>1197831</v>
      </c>
      <c r="C1150" s="2">
        <v>44502</v>
      </c>
      <c r="D1150" t="s">
        <v>139</v>
      </c>
      <c r="E1150" t="s">
        <v>205</v>
      </c>
      <c r="F1150" t="s">
        <v>214</v>
      </c>
      <c r="G1150" t="s">
        <v>147</v>
      </c>
      <c r="H1150" s="3">
        <v>0.49999999999999994</v>
      </c>
      <c r="I1150">
        <v>4250</v>
      </c>
      <c r="J1150" s="4">
        <v>2124.9999999999995</v>
      </c>
      <c r="K1150" s="4">
        <v>956.24999999999966</v>
      </c>
      <c r="L1150" s="5">
        <v>0.44999999999999996</v>
      </c>
      <c r="M1150" t="s">
        <v>134</v>
      </c>
      <c r="N1150" t="s">
        <v>364</v>
      </c>
    </row>
    <row r="1151" spans="1:14">
      <c r="A1151" t="s">
        <v>152</v>
      </c>
      <c r="B1151">
        <v>1197831</v>
      </c>
      <c r="C1151" s="2">
        <v>44502</v>
      </c>
      <c r="D1151" t="s">
        <v>139</v>
      </c>
      <c r="E1151" t="s">
        <v>205</v>
      </c>
      <c r="F1151" t="s">
        <v>214</v>
      </c>
      <c r="G1151" t="s">
        <v>144</v>
      </c>
      <c r="H1151" s="3">
        <v>0.6</v>
      </c>
      <c r="I1151">
        <v>6250</v>
      </c>
      <c r="J1151" s="4">
        <v>3750</v>
      </c>
      <c r="K1151" s="4">
        <v>2437.5000000000005</v>
      </c>
      <c r="L1151" s="5">
        <v>0.65000000000000013</v>
      </c>
      <c r="M1151" t="s">
        <v>134</v>
      </c>
      <c r="N1151" t="s">
        <v>364</v>
      </c>
    </row>
    <row r="1152" spans="1:14">
      <c r="A1152" t="s">
        <v>152</v>
      </c>
      <c r="B1152">
        <v>1197831</v>
      </c>
      <c r="C1152" s="2">
        <v>44531</v>
      </c>
      <c r="D1152" t="s">
        <v>139</v>
      </c>
      <c r="E1152" t="s">
        <v>205</v>
      </c>
      <c r="F1152" t="s">
        <v>214</v>
      </c>
      <c r="G1152" t="s">
        <v>27</v>
      </c>
      <c r="H1152" s="3">
        <v>0.6</v>
      </c>
      <c r="I1152">
        <v>7750</v>
      </c>
      <c r="J1152" s="4">
        <v>4650</v>
      </c>
      <c r="K1152" s="4">
        <v>2324.9999999999995</v>
      </c>
      <c r="L1152" s="5">
        <v>0.49999999999999994</v>
      </c>
      <c r="M1152" t="s">
        <v>23</v>
      </c>
      <c r="N1152" t="s">
        <v>364</v>
      </c>
    </row>
    <row r="1153" spans="1:14">
      <c r="A1153" t="s">
        <v>152</v>
      </c>
      <c r="B1153">
        <v>1197831</v>
      </c>
      <c r="C1153" s="2">
        <v>44531</v>
      </c>
      <c r="D1153" t="s">
        <v>139</v>
      </c>
      <c r="E1153" t="s">
        <v>205</v>
      </c>
      <c r="F1153" t="s">
        <v>214</v>
      </c>
      <c r="G1153" t="s">
        <v>145</v>
      </c>
      <c r="H1153" s="3">
        <v>0.6</v>
      </c>
      <c r="I1153">
        <v>7750</v>
      </c>
      <c r="J1153" s="4">
        <v>4650</v>
      </c>
      <c r="K1153" s="4">
        <v>2324.9999999999995</v>
      </c>
      <c r="L1153" s="5">
        <v>0.49999999999999994</v>
      </c>
      <c r="M1153" t="s">
        <v>23</v>
      </c>
      <c r="N1153" t="s">
        <v>364</v>
      </c>
    </row>
    <row r="1154" spans="1:14">
      <c r="A1154" t="s">
        <v>152</v>
      </c>
      <c r="B1154">
        <v>1197831</v>
      </c>
      <c r="C1154" s="2">
        <v>44531</v>
      </c>
      <c r="D1154" t="s">
        <v>139</v>
      </c>
      <c r="E1154" t="s">
        <v>205</v>
      </c>
      <c r="F1154" t="s">
        <v>214</v>
      </c>
      <c r="G1154" t="s">
        <v>146</v>
      </c>
      <c r="H1154" s="3">
        <v>0.65</v>
      </c>
      <c r="I1154">
        <v>7000</v>
      </c>
      <c r="J1154" s="4">
        <v>4550</v>
      </c>
      <c r="K1154" s="4">
        <v>2274.9999999999995</v>
      </c>
      <c r="L1154" s="5">
        <v>0.49999999999999994</v>
      </c>
      <c r="M1154" t="s">
        <v>23</v>
      </c>
      <c r="N1154" t="s">
        <v>364</v>
      </c>
    </row>
    <row r="1155" spans="1:14">
      <c r="A1155" t="s">
        <v>152</v>
      </c>
      <c r="B1155">
        <v>1197831</v>
      </c>
      <c r="C1155" s="2">
        <v>44531</v>
      </c>
      <c r="D1155" t="s">
        <v>139</v>
      </c>
      <c r="E1155" t="s">
        <v>205</v>
      </c>
      <c r="F1155" t="s">
        <v>214</v>
      </c>
      <c r="G1155" t="s">
        <v>148</v>
      </c>
      <c r="H1155" s="3">
        <v>0.65</v>
      </c>
      <c r="I1155">
        <v>5500</v>
      </c>
      <c r="J1155" s="4">
        <v>3575</v>
      </c>
      <c r="K1155" s="4">
        <v>2145.0000000000005</v>
      </c>
      <c r="L1155" s="5">
        <v>0.60000000000000009</v>
      </c>
      <c r="M1155" t="s">
        <v>23</v>
      </c>
      <c r="N1155" t="s">
        <v>364</v>
      </c>
    </row>
    <row r="1156" spans="1:14">
      <c r="A1156" t="s">
        <v>152</v>
      </c>
      <c r="B1156">
        <v>1197831</v>
      </c>
      <c r="C1156" s="2">
        <v>44531</v>
      </c>
      <c r="D1156" t="s">
        <v>139</v>
      </c>
      <c r="E1156" t="s">
        <v>205</v>
      </c>
      <c r="F1156" t="s">
        <v>214</v>
      </c>
      <c r="G1156" t="s">
        <v>147</v>
      </c>
      <c r="H1156" s="3">
        <v>0.6</v>
      </c>
      <c r="I1156">
        <v>5000</v>
      </c>
      <c r="J1156" s="4">
        <v>3000</v>
      </c>
      <c r="K1156" s="4">
        <v>1349.9999999999998</v>
      </c>
      <c r="L1156" s="5">
        <v>0.44999999999999996</v>
      </c>
      <c r="M1156" t="s">
        <v>23</v>
      </c>
      <c r="N1156" t="s">
        <v>364</v>
      </c>
    </row>
    <row r="1157" spans="1:14">
      <c r="A1157" t="s">
        <v>152</v>
      </c>
      <c r="B1157">
        <v>1197831</v>
      </c>
      <c r="C1157" s="2">
        <v>44531</v>
      </c>
      <c r="D1157" t="s">
        <v>139</v>
      </c>
      <c r="E1157" t="s">
        <v>205</v>
      </c>
      <c r="F1157" t="s">
        <v>214</v>
      </c>
      <c r="G1157" t="s">
        <v>144</v>
      </c>
      <c r="H1157" s="3">
        <v>0.70000000000000007</v>
      </c>
      <c r="I1157">
        <v>7500</v>
      </c>
      <c r="J1157" s="4">
        <v>5250.0000000000009</v>
      </c>
      <c r="K1157" s="4">
        <v>3412.5000000000014</v>
      </c>
      <c r="L1157" s="5">
        <v>0.65000000000000013</v>
      </c>
      <c r="M1157" t="s">
        <v>23</v>
      </c>
      <c r="N1157" t="s">
        <v>364</v>
      </c>
    </row>
    <row r="1158" spans="1:14">
      <c r="A1158" t="s">
        <v>29</v>
      </c>
      <c r="B1158">
        <v>1185732</v>
      </c>
      <c r="C1158" s="2">
        <v>44217</v>
      </c>
      <c r="D1158" t="s">
        <v>137</v>
      </c>
      <c r="E1158" t="s">
        <v>247</v>
      </c>
      <c r="F1158" t="s">
        <v>188</v>
      </c>
      <c r="G1158" t="s">
        <v>27</v>
      </c>
      <c r="H1158" s="3">
        <v>0.4</v>
      </c>
      <c r="I1158">
        <v>4500</v>
      </c>
      <c r="J1158" s="4">
        <v>1800</v>
      </c>
      <c r="K1158" s="4">
        <v>630</v>
      </c>
      <c r="L1158" s="5">
        <v>0.35</v>
      </c>
      <c r="M1158" t="s">
        <v>125</v>
      </c>
      <c r="N1158" t="s">
        <v>361</v>
      </c>
    </row>
    <row r="1159" spans="1:14">
      <c r="A1159" t="s">
        <v>29</v>
      </c>
      <c r="B1159">
        <v>1185732</v>
      </c>
      <c r="C1159" s="2">
        <v>44217</v>
      </c>
      <c r="D1159" t="s">
        <v>137</v>
      </c>
      <c r="E1159" t="s">
        <v>247</v>
      </c>
      <c r="F1159" t="s">
        <v>188</v>
      </c>
      <c r="G1159" t="s">
        <v>145</v>
      </c>
      <c r="H1159" s="3">
        <v>0.4</v>
      </c>
      <c r="I1159">
        <v>2500</v>
      </c>
      <c r="J1159" s="4">
        <v>1000</v>
      </c>
      <c r="K1159" s="4">
        <v>350</v>
      </c>
      <c r="L1159" s="5">
        <v>0.35</v>
      </c>
      <c r="M1159" t="s">
        <v>125</v>
      </c>
      <c r="N1159" t="s">
        <v>361</v>
      </c>
    </row>
    <row r="1160" spans="1:14">
      <c r="A1160" t="s">
        <v>29</v>
      </c>
      <c r="B1160">
        <v>1185732</v>
      </c>
      <c r="C1160" s="2">
        <v>44217</v>
      </c>
      <c r="D1160" t="s">
        <v>137</v>
      </c>
      <c r="E1160" t="s">
        <v>247</v>
      </c>
      <c r="F1160" t="s">
        <v>188</v>
      </c>
      <c r="G1160" t="s">
        <v>146</v>
      </c>
      <c r="H1160" s="3">
        <v>0.30000000000000004</v>
      </c>
      <c r="I1160">
        <v>2500</v>
      </c>
      <c r="J1160" s="4">
        <v>750.00000000000011</v>
      </c>
      <c r="K1160" s="4">
        <v>300</v>
      </c>
      <c r="L1160" s="5">
        <v>0.39999999999999997</v>
      </c>
      <c r="M1160" t="s">
        <v>125</v>
      </c>
      <c r="N1160" t="s">
        <v>361</v>
      </c>
    </row>
    <row r="1161" spans="1:14">
      <c r="A1161" t="s">
        <v>29</v>
      </c>
      <c r="B1161">
        <v>1185732</v>
      </c>
      <c r="C1161" s="2">
        <v>44217</v>
      </c>
      <c r="D1161" t="s">
        <v>137</v>
      </c>
      <c r="E1161" t="s">
        <v>247</v>
      </c>
      <c r="F1161" t="s">
        <v>188</v>
      </c>
      <c r="G1161" t="s">
        <v>148</v>
      </c>
      <c r="H1161" s="3">
        <v>0.35</v>
      </c>
      <c r="I1161">
        <v>1000</v>
      </c>
      <c r="J1161" s="4">
        <v>350</v>
      </c>
      <c r="K1161" s="4">
        <v>105</v>
      </c>
      <c r="L1161" s="5">
        <v>0.3</v>
      </c>
      <c r="M1161" t="s">
        <v>125</v>
      </c>
      <c r="N1161" t="s">
        <v>361</v>
      </c>
    </row>
    <row r="1162" spans="1:14">
      <c r="A1162" t="s">
        <v>29</v>
      </c>
      <c r="B1162">
        <v>1185732</v>
      </c>
      <c r="C1162" s="2">
        <v>44217</v>
      </c>
      <c r="D1162" t="s">
        <v>137</v>
      </c>
      <c r="E1162" t="s">
        <v>247</v>
      </c>
      <c r="F1162" t="s">
        <v>188</v>
      </c>
      <c r="G1162" t="s">
        <v>147</v>
      </c>
      <c r="H1162" s="3">
        <v>0.5</v>
      </c>
      <c r="I1162">
        <v>1500</v>
      </c>
      <c r="J1162" s="4">
        <v>750</v>
      </c>
      <c r="K1162" s="4">
        <v>187.5</v>
      </c>
      <c r="L1162" s="5">
        <v>0.25</v>
      </c>
      <c r="M1162" t="s">
        <v>125</v>
      </c>
      <c r="N1162" t="s">
        <v>361</v>
      </c>
    </row>
    <row r="1163" spans="1:14">
      <c r="A1163" t="s">
        <v>29</v>
      </c>
      <c r="B1163">
        <v>1185732</v>
      </c>
      <c r="C1163" s="2">
        <v>44217</v>
      </c>
      <c r="D1163" t="s">
        <v>137</v>
      </c>
      <c r="E1163" t="s">
        <v>247</v>
      </c>
      <c r="F1163" t="s">
        <v>188</v>
      </c>
      <c r="G1163" t="s">
        <v>144</v>
      </c>
      <c r="H1163" s="3">
        <v>0.4</v>
      </c>
      <c r="I1163">
        <v>2500</v>
      </c>
      <c r="J1163" s="4">
        <v>1000</v>
      </c>
      <c r="K1163" s="4">
        <v>400</v>
      </c>
      <c r="L1163" s="5">
        <v>0.4</v>
      </c>
      <c r="M1163" t="s">
        <v>125</v>
      </c>
      <c r="N1163" t="s">
        <v>361</v>
      </c>
    </row>
    <row r="1164" spans="1:14">
      <c r="A1164" t="s">
        <v>29</v>
      </c>
      <c r="B1164">
        <v>1185732</v>
      </c>
      <c r="C1164" s="2">
        <v>44246</v>
      </c>
      <c r="D1164" t="s">
        <v>137</v>
      </c>
      <c r="E1164" t="s">
        <v>247</v>
      </c>
      <c r="F1164" t="s">
        <v>188</v>
      </c>
      <c r="G1164" t="s">
        <v>27</v>
      </c>
      <c r="H1164" s="3">
        <v>0.4</v>
      </c>
      <c r="I1164">
        <v>5000</v>
      </c>
      <c r="J1164" s="4">
        <v>2000</v>
      </c>
      <c r="K1164" s="4">
        <v>700</v>
      </c>
      <c r="L1164" s="5">
        <v>0.35</v>
      </c>
      <c r="M1164" t="s">
        <v>126</v>
      </c>
      <c r="N1164" t="s">
        <v>361</v>
      </c>
    </row>
    <row r="1165" spans="1:14">
      <c r="A1165" t="s">
        <v>29</v>
      </c>
      <c r="B1165">
        <v>1185732</v>
      </c>
      <c r="C1165" s="2">
        <v>44246</v>
      </c>
      <c r="D1165" t="s">
        <v>137</v>
      </c>
      <c r="E1165" t="s">
        <v>247</v>
      </c>
      <c r="F1165" t="s">
        <v>188</v>
      </c>
      <c r="G1165" t="s">
        <v>145</v>
      </c>
      <c r="H1165" s="3">
        <v>0.4</v>
      </c>
      <c r="I1165">
        <v>1500</v>
      </c>
      <c r="J1165" s="4">
        <v>600</v>
      </c>
      <c r="K1165" s="4">
        <v>210</v>
      </c>
      <c r="L1165" s="5">
        <v>0.35</v>
      </c>
      <c r="M1165" t="s">
        <v>126</v>
      </c>
      <c r="N1165" t="s">
        <v>361</v>
      </c>
    </row>
    <row r="1166" spans="1:14">
      <c r="A1166" t="s">
        <v>29</v>
      </c>
      <c r="B1166">
        <v>1185732</v>
      </c>
      <c r="C1166" s="2">
        <v>44246</v>
      </c>
      <c r="D1166" t="s">
        <v>137</v>
      </c>
      <c r="E1166" t="s">
        <v>247</v>
      </c>
      <c r="F1166" t="s">
        <v>188</v>
      </c>
      <c r="G1166" t="s">
        <v>146</v>
      </c>
      <c r="H1166" s="3">
        <v>0.30000000000000004</v>
      </c>
      <c r="I1166">
        <v>2000</v>
      </c>
      <c r="J1166" s="4">
        <v>600.00000000000011</v>
      </c>
      <c r="K1166" s="4">
        <v>240.00000000000003</v>
      </c>
      <c r="L1166" s="5">
        <v>0.39999999999999997</v>
      </c>
      <c r="M1166" t="s">
        <v>126</v>
      </c>
      <c r="N1166" t="s">
        <v>361</v>
      </c>
    </row>
    <row r="1167" spans="1:14">
      <c r="A1167" t="s">
        <v>29</v>
      </c>
      <c r="B1167">
        <v>1185732</v>
      </c>
      <c r="C1167" s="2">
        <v>44246</v>
      </c>
      <c r="D1167" t="s">
        <v>137</v>
      </c>
      <c r="E1167" t="s">
        <v>247</v>
      </c>
      <c r="F1167" t="s">
        <v>188</v>
      </c>
      <c r="G1167" t="s">
        <v>148</v>
      </c>
      <c r="H1167" s="3">
        <v>0.35</v>
      </c>
      <c r="I1167">
        <v>750</v>
      </c>
      <c r="J1167" s="4">
        <v>262.5</v>
      </c>
      <c r="K1167" s="4">
        <v>78.75</v>
      </c>
      <c r="L1167" s="5">
        <v>0.3</v>
      </c>
      <c r="M1167" t="s">
        <v>126</v>
      </c>
      <c r="N1167" t="s">
        <v>361</v>
      </c>
    </row>
    <row r="1168" spans="1:14">
      <c r="A1168" t="s">
        <v>29</v>
      </c>
      <c r="B1168">
        <v>1185732</v>
      </c>
      <c r="C1168" s="2">
        <v>44246</v>
      </c>
      <c r="D1168" t="s">
        <v>137</v>
      </c>
      <c r="E1168" t="s">
        <v>247</v>
      </c>
      <c r="F1168" t="s">
        <v>188</v>
      </c>
      <c r="G1168" t="s">
        <v>147</v>
      </c>
      <c r="H1168" s="3">
        <v>0.5</v>
      </c>
      <c r="I1168">
        <v>1500</v>
      </c>
      <c r="J1168" s="4">
        <v>750</v>
      </c>
      <c r="K1168" s="4">
        <v>187.5</v>
      </c>
      <c r="L1168" s="5">
        <v>0.25</v>
      </c>
      <c r="M1168" t="s">
        <v>126</v>
      </c>
      <c r="N1168" t="s">
        <v>361</v>
      </c>
    </row>
    <row r="1169" spans="1:14">
      <c r="A1169" t="s">
        <v>29</v>
      </c>
      <c r="B1169">
        <v>1185732</v>
      </c>
      <c r="C1169" s="2">
        <v>44246</v>
      </c>
      <c r="D1169" t="s">
        <v>137</v>
      </c>
      <c r="E1169" t="s">
        <v>247</v>
      </c>
      <c r="F1169" t="s">
        <v>188</v>
      </c>
      <c r="G1169" t="s">
        <v>144</v>
      </c>
      <c r="H1169" s="3">
        <v>0.4</v>
      </c>
      <c r="I1169">
        <v>2500</v>
      </c>
      <c r="J1169" s="4">
        <v>1000</v>
      </c>
      <c r="K1169" s="4">
        <v>400</v>
      </c>
      <c r="L1169" s="5">
        <v>0.4</v>
      </c>
      <c r="M1169" t="s">
        <v>126</v>
      </c>
      <c r="N1169" t="s">
        <v>361</v>
      </c>
    </row>
    <row r="1170" spans="1:14">
      <c r="A1170" t="s">
        <v>29</v>
      </c>
      <c r="B1170">
        <v>1185732</v>
      </c>
      <c r="C1170" s="2">
        <v>44272</v>
      </c>
      <c r="D1170" t="s">
        <v>137</v>
      </c>
      <c r="E1170" t="s">
        <v>247</v>
      </c>
      <c r="F1170" t="s">
        <v>188</v>
      </c>
      <c r="G1170" t="s">
        <v>27</v>
      </c>
      <c r="H1170" s="3">
        <v>0.4</v>
      </c>
      <c r="I1170">
        <v>4700</v>
      </c>
      <c r="J1170" s="4">
        <v>1880</v>
      </c>
      <c r="K1170" s="4">
        <v>658</v>
      </c>
      <c r="L1170" s="5">
        <v>0.35</v>
      </c>
      <c r="M1170" t="s">
        <v>24</v>
      </c>
      <c r="N1170" t="s">
        <v>361</v>
      </c>
    </row>
    <row r="1171" spans="1:14">
      <c r="A1171" t="s">
        <v>29</v>
      </c>
      <c r="B1171">
        <v>1185732</v>
      </c>
      <c r="C1171" s="2">
        <v>44272</v>
      </c>
      <c r="D1171" t="s">
        <v>137</v>
      </c>
      <c r="E1171" t="s">
        <v>247</v>
      </c>
      <c r="F1171" t="s">
        <v>188</v>
      </c>
      <c r="G1171" t="s">
        <v>145</v>
      </c>
      <c r="H1171" s="3">
        <v>0.4</v>
      </c>
      <c r="I1171">
        <v>1750</v>
      </c>
      <c r="J1171" s="4">
        <v>700</v>
      </c>
      <c r="K1171" s="4">
        <v>244.99999999999997</v>
      </c>
      <c r="L1171" s="5">
        <v>0.35</v>
      </c>
      <c r="M1171" t="s">
        <v>24</v>
      </c>
      <c r="N1171" t="s">
        <v>361</v>
      </c>
    </row>
    <row r="1172" spans="1:14">
      <c r="A1172" t="s">
        <v>29</v>
      </c>
      <c r="B1172">
        <v>1185732</v>
      </c>
      <c r="C1172" s="2">
        <v>44272</v>
      </c>
      <c r="D1172" t="s">
        <v>137</v>
      </c>
      <c r="E1172" t="s">
        <v>247</v>
      </c>
      <c r="F1172" t="s">
        <v>188</v>
      </c>
      <c r="G1172" t="s">
        <v>146</v>
      </c>
      <c r="H1172" s="3">
        <v>0.30000000000000004</v>
      </c>
      <c r="I1172">
        <v>2000</v>
      </c>
      <c r="J1172" s="4">
        <v>600.00000000000011</v>
      </c>
      <c r="K1172" s="4">
        <v>240.00000000000003</v>
      </c>
      <c r="L1172" s="5">
        <v>0.39999999999999997</v>
      </c>
      <c r="M1172" t="s">
        <v>24</v>
      </c>
      <c r="N1172" t="s">
        <v>361</v>
      </c>
    </row>
    <row r="1173" spans="1:14">
      <c r="A1173" t="s">
        <v>29</v>
      </c>
      <c r="B1173">
        <v>1185732</v>
      </c>
      <c r="C1173" s="2">
        <v>44272</v>
      </c>
      <c r="D1173" t="s">
        <v>137</v>
      </c>
      <c r="E1173" t="s">
        <v>247</v>
      </c>
      <c r="F1173" t="s">
        <v>188</v>
      </c>
      <c r="G1173" t="s">
        <v>148</v>
      </c>
      <c r="H1173" s="3">
        <v>0.35</v>
      </c>
      <c r="I1173">
        <v>500</v>
      </c>
      <c r="J1173" s="4">
        <v>175</v>
      </c>
      <c r="K1173" s="4">
        <v>52.5</v>
      </c>
      <c r="L1173" s="5">
        <v>0.3</v>
      </c>
      <c r="M1173" t="s">
        <v>24</v>
      </c>
      <c r="N1173" t="s">
        <v>361</v>
      </c>
    </row>
    <row r="1174" spans="1:14">
      <c r="A1174" t="s">
        <v>29</v>
      </c>
      <c r="B1174">
        <v>1185732</v>
      </c>
      <c r="C1174" s="2">
        <v>44272</v>
      </c>
      <c r="D1174" t="s">
        <v>137</v>
      </c>
      <c r="E1174" t="s">
        <v>247</v>
      </c>
      <c r="F1174" t="s">
        <v>188</v>
      </c>
      <c r="G1174" t="s">
        <v>147</v>
      </c>
      <c r="H1174" s="3">
        <v>0.5</v>
      </c>
      <c r="I1174">
        <v>1000</v>
      </c>
      <c r="J1174" s="4">
        <v>500</v>
      </c>
      <c r="K1174" s="4">
        <v>125</v>
      </c>
      <c r="L1174" s="5">
        <v>0.25</v>
      </c>
      <c r="M1174" t="s">
        <v>24</v>
      </c>
      <c r="N1174" t="s">
        <v>361</v>
      </c>
    </row>
    <row r="1175" spans="1:14">
      <c r="A1175" t="s">
        <v>29</v>
      </c>
      <c r="B1175">
        <v>1185732</v>
      </c>
      <c r="C1175" s="2">
        <v>44272</v>
      </c>
      <c r="D1175" t="s">
        <v>137</v>
      </c>
      <c r="E1175" t="s">
        <v>247</v>
      </c>
      <c r="F1175" t="s">
        <v>188</v>
      </c>
      <c r="G1175" t="s">
        <v>144</v>
      </c>
      <c r="H1175" s="3">
        <v>0.4</v>
      </c>
      <c r="I1175">
        <v>2000</v>
      </c>
      <c r="J1175" s="4">
        <v>800</v>
      </c>
      <c r="K1175" s="4">
        <v>320</v>
      </c>
      <c r="L1175" s="5">
        <v>0.4</v>
      </c>
      <c r="M1175" t="s">
        <v>24</v>
      </c>
      <c r="N1175" t="s">
        <v>361</v>
      </c>
    </row>
    <row r="1176" spans="1:14">
      <c r="A1176" t="s">
        <v>29</v>
      </c>
      <c r="B1176">
        <v>1185732</v>
      </c>
      <c r="C1176" s="2">
        <v>44304</v>
      </c>
      <c r="D1176" t="s">
        <v>137</v>
      </c>
      <c r="E1176" t="s">
        <v>247</v>
      </c>
      <c r="F1176" t="s">
        <v>188</v>
      </c>
      <c r="G1176" t="s">
        <v>27</v>
      </c>
      <c r="H1176" s="3">
        <v>0.4</v>
      </c>
      <c r="I1176">
        <v>4500</v>
      </c>
      <c r="J1176" s="4">
        <v>1800</v>
      </c>
      <c r="K1176" s="4">
        <v>630</v>
      </c>
      <c r="L1176" s="5">
        <v>0.35</v>
      </c>
      <c r="M1176" t="s">
        <v>127</v>
      </c>
      <c r="N1176" t="s">
        <v>362</v>
      </c>
    </row>
    <row r="1177" spans="1:14">
      <c r="A1177" t="s">
        <v>29</v>
      </c>
      <c r="B1177">
        <v>1185732</v>
      </c>
      <c r="C1177" s="2">
        <v>44304</v>
      </c>
      <c r="D1177" t="s">
        <v>137</v>
      </c>
      <c r="E1177" t="s">
        <v>247</v>
      </c>
      <c r="F1177" t="s">
        <v>188</v>
      </c>
      <c r="G1177" t="s">
        <v>145</v>
      </c>
      <c r="H1177" s="3">
        <v>0.4</v>
      </c>
      <c r="I1177">
        <v>1500</v>
      </c>
      <c r="J1177" s="4">
        <v>600</v>
      </c>
      <c r="K1177" s="4">
        <v>210</v>
      </c>
      <c r="L1177" s="5">
        <v>0.35</v>
      </c>
      <c r="M1177" t="s">
        <v>127</v>
      </c>
      <c r="N1177" t="s">
        <v>362</v>
      </c>
    </row>
    <row r="1178" spans="1:14">
      <c r="A1178" t="s">
        <v>29</v>
      </c>
      <c r="B1178">
        <v>1185732</v>
      </c>
      <c r="C1178" s="2">
        <v>44304</v>
      </c>
      <c r="D1178" t="s">
        <v>137</v>
      </c>
      <c r="E1178" t="s">
        <v>247</v>
      </c>
      <c r="F1178" t="s">
        <v>188</v>
      </c>
      <c r="G1178" t="s">
        <v>146</v>
      </c>
      <c r="H1178" s="3">
        <v>0.30000000000000004</v>
      </c>
      <c r="I1178">
        <v>1500</v>
      </c>
      <c r="J1178" s="4">
        <v>450.00000000000006</v>
      </c>
      <c r="K1178" s="4">
        <v>180</v>
      </c>
      <c r="L1178" s="5">
        <v>0.39999999999999997</v>
      </c>
      <c r="M1178" t="s">
        <v>127</v>
      </c>
      <c r="N1178" t="s">
        <v>362</v>
      </c>
    </row>
    <row r="1179" spans="1:14">
      <c r="A1179" t="s">
        <v>29</v>
      </c>
      <c r="B1179">
        <v>1185732</v>
      </c>
      <c r="C1179" s="2">
        <v>44304</v>
      </c>
      <c r="D1179" t="s">
        <v>137</v>
      </c>
      <c r="E1179" t="s">
        <v>247</v>
      </c>
      <c r="F1179" t="s">
        <v>188</v>
      </c>
      <c r="G1179" t="s">
        <v>148</v>
      </c>
      <c r="H1179" s="3">
        <v>0.35</v>
      </c>
      <c r="I1179">
        <v>750</v>
      </c>
      <c r="J1179" s="4">
        <v>262.5</v>
      </c>
      <c r="K1179" s="4">
        <v>78.75</v>
      </c>
      <c r="L1179" s="5">
        <v>0.3</v>
      </c>
      <c r="M1179" t="s">
        <v>127</v>
      </c>
      <c r="N1179" t="s">
        <v>362</v>
      </c>
    </row>
    <row r="1180" spans="1:14">
      <c r="A1180" t="s">
        <v>29</v>
      </c>
      <c r="B1180">
        <v>1185732</v>
      </c>
      <c r="C1180" s="2">
        <v>44304</v>
      </c>
      <c r="D1180" t="s">
        <v>137</v>
      </c>
      <c r="E1180" t="s">
        <v>247</v>
      </c>
      <c r="F1180" t="s">
        <v>188</v>
      </c>
      <c r="G1180" t="s">
        <v>147</v>
      </c>
      <c r="H1180" s="3">
        <v>0.5</v>
      </c>
      <c r="I1180">
        <v>750</v>
      </c>
      <c r="J1180" s="4">
        <v>375</v>
      </c>
      <c r="K1180" s="4">
        <v>93.75</v>
      </c>
      <c r="L1180" s="5">
        <v>0.25</v>
      </c>
      <c r="M1180" t="s">
        <v>127</v>
      </c>
      <c r="N1180" t="s">
        <v>362</v>
      </c>
    </row>
    <row r="1181" spans="1:14">
      <c r="A1181" t="s">
        <v>29</v>
      </c>
      <c r="B1181">
        <v>1185732</v>
      </c>
      <c r="C1181" s="2">
        <v>44304</v>
      </c>
      <c r="D1181" t="s">
        <v>137</v>
      </c>
      <c r="E1181" t="s">
        <v>247</v>
      </c>
      <c r="F1181" t="s">
        <v>188</v>
      </c>
      <c r="G1181" t="s">
        <v>144</v>
      </c>
      <c r="H1181" s="3">
        <v>0.4</v>
      </c>
      <c r="I1181">
        <v>2250</v>
      </c>
      <c r="J1181" s="4">
        <v>900</v>
      </c>
      <c r="K1181" s="4">
        <v>360</v>
      </c>
      <c r="L1181" s="5">
        <v>0.4</v>
      </c>
      <c r="M1181" t="s">
        <v>127</v>
      </c>
      <c r="N1181" t="s">
        <v>362</v>
      </c>
    </row>
    <row r="1182" spans="1:14">
      <c r="A1182" t="s">
        <v>29</v>
      </c>
      <c r="B1182">
        <v>1185732</v>
      </c>
      <c r="C1182" s="2">
        <v>44333</v>
      </c>
      <c r="D1182" t="s">
        <v>137</v>
      </c>
      <c r="E1182" t="s">
        <v>247</v>
      </c>
      <c r="F1182" t="s">
        <v>188</v>
      </c>
      <c r="G1182" t="s">
        <v>27</v>
      </c>
      <c r="H1182" s="3">
        <v>0.54999999999999993</v>
      </c>
      <c r="I1182">
        <v>4950</v>
      </c>
      <c r="J1182" s="4">
        <v>2722.4999999999995</v>
      </c>
      <c r="K1182" s="4">
        <v>952.87499999999977</v>
      </c>
      <c r="L1182" s="5">
        <v>0.35</v>
      </c>
      <c r="M1182" t="s">
        <v>128</v>
      </c>
      <c r="N1182" t="s">
        <v>362</v>
      </c>
    </row>
    <row r="1183" spans="1:14">
      <c r="A1183" t="s">
        <v>29</v>
      </c>
      <c r="B1183">
        <v>1185732</v>
      </c>
      <c r="C1183" s="2">
        <v>44333</v>
      </c>
      <c r="D1183" t="s">
        <v>137</v>
      </c>
      <c r="E1183" t="s">
        <v>247</v>
      </c>
      <c r="F1183" t="s">
        <v>188</v>
      </c>
      <c r="G1183" t="s">
        <v>145</v>
      </c>
      <c r="H1183" s="3">
        <v>0.5</v>
      </c>
      <c r="I1183">
        <v>2000</v>
      </c>
      <c r="J1183" s="4">
        <v>1000</v>
      </c>
      <c r="K1183" s="4">
        <v>350</v>
      </c>
      <c r="L1183" s="5">
        <v>0.35</v>
      </c>
      <c r="M1183" t="s">
        <v>128</v>
      </c>
      <c r="N1183" t="s">
        <v>362</v>
      </c>
    </row>
    <row r="1184" spans="1:14">
      <c r="A1184" t="s">
        <v>29</v>
      </c>
      <c r="B1184">
        <v>1185732</v>
      </c>
      <c r="C1184" s="2">
        <v>44333</v>
      </c>
      <c r="D1184" t="s">
        <v>137</v>
      </c>
      <c r="E1184" t="s">
        <v>247</v>
      </c>
      <c r="F1184" t="s">
        <v>188</v>
      </c>
      <c r="G1184" t="s">
        <v>146</v>
      </c>
      <c r="H1184" s="3">
        <v>0.45</v>
      </c>
      <c r="I1184">
        <v>1750</v>
      </c>
      <c r="J1184" s="4">
        <v>787.5</v>
      </c>
      <c r="K1184" s="4">
        <v>315</v>
      </c>
      <c r="L1184" s="5">
        <v>0.39999999999999997</v>
      </c>
      <c r="M1184" t="s">
        <v>128</v>
      </c>
      <c r="N1184" t="s">
        <v>362</v>
      </c>
    </row>
    <row r="1185" spans="1:14">
      <c r="A1185" t="s">
        <v>29</v>
      </c>
      <c r="B1185">
        <v>1185732</v>
      </c>
      <c r="C1185" s="2">
        <v>44333</v>
      </c>
      <c r="D1185" t="s">
        <v>137</v>
      </c>
      <c r="E1185" t="s">
        <v>247</v>
      </c>
      <c r="F1185" t="s">
        <v>188</v>
      </c>
      <c r="G1185" t="s">
        <v>148</v>
      </c>
      <c r="H1185" s="3">
        <v>0.45</v>
      </c>
      <c r="I1185">
        <v>1250</v>
      </c>
      <c r="J1185" s="4">
        <v>562.5</v>
      </c>
      <c r="K1185" s="4">
        <v>168.75</v>
      </c>
      <c r="L1185" s="5">
        <v>0.3</v>
      </c>
      <c r="M1185" t="s">
        <v>128</v>
      </c>
      <c r="N1185" t="s">
        <v>362</v>
      </c>
    </row>
    <row r="1186" spans="1:14">
      <c r="A1186" t="s">
        <v>29</v>
      </c>
      <c r="B1186">
        <v>1185732</v>
      </c>
      <c r="C1186" s="2">
        <v>44333</v>
      </c>
      <c r="D1186" t="s">
        <v>137</v>
      </c>
      <c r="E1186" t="s">
        <v>247</v>
      </c>
      <c r="F1186" t="s">
        <v>188</v>
      </c>
      <c r="G1186" t="s">
        <v>147</v>
      </c>
      <c r="H1186" s="3">
        <v>0.54999999999999993</v>
      </c>
      <c r="I1186">
        <v>1500</v>
      </c>
      <c r="J1186" s="4">
        <v>824.99999999999989</v>
      </c>
      <c r="K1186" s="4">
        <v>206.24999999999997</v>
      </c>
      <c r="L1186" s="5">
        <v>0.25</v>
      </c>
      <c r="M1186" t="s">
        <v>128</v>
      </c>
      <c r="N1186" t="s">
        <v>362</v>
      </c>
    </row>
    <row r="1187" spans="1:14">
      <c r="A1187" t="s">
        <v>29</v>
      </c>
      <c r="B1187">
        <v>1185732</v>
      </c>
      <c r="C1187" s="2">
        <v>44333</v>
      </c>
      <c r="D1187" t="s">
        <v>137</v>
      </c>
      <c r="E1187" t="s">
        <v>247</v>
      </c>
      <c r="F1187" t="s">
        <v>188</v>
      </c>
      <c r="G1187" t="s">
        <v>144</v>
      </c>
      <c r="H1187" s="3">
        <v>0.6</v>
      </c>
      <c r="I1187">
        <v>2750</v>
      </c>
      <c r="J1187" s="4">
        <v>1650</v>
      </c>
      <c r="K1187" s="4">
        <v>660</v>
      </c>
      <c r="L1187" s="5">
        <v>0.4</v>
      </c>
      <c r="M1187" t="s">
        <v>128</v>
      </c>
      <c r="N1187" t="s">
        <v>362</v>
      </c>
    </row>
    <row r="1188" spans="1:14">
      <c r="A1188" t="s">
        <v>29</v>
      </c>
      <c r="B1188">
        <v>1185732</v>
      </c>
      <c r="C1188" s="2">
        <v>44366</v>
      </c>
      <c r="D1188" t="s">
        <v>137</v>
      </c>
      <c r="E1188" t="s">
        <v>247</v>
      </c>
      <c r="F1188" t="s">
        <v>188</v>
      </c>
      <c r="G1188" t="s">
        <v>27</v>
      </c>
      <c r="H1188" s="3">
        <v>0.54999999999999993</v>
      </c>
      <c r="I1188">
        <v>5250</v>
      </c>
      <c r="J1188" s="4">
        <v>2887.4999999999995</v>
      </c>
      <c r="K1188" s="4">
        <v>1010.6249999999998</v>
      </c>
      <c r="L1188" s="5">
        <v>0.35</v>
      </c>
      <c r="M1188" t="s">
        <v>129</v>
      </c>
      <c r="N1188" t="s">
        <v>362</v>
      </c>
    </row>
    <row r="1189" spans="1:14">
      <c r="A1189" t="s">
        <v>29</v>
      </c>
      <c r="B1189">
        <v>1185732</v>
      </c>
      <c r="C1189" s="2">
        <v>44366</v>
      </c>
      <c r="D1189" t="s">
        <v>137</v>
      </c>
      <c r="E1189" t="s">
        <v>247</v>
      </c>
      <c r="F1189" t="s">
        <v>188</v>
      </c>
      <c r="G1189" t="s">
        <v>145</v>
      </c>
      <c r="H1189" s="3">
        <v>0.5</v>
      </c>
      <c r="I1189">
        <v>2750</v>
      </c>
      <c r="J1189" s="4">
        <v>1375</v>
      </c>
      <c r="K1189" s="4">
        <v>481.24999999999994</v>
      </c>
      <c r="L1189" s="5">
        <v>0.35</v>
      </c>
      <c r="M1189" t="s">
        <v>129</v>
      </c>
      <c r="N1189" t="s">
        <v>362</v>
      </c>
    </row>
    <row r="1190" spans="1:14">
      <c r="A1190" t="s">
        <v>29</v>
      </c>
      <c r="B1190">
        <v>1185732</v>
      </c>
      <c r="C1190" s="2">
        <v>44366</v>
      </c>
      <c r="D1190" t="s">
        <v>137</v>
      </c>
      <c r="E1190" t="s">
        <v>247</v>
      </c>
      <c r="F1190" t="s">
        <v>188</v>
      </c>
      <c r="G1190" t="s">
        <v>146</v>
      </c>
      <c r="H1190" s="3">
        <v>0.45</v>
      </c>
      <c r="I1190">
        <v>2000</v>
      </c>
      <c r="J1190" s="4">
        <v>900</v>
      </c>
      <c r="K1190" s="4">
        <v>359.99999999999994</v>
      </c>
      <c r="L1190" s="5">
        <v>0.39999999999999997</v>
      </c>
      <c r="M1190" t="s">
        <v>129</v>
      </c>
      <c r="N1190" t="s">
        <v>362</v>
      </c>
    </row>
    <row r="1191" spans="1:14">
      <c r="A1191" t="s">
        <v>29</v>
      </c>
      <c r="B1191">
        <v>1185732</v>
      </c>
      <c r="C1191" s="2">
        <v>44366</v>
      </c>
      <c r="D1191" t="s">
        <v>137</v>
      </c>
      <c r="E1191" t="s">
        <v>247</v>
      </c>
      <c r="F1191" t="s">
        <v>188</v>
      </c>
      <c r="G1191" t="s">
        <v>148</v>
      </c>
      <c r="H1191" s="3">
        <v>0.45</v>
      </c>
      <c r="I1191">
        <v>1750</v>
      </c>
      <c r="J1191" s="4">
        <v>787.5</v>
      </c>
      <c r="K1191" s="4">
        <v>236.25</v>
      </c>
      <c r="L1191" s="5">
        <v>0.3</v>
      </c>
      <c r="M1191" t="s">
        <v>129</v>
      </c>
      <c r="N1191" t="s">
        <v>362</v>
      </c>
    </row>
    <row r="1192" spans="1:14">
      <c r="A1192" t="s">
        <v>29</v>
      </c>
      <c r="B1192">
        <v>1185732</v>
      </c>
      <c r="C1192" s="2">
        <v>44366</v>
      </c>
      <c r="D1192" t="s">
        <v>137</v>
      </c>
      <c r="E1192" t="s">
        <v>247</v>
      </c>
      <c r="F1192" t="s">
        <v>188</v>
      </c>
      <c r="G1192" t="s">
        <v>147</v>
      </c>
      <c r="H1192" s="3">
        <v>0.54999999999999993</v>
      </c>
      <c r="I1192">
        <v>1750</v>
      </c>
      <c r="J1192" s="4">
        <v>962.49999999999989</v>
      </c>
      <c r="K1192" s="4">
        <v>240.62499999999997</v>
      </c>
      <c r="L1192" s="5">
        <v>0.25</v>
      </c>
      <c r="M1192" t="s">
        <v>129</v>
      </c>
      <c r="N1192" t="s">
        <v>362</v>
      </c>
    </row>
    <row r="1193" spans="1:14">
      <c r="A1193" t="s">
        <v>29</v>
      </c>
      <c r="B1193">
        <v>1185732</v>
      </c>
      <c r="C1193" s="2">
        <v>44366</v>
      </c>
      <c r="D1193" t="s">
        <v>137</v>
      </c>
      <c r="E1193" t="s">
        <v>247</v>
      </c>
      <c r="F1193" t="s">
        <v>188</v>
      </c>
      <c r="G1193" t="s">
        <v>144</v>
      </c>
      <c r="H1193" s="3">
        <v>0.6</v>
      </c>
      <c r="I1193">
        <v>3250</v>
      </c>
      <c r="J1193" s="4">
        <v>1950</v>
      </c>
      <c r="K1193" s="4">
        <v>780</v>
      </c>
      <c r="L1193" s="5">
        <v>0.4</v>
      </c>
      <c r="M1193" t="s">
        <v>129</v>
      </c>
      <c r="N1193" t="s">
        <v>362</v>
      </c>
    </row>
    <row r="1194" spans="1:14">
      <c r="A1194" t="s">
        <v>29</v>
      </c>
      <c r="B1194">
        <v>1185732</v>
      </c>
      <c r="C1194" s="2">
        <v>44394</v>
      </c>
      <c r="D1194" t="s">
        <v>137</v>
      </c>
      <c r="E1194" t="s">
        <v>247</v>
      </c>
      <c r="F1194" t="s">
        <v>188</v>
      </c>
      <c r="G1194" t="s">
        <v>27</v>
      </c>
      <c r="H1194" s="3">
        <v>0.54999999999999993</v>
      </c>
      <c r="I1194">
        <v>5500</v>
      </c>
      <c r="J1194" s="4">
        <v>3024.9999999999995</v>
      </c>
      <c r="K1194" s="4">
        <v>1058.7499999999998</v>
      </c>
      <c r="L1194" s="5">
        <v>0.35</v>
      </c>
      <c r="M1194" t="s">
        <v>130</v>
      </c>
      <c r="N1194" t="s">
        <v>363</v>
      </c>
    </row>
    <row r="1195" spans="1:14">
      <c r="A1195" t="s">
        <v>29</v>
      </c>
      <c r="B1195">
        <v>1185732</v>
      </c>
      <c r="C1195" s="2">
        <v>44394</v>
      </c>
      <c r="D1195" t="s">
        <v>137</v>
      </c>
      <c r="E1195" t="s">
        <v>247</v>
      </c>
      <c r="F1195" t="s">
        <v>188</v>
      </c>
      <c r="G1195" t="s">
        <v>145</v>
      </c>
      <c r="H1195" s="3">
        <v>0.5</v>
      </c>
      <c r="I1195">
        <v>3000</v>
      </c>
      <c r="J1195" s="4">
        <v>1500</v>
      </c>
      <c r="K1195" s="4">
        <v>525</v>
      </c>
      <c r="L1195" s="5">
        <v>0.35</v>
      </c>
      <c r="M1195" t="s">
        <v>130</v>
      </c>
      <c r="N1195" t="s">
        <v>363</v>
      </c>
    </row>
    <row r="1196" spans="1:14">
      <c r="A1196" t="s">
        <v>29</v>
      </c>
      <c r="B1196">
        <v>1185732</v>
      </c>
      <c r="C1196" s="2">
        <v>44394</v>
      </c>
      <c r="D1196" t="s">
        <v>137</v>
      </c>
      <c r="E1196" t="s">
        <v>247</v>
      </c>
      <c r="F1196" t="s">
        <v>188</v>
      </c>
      <c r="G1196" t="s">
        <v>146</v>
      </c>
      <c r="H1196" s="3">
        <v>0.45</v>
      </c>
      <c r="I1196">
        <v>2250</v>
      </c>
      <c r="J1196" s="4">
        <v>1012.5</v>
      </c>
      <c r="K1196" s="4">
        <v>404.99999999999994</v>
      </c>
      <c r="L1196" s="5">
        <v>0.39999999999999997</v>
      </c>
      <c r="M1196" t="s">
        <v>130</v>
      </c>
      <c r="N1196" t="s">
        <v>363</v>
      </c>
    </row>
    <row r="1197" spans="1:14">
      <c r="A1197" t="s">
        <v>29</v>
      </c>
      <c r="B1197">
        <v>1185732</v>
      </c>
      <c r="C1197" s="2">
        <v>44394</v>
      </c>
      <c r="D1197" t="s">
        <v>137</v>
      </c>
      <c r="E1197" t="s">
        <v>247</v>
      </c>
      <c r="F1197" t="s">
        <v>188</v>
      </c>
      <c r="G1197" t="s">
        <v>148</v>
      </c>
      <c r="H1197" s="3">
        <v>0.45</v>
      </c>
      <c r="I1197">
        <v>1750</v>
      </c>
      <c r="J1197" s="4">
        <v>787.5</v>
      </c>
      <c r="K1197" s="4">
        <v>236.25</v>
      </c>
      <c r="L1197" s="5">
        <v>0.3</v>
      </c>
      <c r="M1197" t="s">
        <v>130</v>
      </c>
      <c r="N1197" t="s">
        <v>363</v>
      </c>
    </row>
    <row r="1198" spans="1:14">
      <c r="A1198" t="s">
        <v>29</v>
      </c>
      <c r="B1198">
        <v>1185732</v>
      </c>
      <c r="C1198" s="2">
        <v>44394</v>
      </c>
      <c r="D1198" t="s">
        <v>137</v>
      </c>
      <c r="E1198" t="s">
        <v>247</v>
      </c>
      <c r="F1198" t="s">
        <v>188</v>
      </c>
      <c r="G1198" t="s">
        <v>147</v>
      </c>
      <c r="H1198" s="3">
        <v>0.54999999999999993</v>
      </c>
      <c r="I1198">
        <v>2000</v>
      </c>
      <c r="J1198" s="4">
        <v>1099.9999999999998</v>
      </c>
      <c r="K1198" s="4">
        <v>274.99999999999994</v>
      </c>
      <c r="L1198" s="5">
        <v>0.25</v>
      </c>
      <c r="M1198" t="s">
        <v>130</v>
      </c>
      <c r="N1198" t="s">
        <v>363</v>
      </c>
    </row>
    <row r="1199" spans="1:14">
      <c r="A1199" t="s">
        <v>29</v>
      </c>
      <c r="B1199">
        <v>1185732</v>
      </c>
      <c r="C1199" s="2">
        <v>44394</v>
      </c>
      <c r="D1199" t="s">
        <v>137</v>
      </c>
      <c r="E1199" t="s">
        <v>247</v>
      </c>
      <c r="F1199" t="s">
        <v>188</v>
      </c>
      <c r="G1199" t="s">
        <v>144</v>
      </c>
      <c r="H1199" s="3">
        <v>0.6</v>
      </c>
      <c r="I1199">
        <v>3750</v>
      </c>
      <c r="J1199" s="4">
        <v>2250</v>
      </c>
      <c r="K1199" s="4">
        <v>900</v>
      </c>
      <c r="L1199" s="5">
        <v>0.4</v>
      </c>
      <c r="M1199" t="s">
        <v>130</v>
      </c>
      <c r="N1199" t="s">
        <v>363</v>
      </c>
    </row>
    <row r="1200" spans="1:14">
      <c r="A1200" t="s">
        <v>29</v>
      </c>
      <c r="B1200">
        <v>1185732</v>
      </c>
      <c r="C1200" s="2">
        <v>44426</v>
      </c>
      <c r="D1200" t="s">
        <v>137</v>
      </c>
      <c r="E1200" t="s">
        <v>247</v>
      </c>
      <c r="F1200" t="s">
        <v>188</v>
      </c>
      <c r="G1200" t="s">
        <v>27</v>
      </c>
      <c r="H1200" s="3">
        <v>0.54999999999999993</v>
      </c>
      <c r="I1200">
        <v>5250</v>
      </c>
      <c r="J1200" s="4">
        <v>2887.4999999999995</v>
      </c>
      <c r="K1200" s="4">
        <v>1010.6249999999998</v>
      </c>
      <c r="L1200" s="5">
        <v>0.35</v>
      </c>
      <c r="M1200" t="s">
        <v>131</v>
      </c>
      <c r="N1200" t="s">
        <v>363</v>
      </c>
    </row>
    <row r="1201" spans="1:14">
      <c r="A1201" t="s">
        <v>29</v>
      </c>
      <c r="B1201">
        <v>1185732</v>
      </c>
      <c r="C1201" s="2">
        <v>44426</v>
      </c>
      <c r="D1201" t="s">
        <v>137</v>
      </c>
      <c r="E1201" t="s">
        <v>247</v>
      </c>
      <c r="F1201" t="s">
        <v>188</v>
      </c>
      <c r="G1201" t="s">
        <v>145</v>
      </c>
      <c r="H1201" s="3">
        <v>0.5</v>
      </c>
      <c r="I1201">
        <v>3000</v>
      </c>
      <c r="J1201" s="4">
        <v>1500</v>
      </c>
      <c r="K1201" s="4">
        <v>525</v>
      </c>
      <c r="L1201" s="5">
        <v>0.35</v>
      </c>
      <c r="M1201" t="s">
        <v>131</v>
      </c>
      <c r="N1201" t="s">
        <v>363</v>
      </c>
    </row>
    <row r="1202" spans="1:14">
      <c r="A1202" t="s">
        <v>29</v>
      </c>
      <c r="B1202">
        <v>1185732</v>
      </c>
      <c r="C1202" s="2">
        <v>44426</v>
      </c>
      <c r="D1202" t="s">
        <v>137</v>
      </c>
      <c r="E1202" t="s">
        <v>247</v>
      </c>
      <c r="F1202" t="s">
        <v>188</v>
      </c>
      <c r="G1202" t="s">
        <v>146</v>
      </c>
      <c r="H1202" s="3">
        <v>0.45</v>
      </c>
      <c r="I1202">
        <v>2250</v>
      </c>
      <c r="J1202" s="4">
        <v>1012.5</v>
      </c>
      <c r="K1202" s="4">
        <v>404.99999999999994</v>
      </c>
      <c r="L1202" s="5">
        <v>0.39999999999999997</v>
      </c>
      <c r="M1202" t="s">
        <v>131</v>
      </c>
      <c r="N1202" t="s">
        <v>363</v>
      </c>
    </row>
    <row r="1203" spans="1:14">
      <c r="A1203" t="s">
        <v>29</v>
      </c>
      <c r="B1203">
        <v>1185732</v>
      </c>
      <c r="C1203" s="2">
        <v>44426</v>
      </c>
      <c r="D1203" t="s">
        <v>137</v>
      </c>
      <c r="E1203" t="s">
        <v>247</v>
      </c>
      <c r="F1203" t="s">
        <v>188</v>
      </c>
      <c r="G1203" t="s">
        <v>148</v>
      </c>
      <c r="H1203" s="3">
        <v>0.45</v>
      </c>
      <c r="I1203">
        <v>1750</v>
      </c>
      <c r="J1203" s="4">
        <v>787.5</v>
      </c>
      <c r="K1203" s="4">
        <v>236.25</v>
      </c>
      <c r="L1203" s="5">
        <v>0.3</v>
      </c>
      <c r="M1203" t="s">
        <v>131</v>
      </c>
      <c r="N1203" t="s">
        <v>363</v>
      </c>
    </row>
    <row r="1204" spans="1:14">
      <c r="A1204" t="s">
        <v>29</v>
      </c>
      <c r="B1204">
        <v>1185732</v>
      </c>
      <c r="C1204" s="2">
        <v>44426</v>
      </c>
      <c r="D1204" t="s">
        <v>137</v>
      </c>
      <c r="E1204" t="s">
        <v>247</v>
      </c>
      <c r="F1204" t="s">
        <v>188</v>
      </c>
      <c r="G1204" t="s">
        <v>147</v>
      </c>
      <c r="H1204" s="3">
        <v>0.54999999999999993</v>
      </c>
      <c r="I1204">
        <v>1500</v>
      </c>
      <c r="J1204" s="4">
        <v>824.99999999999989</v>
      </c>
      <c r="K1204" s="4">
        <v>206.24999999999997</v>
      </c>
      <c r="L1204" s="5">
        <v>0.25</v>
      </c>
      <c r="M1204" t="s">
        <v>131</v>
      </c>
      <c r="N1204" t="s">
        <v>363</v>
      </c>
    </row>
    <row r="1205" spans="1:14">
      <c r="A1205" t="s">
        <v>29</v>
      </c>
      <c r="B1205">
        <v>1185732</v>
      </c>
      <c r="C1205" s="2">
        <v>44426</v>
      </c>
      <c r="D1205" t="s">
        <v>137</v>
      </c>
      <c r="E1205" t="s">
        <v>247</v>
      </c>
      <c r="F1205" t="s">
        <v>188</v>
      </c>
      <c r="G1205" t="s">
        <v>144</v>
      </c>
      <c r="H1205" s="3">
        <v>0.6</v>
      </c>
      <c r="I1205">
        <v>3250</v>
      </c>
      <c r="J1205" s="4">
        <v>1950</v>
      </c>
      <c r="K1205" s="4">
        <v>780</v>
      </c>
      <c r="L1205" s="5">
        <v>0.4</v>
      </c>
      <c r="M1205" t="s">
        <v>131</v>
      </c>
      <c r="N1205" t="s">
        <v>363</v>
      </c>
    </row>
    <row r="1206" spans="1:14">
      <c r="A1206" t="s">
        <v>29</v>
      </c>
      <c r="B1206">
        <v>1185732</v>
      </c>
      <c r="C1206" s="2">
        <v>44456</v>
      </c>
      <c r="D1206" t="s">
        <v>137</v>
      </c>
      <c r="E1206" t="s">
        <v>247</v>
      </c>
      <c r="F1206" t="s">
        <v>188</v>
      </c>
      <c r="G1206" t="s">
        <v>27</v>
      </c>
      <c r="H1206" s="3">
        <v>0.54999999999999993</v>
      </c>
      <c r="I1206">
        <v>4500</v>
      </c>
      <c r="J1206" s="4">
        <v>2474.9999999999995</v>
      </c>
      <c r="K1206" s="4">
        <v>866.24999999999977</v>
      </c>
      <c r="L1206" s="5">
        <v>0.35</v>
      </c>
      <c r="M1206" t="s">
        <v>132</v>
      </c>
      <c r="N1206" t="s">
        <v>363</v>
      </c>
    </row>
    <row r="1207" spans="1:14">
      <c r="A1207" t="s">
        <v>29</v>
      </c>
      <c r="B1207">
        <v>1185732</v>
      </c>
      <c r="C1207" s="2">
        <v>44456</v>
      </c>
      <c r="D1207" t="s">
        <v>137</v>
      </c>
      <c r="E1207" t="s">
        <v>247</v>
      </c>
      <c r="F1207" t="s">
        <v>188</v>
      </c>
      <c r="G1207" t="s">
        <v>145</v>
      </c>
      <c r="H1207" s="3">
        <v>0.5</v>
      </c>
      <c r="I1207">
        <v>2500</v>
      </c>
      <c r="J1207" s="4">
        <v>1250</v>
      </c>
      <c r="K1207" s="4">
        <v>437.5</v>
      </c>
      <c r="L1207" s="5">
        <v>0.35</v>
      </c>
      <c r="M1207" t="s">
        <v>132</v>
      </c>
      <c r="N1207" t="s">
        <v>363</v>
      </c>
    </row>
    <row r="1208" spans="1:14">
      <c r="A1208" t="s">
        <v>29</v>
      </c>
      <c r="B1208">
        <v>1185732</v>
      </c>
      <c r="C1208" s="2">
        <v>44456</v>
      </c>
      <c r="D1208" t="s">
        <v>137</v>
      </c>
      <c r="E1208" t="s">
        <v>247</v>
      </c>
      <c r="F1208" t="s">
        <v>188</v>
      </c>
      <c r="G1208" t="s">
        <v>146</v>
      </c>
      <c r="H1208" s="3">
        <v>0.45</v>
      </c>
      <c r="I1208">
        <v>1500</v>
      </c>
      <c r="J1208" s="4">
        <v>675</v>
      </c>
      <c r="K1208" s="4">
        <v>270</v>
      </c>
      <c r="L1208" s="5">
        <v>0.39999999999999997</v>
      </c>
      <c r="M1208" t="s">
        <v>132</v>
      </c>
      <c r="N1208" t="s">
        <v>363</v>
      </c>
    </row>
    <row r="1209" spans="1:14">
      <c r="A1209" t="s">
        <v>29</v>
      </c>
      <c r="B1209">
        <v>1185732</v>
      </c>
      <c r="C1209" s="2">
        <v>44456</v>
      </c>
      <c r="D1209" t="s">
        <v>137</v>
      </c>
      <c r="E1209" t="s">
        <v>247</v>
      </c>
      <c r="F1209" t="s">
        <v>188</v>
      </c>
      <c r="G1209" t="s">
        <v>148</v>
      </c>
      <c r="H1209" s="3">
        <v>0.45</v>
      </c>
      <c r="I1209">
        <v>1250</v>
      </c>
      <c r="J1209" s="4">
        <v>562.5</v>
      </c>
      <c r="K1209" s="4">
        <v>168.75</v>
      </c>
      <c r="L1209" s="5">
        <v>0.3</v>
      </c>
      <c r="M1209" t="s">
        <v>132</v>
      </c>
      <c r="N1209" t="s">
        <v>363</v>
      </c>
    </row>
    <row r="1210" spans="1:14">
      <c r="A1210" t="s">
        <v>29</v>
      </c>
      <c r="B1210">
        <v>1185732</v>
      </c>
      <c r="C1210" s="2">
        <v>44456</v>
      </c>
      <c r="D1210" t="s">
        <v>137</v>
      </c>
      <c r="E1210" t="s">
        <v>247</v>
      </c>
      <c r="F1210" t="s">
        <v>188</v>
      </c>
      <c r="G1210" t="s">
        <v>147</v>
      </c>
      <c r="H1210" s="3">
        <v>0.54999999999999993</v>
      </c>
      <c r="I1210">
        <v>1250</v>
      </c>
      <c r="J1210" s="4">
        <v>687.49999999999989</v>
      </c>
      <c r="K1210" s="4">
        <v>171.87499999999997</v>
      </c>
      <c r="L1210" s="5">
        <v>0.25</v>
      </c>
      <c r="M1210" t="s">
        <v>132</v>
      </c>
      <c r="N1210" t="s">
        <v>363</v>
      </c>
    </row>
    <row r="1211" spans="1:14">
      <c r="A1211" t="s">
        <v>29</v>
      </c>
      <c r="B1211">
        <v>1185732</v>
      </c>
      <c r="C1211" s="2">
        <v>44456</v>
      </c>
      <c r="D1211" t="s">
        <v>137</v>
      </c>
      <c r="E1211" t="s">
        <v>247</v>
      </c>
      <c r="F1211" t="s">
        <v>188</v>
      </c>
      <c r="G1211" t="s">
        <v>144</v>
      </c>
      <c r="H1211" s="3">
        <v>0.6</v>
      </c>
      <c r="I1211">
        <v>2250</v>
      </c>
      <c r="J1211" s="4">
        <v>1350</v>
      </c>
      <c r="K1211" s="4">
        <v>540</v>
      </c>
      <c r="L1211" s="5">
        <v>0.4</v>
      </c>
      <c r="M1211" t="s">
        <v>132</v>
      </c>
      <c r="N1211" t="s">
        <v>363</v>
      </c>
    </row>
    <row r="1212" spans="1:14">
      <c r="A1212" t="s">
        <v>29</v>
      </c>
      <c r="B1212">
        <v>1185732</v>
      </c>
      <c r="C1212" s="2">
        <v>44488</v>
      </c>
      <c r="D1212" t="s">
        <v>137</v>
      </c>
      <c r="E1212" t="s">
        <v>247</v>
      </c>
      <c r="F1212" t="s">
        <v>188</v>
      </c>
      <c r="G1212" t="s">
        <v>27</v>
      </c>
      <c r="H1212" s="3">
        <v>0.6</v>
      </c>
      <c r="I1212">
        <v>4000</v>
      </c>
      <c r="J1212" s="4">
        <v>2400</v>
      </c>
      <c r="K1212" s="4">
        <v>840</v>
      </c>
      <c r="L1212" s="5">
        <v>0.35</v>
      </c>
      <c r="M1212" t="s">
        <v>133</v>
      </c>
      <c r="N1212" t="s">
        <v>364</v>
      </c>
    </row>
    <row r="1213" spans="1:14">
      <c r="A1213" t="s">
        <v>29</v>
      </c>
      <c r="B1213">
        <v>1185732</v>
      </c>
      <c r="C1213" s="2">
        <v>44488</v>
      </c>
      <c r="D1213" t="s">
        <v>137</v>
      </c>
      <c r="E1213" t="s">
        <v>247</v>
      </c>
      <c r="F1213" t="s">
        <v>188</v>
      </c>
      <c r="G1213" t="s">
        <v>145</v>
      </c>
      <c r="H1213" s="3">
        <v>0.55000000000000004</v>
      </c>
      <c r="I1213">
        <v>2250</v>
      </c>
      <c r="J1213" s="4">
        <v>1237.5</v>
      </c>
      <c r="K1213" s="4">
        <v>433.125</v>
      </c>
      <c r="L1213" s="5">
        <v>0.35</v>
      </c>
      <c r="M1213" t="s">
        <v>133</v>
      </c>
      <c r="N1213" t="s">
        <v>364</v>
      </c>
    </row>
    <row r="1214" spans="1:14">
      <c r="A1214" t="s">
        <v>29</v>
      </c>
      <c r="B1214">
        <v>1185732</v>
      </c>
      <c r="C1214" s="2">
        <v>44488</v>
      </c>
      <c r="D1214" t="s">
        <v>137</v>
      </c>
      <c r="E1214" t="s">
        <v>247</v>
      </c>
      <c r="F1214" t="s">
        <v>188</v>
      </c>
      <c r="G1214" t="s">
        <v>146</v>
      </c>
      <c r="H1214" s="3">
        <v>0.55000000000000004</v>
      </c>
      <c r="I1214">
        <v>1250</v>
      </c>
      <c r="J1214" s="4">
        <v>687.5</v>
      </c>
      <c r="K1214" s="4">
        <v>275</v>
      </c>
      <c r="L1214" s="5">
        <v>0.39999999999999997</v>
      </c>
      <c r="M1214" t="s">
        <v>133</v>
      </c>
      <c r="N1214" t="s">
        <v>364</v>
      </c>
    </row>
    <row r="1215" spans="1:14">
      <c r="A1215" t="s">
        <v>29</v>
      </c>
      <c r="B1215">
        <v>1185732</v>
      </c>
      <c r="C1215" s="2">
        <v>44488</v>
      </c>
      <c r="D1215" t="s">
        <v>137</v>
      </c>
      <c r="E1215" t="s">
        <v>247</v>
      </c>
      <c r="F1215" t="s">
        <v>188</v>
      </c>
      <c r="G1215" t="s">
        <v>148</v>
      </c>
      <c r="H1215" s="3">
        <v>0.55000000000000004</v>
      </c>
      <c r="I1215">
        <v>1000</v>
      </c>
      <c r="J1215" s="4">
        <v>550</v>
      </c>
      <c r="K1215" s="4">
        <v>165</v>
      </c>
      <c r="L1215" s="5">
        <v>0.3</v>
      </c>
      <c r="M1215" t="s">
        <v>133</v>
      </c>
      <c r="N1215" t="s">
        <v>364</v>
      </c>
    </row>
    <row r="1216" spans="1:14">
      <c r="A1216" t="s">
        <v>29</v>
      </c>
      <c r="B1216">
        <v>1185732</v>
      </c>
      <c r="C1216" s="2">
        <v>44488</v>
      </c>
      <c r="D1216" t="s">
        <v>137</v>
      </c>
      <c r="E1216" t="s">
        <v>247</v>
      </c>
      <c r="F1216" t="s">
        <v>188</v>
      </c>
      <c r="G1216" t="s">
        <v>147</v>
      </c>
      <c r="H1216" s="3">
        <v>0.65</v>
      </c>
      <c r="I1216">
        <v>1000</v>
      </c>
      <c r="J1216" s="4">
        <v>650</v>
      </c>
      <c r="K1216" s="4">
        <v>162.5</v>
      </c>
      <c r="L1216" s="5">
        <v>0.25</v>
      </c>
      <c r="M1216" t="s">
        <v>133</v>
      </c>
      <c r="N1216" t="s">
        <v>364</v>
      </c>
    </row>
    <row r="1217" spans="1:14">
      <c r="A1217" t="s">
        <v>29</v>
      </c>
      <c r="B1217">
        <v>1185732</v>
      </c>
      <c r="C1217" s="2">
        <v>44488</v>
      </c>
      <c r="D1217" t="s">
        <v>137</v>
      </c>
      <c r="E1217" t="s">
        <v>247</v>
      </c>
      <c r="F1217" t="s">
        <v>188</v>
      </c>
      <c r="G1217" t="s">
        <v>144</v>
      </c>
      <c r="H1217" s="3">
        <v>0.7</v>
      </c>
      <c r="I1217">
        <v>2250</v>
      </c>
      <c r="J1217" s="4">
        <v>1575</v>
      </c>
      <c r="K1217" s="4">
        <v>630</v>
      </c>
      <c r="L1217" s="5">
        <v>0.4</v>
      </c>
      <c r="M1217" t="s">
        <v>133</v>
      </c>
      <c r="N1217" t="s">
        <v>364</v>
      </c>
    </row>
    <row r="1218" spans="1:14">
      <c r="A1218" t="s">
        <v>29</v>
      </c>
      <c r="B1218">
        <v>1185732</v>
      </c>
      <c r="C1218" s="2">
        <v>44518</v>
      </c>
      <c r="D1218" t="s">
        <v>137</v>
      </c>
      <c r="E1218" t="s">
        <v>247</v>
      </c>
      <c r="F1218" t="s">
        <v>188</v>
      </c>
      <c r="G1218" t="s">
        <v>27</v>
      </c>
      <c r="H1218" s="3">
        <v>0.65</v>
      </c>
      <c r="I1218">
        <v>3750</v>
      </c>
      <c r="J1218" s="4">
        <v>2437.5</v>
      </c>
      <c r="K1218" s="4">
        <v>853.125</v>
      </c>
      <c r="L1218" s="5">
        <v>0.35</v>
      </c>
      <c r="M1218" t="s">
        <v>134</v>
      </c>
      <c r="N1218" t="s">
        <v>364</v>
      </c>
    </row>
    <row r="1219" spans="1:14">
      <c r="A1219" t="s">
        <v>29</v>
      </c>
      <c r="B1219">
        <v>1185732</v>
      </c>
      <c r="C1219" s="2">
        <v>44518</v>
      </c>
      <c r="D1219" t="s">
        <v>137</v>
      </c>
      <c r="E1219" t="s">
        <v>247</v>
      </c>
      <c r="F1219" t="s">
        <v>188</v>
      </c>
      <c r="G1219" t="s">
        <v>145</v>
      </c>
      <c r="H1219" s="3">
        <v>0.55000000000000004</v>
      </c>
      <c r="I1219">
        <v>2000</v>
      </c>
      <c r="J1219" s="4">
        <v>1100</v>
      </c>
      <c r="K1219" s="4">
        <v>385</v>
      </c>
      <c r="L1219" s="5">
        <v>0.35</v>
      </c>
      <c r="M1219" t="s">
        <v>134</v>
      </c>
      <c r="N1219" t="s">
        <v>364</v>
      </c>
    </row>
    <row r="1220" spans="1:14">
      <c r="A1220" t="s">
        <v>29</v>
      </c>
      <c r="B1220">
        <v>1185732</v>
      </c>
      <c r="C1220" s="2">
        <v>44518</v>
      </c>
      <c r="D1220" t="s">
        <v>137</v>
      </c>
      <c r="E1220" t="s">
        <v>247</v>
      </c>
      <c r="F1220" t="s">
        <v>188</v>
      </c>
      <c r="G1220" t="s">
        <v>146</v>
      </c>
      <c r="H1220" s="3">
        <v>0.55000000000000004</v>
      </c>
      <c r="I1220">
        <v>1950</v>
      </c>
      <c r="J1220" s="4">
        <v>1072.5</v>
      </c>
      <c r="K1220" s="4">
        <v>428.99999999999994</v>
      </c>
      <c r="L1220" s="5">
        <v>0.39999999999999997</v>
      </c>
      <c r="M1220" t="s">
        <v>134</v>
      </c>
      <c r="N1220" t="s">
        <v>364</v>
      </c>
    </row>
    <row r="1221" spans="1:14">
      <c r="A1221" t="s">
        <v>29</v>
      </c>
      <c r="B1221">
        <v>1185732</v>
      </c>
      <c r="C1221" s="2">
        <v>44518</v>
      </c>
      <c r="D1221" t="s">
        <v>137</v>
      </c>
      <c r="E1221" t="s">
        <v>247</v>
      </c>
      <c r="F1221" t="s">
        <v>188</v>
      </c>
      <c r="G1221" t="s">
        <v>148</v>
      </c>
      <c r="H1221" s="3">
        <v>0.55000000000000004</v>
      </c>
      <c r="I1221">
        <v>1750</v>
      </c>
      <c r="J1221" s="4">
        <v>962.50000000000011</v>
      </c>
      <c r="K1221" s="4">
        <v>288.75</v>
      </c>
      <c r="L1221" s="5">
        <v>0.3</v>
      </c>
      <c r="M1221" t="s">
        <v>134</v>
      </c>
      <c r="N1221" t="s">
        <v>364</v>
      </c>
    </row>
    <row r="1222" spans="1:14">
      <c r="A1222" t="s">
        <v>29</v>
      </c>
      <c r="B1222">
        <v>1185732</v>
      </c>
      <c r="C1222" s="2">
        <v>44518</v>
      </c>
      <c r="D1222" t="s">
        <v>137</v>
      </c>
      <c r="E1222" t="s">
        <v>247</v>
      </c>
      <c r="F1222" t="s">
        <v>188</v>
      </c>
      <c r="G1222" t="s">
        <v>147</v>
      </c>
      <c r="H1222" s="3">
        <v>0.65</v>
      </c>
      <c r="I1222">
        <v>1500</v>
      </c>
      <c r="J1222" s="4">
        <v>975</v>
      </c>
      <c r="K1222" s="4">
        <v>243.75</v>
      </c>
      <c r="L1222" s="5">
        <v>0.25</v>
      </c>
      <c r="M1222" t="s">
        <v>134</v>
      </c>
      <c r="N1222" t="s">
        <v>364</v>
      </c>
    </row>
    <row r="1223" spans="1:14">
      <c r="A1223" t="s">
        <v>29</v>
      </c>
      <c r="B1223">
        <v>1185732</v>
      </c>
      <c r="C1223" s="2">
        <v>44518</v>
      </c>
      <c r="D1223" t="s">
        <v>137</v>
      </c>
      <c r="E1223" t="s">
        <v>247</v>
      </c>
      <c r="F1223" t="s">
        <v>188</v>
      </c>
      <c r="G1223" t="s">
        <v>144</v>
      </c>
      <c r="H1223" s="3">
        <v>0.7</v>
      </c>
      <c r="I1223">
        <v>2500</v>
      </c>
      <c r="J1223" s="4">
        <v>1750</v>
      </c>
      <c r="K1223" s="4">
        <v>700</v>
      </c>
      <c r="L1223" s="5">
        <v>0.4</v>
      </c>
      <c r="M1223" t="s">
        <v>134</v>
      </c>
      <c r="N1223" t="s">
        <v>364</v>
      </c>
    </row>
    <row r="1224" spans="1:14">
      <c r="A1224" t="s">
        <v>29</v>
      </c>
      <c r="B1224">
        <v>1185732</v>
      </c>
      <c r="C1224" s="2">
        <v>44547</v>
      </c>
      <c r="D1224" t="s">
        <v>137</v>
      </c>
      <c r="E1224" t="s">
        <v>247</v>
      </c>
      <c r="F1224" t="s">
        <v>188</v>
      </c>
      <c r="G1224" t="s">
        <v>27</v>
      </c>
      <c r="H1224" s="3">
        <v>0.65</v>
      </c>
      <c r="I1224">
        <v>4750</v>
      </c>
      <c r="J1224" s="4">
        <v>3087.5</v>
      </c>
      <c r="K1224" s="4">
        <v>1080.625</v>
      </c>
      <c r="L1224" s="5">
        <v>0.35</v>
      </c>
      <c r="M1224" t="s">
        <v>23</v>
      </c>
      <c r="N1224" t="s">
        <v>364</v>
      </c>
    </row>
    <row r="1225" spans="1:14">
      <c r="A1225" t="s">
        <v>29</v>
      </c>
      <c r="B1225">
        <v>1185732</v>
      </c>
      <c r="C1225" s="2">
        <v>44547</v>
      </c>
      <c r="D1225" t="s">
        <v>137</v>
      </c>
      <c r="E1225" t="s">
        <v>247</v>
      </c>
      <c r="F1225" t="s">
        <v>188</v>
      </c>
      <c r="G1225" t="s">
        <v>145</v>
      </c>
      <c r="H1225" s="3">
        <v>0.55000000000000004</v>
      </c>
      <c r="I1225">
        <v>2750</v>
      </c>
      <c r="J1225" s="4">
        <v>1512.5000000000002</v>
      </c>
      <c r="K1225" s="4">
        <v>529.375</v>
      </c>
      <c r="L1225" s="5">
        <v>0.35</v>
      </c>
      <c r="M1225" t="s">
        <v>23</v>
      </c>
      <c r="N1225" t="s">
        <v>364</v>
      </c>
    </row>
    <row r="1226" spans="1:14">
      <c r="A1226" t="s">
        <v>29</v>
      </c>
      <c r="B1226">
        <v>1185732</v>
      </c>
      <c r="C1226" s="2">
        <v>44547</v>
      </c>
      <c r="D1226" t="s">
        <v>137</v>
      </c>
      <c r="E1226" t="s">
        <v>247</v>
      </c>
      <c r="F1226" t="s">
        <v>188</v>
      </c>
      <c r="G1226" t="s">
        <v>146</v>
      </c>
      <c r="H1226" s="3">
        <v>0.55000000000000004</v>
      </c>
      <c r="I1226">
        <v>2500</v>
      </c>
      <c r="J1226" s="4">
        <v>1375</v>
      </c>
      <c r="K1226" s="4">
        <v>550</v>
      </c>
      <c r="L1226" s="5">
        <v>0.39999999999999997</v>
      </c>
      <c r="M1226" t="s">
        <v>23</v>
      </c>
      <c r="N1226" t="s">
        <v>364</v>
      </c>
    </row>
    <row r="1227" spans="1:14">
      <c r="A1227" t="s">
        <v>29</v>
      </c>
      <c r="B1227">
        <v>1185732</v>
      </c>
      <c r="C1227" s="2">
        <v>44547</v>
      </c>
      <c r="D1227" t="s">
        <v>137</v>
      </c>
      <c r="E1227" t="s">
        <v>247</v>
      </c>
      <c r="F1227" t="s">
        <v>188</v>
      </c>
      <c r="G1227" t="s">
        <v>148</v>
      </c>
      <c r="H1227" s="3">
        <v>0.55000000000000004</v>
      </c>
      <c r="I1227">
        <v>2000</v>
      </c>
      <c r="J1227" s="4">
        <v>1100</v>
      </c>
      <c r="K1227" s="4">
        <v>330</v>
      </c>
      <c r="L1227" s="5">
        <v>0.3</v>
      </c>
      <c r="M1227" t="s">
        <v>23</v>
      </c>
      <c r="N1227" t="s">
        <v>364</v>
      </c>
    </row>
    <row r="1228" spans="1:14">
      <c r="A1228" t="s">
        <v>29</v>
      </c>
      <c r="B1228">
        <v>1185732</v>
      </c>
      <c r="C1228" s="2">
        <v>44547</v>
      </c>
      <c r="D1228" t="s">
        <v>137</v>
      </c>
      <c r="E1228" t="s">
        <v>247</v>
      </c>
      <c r="F1228" t="s">
        <v>188</v>
      </c>
      <c r="G1228" t="s">
        <v>147</v>
      </c>
      <c r="H1228" s="3">
        <v>0.65</v>
      </c>
      <c r="I1228">
        <v>2000</v>
      </c>
      <c r="J1228" s="4">
        <v>1300</v>
      </c>
      <c r="K1228" s="4">
        <v>325</v>
      </c>
      <c r="L1228" s="5">
        <v>0.25</v>
      </c>
      <c r="M1228" t="s">
        <v>23</v>
      </c>
      <c r="N1228" t="s">
        <v>364</v>
      </c>
    </row>
    <row r="1229" spans="1:14">
      <c r="A1229" t="s">
        <v>29</v>
      </c>
      <c r="B1229">
        <v>1185732</v>
      </c>
      <c r="C1229" s="2">
        <v>44547</v>
      </c>
      <c r="D1229" t="s">
        <v>137</v>
      </c>
      <c r="E1229" t="s">
        <v>247</v>
      </c>
      <c r="F1229" t="s">
        <v>188</v>
      </c>
      <c r="G1229" t="s">
        <v>144</v>
      </c>
      <c r="H1229" s="3">
        <v>0.7</v>
      </c>
      <c r="I1229">
        <v>3000</v>
      </c>
      <c r="J1229" s="4">
        <v>2100</v>
      </c>
      <c r="K1229" s="4">
        <v>840</v>
      </c>
      <c r="L1229" s="5">
        <v>0.4</v>
      </c>
      <c r="M1229" t="s">
        <v>23</v>
      </c>
      <c r="N1229" t="s">
        <v>364</v>
      </c>
    </row>
    <row r="1230" spans="1:14">
      <c r="A1230" t="s">
        <v>151</v>
      </c>
      <c r="B1230">
        <v>1128299</v>
      </c>
      <c r="C1230" s="2">
        <v>44206</v>
      </c>
      <c r="D1230" t="s">
        <v>28</v>
      </c>
      <c r="E1230" t="s">
        <v>185</v>
      </c>
      <c r="F1230" t="s">
        <v>190</v>
      </c>
      <c r="G1230" t="s">
        <v>27</v>
      </c>
      <c r="H1230" s="3">
        <v>0.35000000000000003</v>
      </c>
      <c r="I1230">
        <v>3750</v>
      </c>
      <c r="J1230" s="4">
        <v>1312.5000000000002</v>
      </c>
      <c r="K1230" s="4">
        <v>328.12500000000006</v>
      </c>
      <c r="L1230" s="5">
        <v>0.25</v>
      </c>
      <c r="M1230" t="s">
        <v>125</v>
      </c>
      <c r="N1230" t="s">
        <v>361</v>
      </c>
    </row>
    <row r="1231" spans="1:14">
      <c r="A1231" t="s">
        <v>151</v>
      </c>
      <c r="B1231">
        <v>1128299</v>
      </c>
      <c r="C1231" s="2">
        <v>44206</v>
      </c>
      <c r="D1231" t="s">
        <v>28</v>
      </c>
      <c r="E1231" t="s">
        <v>185</v>
      </c>
      <c r="F1231" t="s">
        <v>190</v>
      </c>
      <c r="G1231" t="s">
        <v>145</v>
      </c>
      <c r="H1231" s="3">
        <v>0.45</v>
      </c>
      <c r="I1231">
        <v>3750</v>
      </c>
      <c r="J1231" s="4">
        <v>1687.5</v>
      </c>
      <c r="K1231" s="4">
        <v>337.5</v>
      </c>
      <c r="L1231" s="5">
        <v>0.2</v>
      </c>
      <c r="M1231" t="s">
        <v>125</v>
      </c>
      <c r="N1231" t="s">
        <v>361</v>
      </c>
    </row>
    <row r="1232" spans="1:14">
      <c r="A1232" t="s">
        <v>151</v>
      </c>
      <c r="B1232">
        <v>1128299</v>
      </c>
      <c r="C1232" s="2">
        <v>44206</v>
      </c>
      <c r="D1232" t="s">
        <v>28</v>
      </c>
      <c r="E1232" t="s">
        <v>185</v>
      </c>
      <c r="F1232" t="s">
        <v>190</v>
      </c>
      <c r="G1232" t="s">
        <v>146</v>
      </c>
      <c r="H1232" s="3">
        <v>0.45</v>
      </c>
      <c r="I1232">
        <v>3750</v>
      </c>
      <c r="J1232" s="4">
        <v>1687.5</v>
      </c>
      <c r="K1232" s="4">
        <v>421.875</v>
      </c>
      <c r="L1232" s="5">
        <v>0.25</v>
      </c>
      <c r="M1232" t="s">
        <v>125</v>
      </c>
      <c r="N1232" t="s">
        <v>361</v>
      </c>
    </row>
    <row r="1233" spans="1:14">
      <c r="A1233" t="s">
        <v>151</v>
      </c>
      <c r="B1233">
        <v>1128299</v>
      </c>
      <c r="C1233" s="2">
        <v>44206</v>
      </c>
      <c r="D1233" t="s">
        <v>28</v>
      </c>
      <c r="E1233" t="s">
        <v>185</v>
      </c>
      <c r="F1233" t="s">
        <v>190</v>
      </c>
      <c r="G1233" t="s">
        <v>148</v>
      </c>
      <c r="H1233" s="3">
        <v>0.45</v>
      </c>
      <c r="I1233">
        <v>2250</v>
      </c>
      <c r="J1233" s="4">
        <v>1012.5</v>
      </c>
      <c r="K1233" s="4">
        <v>253.125</v>
      </c>
      <c r="L1233" s="5">
        <v>0.25</v>
      </c>
      <c r="M1233" t="s">
        <v>125</v>
      </c>
      <c r="N1233" t="s">
        <v>361</v>
      </c>
    </row>
    <row r="1234" spans="1:14">
      <c r="A1234" t="s">
        <v>151</v>
      </c>
      <c r="B1234">
        <v>1128299</v>
      </c>
      <c r="C1234" s="2">
        <v>44206</v>
      </c>
      <c r="D1234" t="s">
        <v>28</v>
      </c>
      <c r="E1234" t="s">
        <v>185</v>
      </c>
      <c r="F1234" t="s">
        <v>190</v>
      </c>
      <c r="G1234" t="s">
        <v>147</v>
      </c>
      <c r="H1234" s="3">
        <v>0.5</v>
      </c>
      <c r="I1234">
        <v>1750</v>
      </c>
      <c r="J1234" s="4">
        <v>875</v>
      </c>
      <c r="K1234" s="4">
        <v>131.25</v>
      </c>
      <c r="L1234" s="5">
        <v>0.15</v>
      </c>
      <c r="M1234" t="s">
        <v>125</v>
      </c>
      <c r="N1234" t="s">
        <v>361</v>
      </c>
    </row>
    <row r="1235" spans="1:14">
      <c r="A1235" t="s">
        <v>151</v>
      </c>
      <c r="B1235">
        <v>1128299</v>
      </c>
      <c r="C1235" s="2">
        <v>44206</v>
      </c>
      <c r="D1235" t="s">
        <v>28</v>
      </c>
      <c r="E1235" t="s">
        <v>185</v>
      </c>
      <c r="F1235" t="s">
        <v>190</v>
      </c>
      <c r="G1235" t="s">
        <v>144</v>
      </c>
      <c r="H1235" s="3">
        <v>0.45</v>
      </c>
      <c r="I1235">
        <v>4250</v>
      </c>
      <c r="J1235" s="4">
        <v>1912.5</v>
      </c>
      <c r="K1235" s="4">
        <v>765</v>
      </c>
      <c r="L1235" s="5">
        <v>0.4</v>
      </c>
      <c r="M1235" t="s">
        <v>125</v>
      </c>
      <c r="N1235" t="s">
        <v>361</v>
      </c>
    </row>
    <row r="1236" spans="1:14">
      <c r="A1236" t="s">
        <v>151</v>
      </c>
      <c r="B1236">
        <v>1128299</v>
      </c>
      <c r="C1236" s="2">
        <v>44237</v>
      </c>
      <c r="D1236" t="s">
        <v>28</v>
      </c>
      <c r="E1236" t="s">
        <v>185</v>
      </c>
      <c r="F1236" t="s">
        <v>190</v>
      </c>
      <c r="G1236" t="s">
        <v>27</v>
      </c>
      <c r="H1236" s="3">
        <v>0.35000000000000003</v>
      </c>
      <c r="I1236">
        <v>4750</v>
      </c>
      <c r="J1236" s="4">
        <v>1662.5000000000002</v>
      </c>
      <c r="K1236" s="4">
        <v>415.62500000000006</v>
      </c>
      <c r="L1236" s="5">
        <v>0.25</v>
      </c>
      <c r="M1236" t="s">
        <v>126</v>
      </c>
      <c r="N1236" t="s">
        <v>361</v>
      </c>
    </row>
    <row r="1237" spans="1:14">
      <c r="A1237" t="s">
        <v>151</v>
      </c>
      <c r="B1237">
        <v>1128299</v>
      </c>
      <c r="C1237" s="2">
        <v>44237</v>
      </c>
      <c r="D1237" t="s">
        <v>28</v>
      </c>
      <c r="E1237" t="s">
        <v>185</v>
      </c>
      <c r="F1237" t="s">
        <v>190</v>
      </c>
      <c r="G1237" t="s">
        <v>145</v>
      </c>
      <c r="H1237" s="3">
        <v>0.45</v>
      </c>
      <c r="I1237">
        <v>3750</v>
      </c>
      <c r="J1237" s="4">
        <v>1687.5</v>
      </c>
      <c r="K1237" s="4">
        <v>337.5</v>
      </c>
      <c r="L1237" s="5">
        <v>0.2</v>
      </c>
      <c r="M1237" t="s">
        <v>126</v>
      </c>
      <c r="N1237" t="s">
        <v>361</v>
      </c>
    </row>
    <row r="1238" spans="1:14">
      <c r="A1238" t="s">
        <v>151</v>
      </c>
      <c r="B1238">
        <v>1128299</v>
      </c>
      <c r="C1238" s="2">
        <v>44237</v>
      </c>
      <c r="D1238" t="s">
        <v>28</v>
      </c>
      <c r="E1238" t="s">
        <v>185</v>
      </c>
      <c r="F1238" t="s">
        <v>190</v>
      </c>
      <c r="G1238" t="s">
        <v>146</v>
      </c>
      <c r="H1238" s="3">
        <v>0.45</v>
      </c>
      <c r="I1238">
        <v>3750</v>
      </c>
      <c r="J1238" s="4">
        <v>1687.5</v>
      </c>
      <c r="K1238" s="4">
        <v>421.875</v>
      </c>
      <c r="L1238" s="5">
        <v>0.25</v>
      </c>
      <c r="M1238" t="s">
        <v>126</v>
      </c>
      <c r="N1238" t="s">
        <v>361</v>
      </c>
    </row>
    <row r="1239" spans="1:14">
      <c r="A1239" t="s">
        <v>151</v>
      </c>
      <c r="B1239">
        <v>1128299</v>
      </c>
      <c r="C1239" s="2">
        <v>44237</v>
      </c>
      <c r="D1239" t="s">
        <v>28</v>
      </c>
      <c r="E1239" t="s">
        <v>185</v>
      </c>
      <c r="F1239" t="s">
        <v>190</v>
      </c>
      <c r="G1239" t="s">
        <v>148</v>
      </c>
      <c r="H1239" s="3">
        <v>0.45</v>
      </c>
      <c r="I1239">
        <v>2250</v>
      </c>
      <c r="J1239" s="4">
        <v>1012.5</v>
      </c>
      <c r="K1239" s="4">
        <v>253.125</v>
      </c>
      <c r="L1239" s="5">
        <v>0.25</v>
      </c>
      <c r="M1239" t="s">
        <v>126</v>
      </c>
      <c r="N1239" t="s">
        <v>361</v>
      </c>
    </row>
    <row r="1240" spans="1:14">
      <c r="A1240" t="s">
        <v>151</v>
      </c>
      <c r="B1240">
        <v>1128299</v>
      </c>
      <c r="C1240" s="2">
        <v>44237</v>
      </c>
      <c r="D1240" t="s">
        <v>28</v>
      </c>
      <c r="E1240" t="s">
        <v>185</v>
      </c>
      <c r="F1240" t="s">
        <v>190</v>
      </c>
      <c r="G1240" t="s">
        <v>147</v>
      </c>
      <c r="H1240" s="3">
        <v>0.5</v>
      </c>
      <c r="I1240">
        <v>1500</v>
      </c>
      <c r="J1240" s="4">
        <v>750</v>
      </c>
      <c r="K1240" s="4">
        <v>112.5</v>
      </c>
      <c r="L1240" s="5">
        <v>0.15</v>
      </c>
      <c r="M1240" t="s">
        <v>126</v>
      </c>
      <c r="N1240" t="s">
        <v>361</v>
      </c>
    </row>
    <row r="1241" spans="1:14">
      <c r="A1241" t="s">
        <v>151</v>
      </c>
      <c r="B1241">
        <v>1128299</v>
      </c>
      <c r="C1241" s="2">
        <v>44237</v>
      </c>
      <c r="D1241" t="s">
        <v>28</v>
      </c>
      <c r="E1241" t="s">
        <v>185</v>
      </c>
      <c r="F1241" t="s">
        <v>190</v>
      </c>
      <c r="G1241" t="s">
        <v>144</v>
      </c>
      <c r="H1241" s="3">
        <v>0.45</v>
      </c>
      <c r="I1241">
        <v>3500</v>
      </c>
      <c r="J1241" s="4">
        <v>1575</v>
      </c>
      <c r="K1241" s="4">
        <v>630</v>
      </c>
      <c r="L1241" s="5">
        <v>0.4</v>
      </c>
      <c r="M1241" t="s">
        <v>126</v>
      </c>
      <c r="N1241" t="s">
        <v>361</v>
      </c>
    </row>
    <row r="1242" spans="1:14">
      <c r="A1242" t="s">
        <v>151</v>
      </c>
      <c r="B1242">
        <v>1128299</v>
      </c>
      <c r="C1242" s="2">
        <v>44264</v>
      </c>
      <c r="D1242" t="s">
        <v>28</v>
      </c>
      <c r="E1242" t="s">
        <v>185</v>
      </c>
      <c r="F1242" t="s">
        <v>190</v>
      </c>
      <c r="G1242" t="s">
        <v>27</v>
      </c>
      <c r="H1242" s="3">
        <v>0.45</v>
      </c>
      <c r="I1242">
        <v>5000</v>
      </c>
      <c r="J1242" s="4">
        <v>2250</v>
      </c>
      <c r="K1242" s="4">
        <v>562.5</v>
      </c>
      <c r="L1242" s="5">
        <v>0.25</v>
      </c>
      <c r="M1242" t="s">
        <v>24</v>
      </c>
      <c r="N1242" t="s">
        <v>361</v>
      </c>
    </row>
    <row r="1243" spans="1:14">
      <c r="A1243" t="s">
        <v>151</v>
      </c>
      <c r="B1243">
        <v>1128299</v>
      </c>
      <c r="C1243" s="2">
        <v>44264</v>
      </c>
      <c r="D1243" t="s">
        <v>28</v>
      </c>
      <c r="E1243" t="s">
        <v>185</v>
      </c>
      <c r="F1243" t="s">
        <v>190</v>
      </c>
      <c r="G1243" t="s">
        <v>145</v>
      </c>
      <c r="H1243" s="3">
        <v>0.54999999999999993</v>
      </c>
      <c r="I1243">
        <v>3500</v>
      </c>
      <c r="J1243" s="4">
        <v>1924.9999999999998</v>
      </c>
      <c r="K1243" s="4">
        <v>385</v>
      </c>
      <c r="L1243" s="5">
        <v>0.2</v>
      </c>
      <c r="M1243" t="s">
        <v>24</v>
      </c>
      <c r="N1243" t="s">
        <v>361</v>
      </c>
    </row>
    <row r="1244" spans="1:14">
      <c r="A1244" t="s">
        <v>151</v>
      </c>
      <c r="B1244">
        <v>1128299</v>
      </c>
      <c r="C1244" s="2">
        <v>44264</v>
      </c>
      <c r="D1244" t="s">
        <v>28</v>
      </c>
      <c r="E1244" t="s">
        <v>185</v>
      </c>
      <c r="F1244" t="s">
        <v>190</v>
      </c>
      <c r="G1244" t="s">
        <v>146</v>
      </c>
      <c r="H1244" s="3">
        <v>0.59999999999999987</v>
      </c>
      <c r="I1244">
        <v>3750</v>
      </c>
      <c r="J1244" s="4">
        <v>2249.9999999999995</v>
      </c>
      <c r="K1244" s="4">
        <v>562.49999999999989</v>
      </c>
      <c r="L1244" s="5">
        <v>0.25</v>
      </c>
      <c r="M1244" t="s">
        <v>24</v>
      </c>
      <c r="N1244" t="s">
        <v>361</v>
      </c>
    </row>
    <row r="1245" spans="1:14">
      <c r="A1245" t="s">
        <v>151</v>
      </c>
      <c r="B1245">
        <v>1128299</v>
      </c>
      <c r="C1245" s="2">
        <v>44264</v>
      </c>
      <c r="D1245" t="s">
        <v>28</v>
      </c>
      <c r="E1245" t="s">
        <v>185</v>
      </c>
      <c r="F1245" t="s">
        <v>190</v>
      </c>
      <c r="G1245" t="s">
        <v>148</v>
      </c>
      <c r="H1245" s="3">
        <v>0.54999999999999993</v>
      </c>
      <c r="I1245">
        <v>2750</v>
      </c>
      <c r="J1245" s="4">
        <v>1512.4999999999998</v>
      </c>
      <c r="K1245" s="4">
        <v>378.12499999999994</v>
      </c>
      <c r="L1245" s="5">
        <v>0.25</v>
      </c>
      <c r="M1245" t="s">
        <v>24</v>
      </c>
      <c r="N1245" t="s">
        <v>361</v>
      </c>
    </row>
    <row r="1246" spans="1:14">
      <c r="A1246" t="s">
        <v>151</v>
      </c>
      <c r="B1246">
        <v>1128299</v>
      </c>
      <c r="C1246" s="2">
        <v>44264</v>
      </c>
      <c r="D1246" t="s">
        <v>28</v>
      </c>
      <c r="E1246" t="s">
        <v>185</v>
      </c>
      <c r="F1246" t="s">
        <v>190</v>
      </c>
      <c r="G1246" t="s">
        <v>147</v>
      </c>
      <c r="H1246" s="3">
        <v>0.6</v>
      </c>
      <c r="I1246">
        <v>1250</v>
      </c>
      <c r="J1246" s="4">
        <v>750</v>
      </c>
      <c r="K1246" s="4">
        <v>112.5</v>
      </c>
      <c r="L1246" s="5">
        <v>0.15</v>
      </c>
      <c r="M1246" t="s">
        <v>24</v>
      </c>
      <c r="N1246" t="s">
        <v>361</v>
      </c>
    </row>
    <row r="1247" spans="1:14">
      <c r="A1247" t="s">
        <v>151</v>
      </c>
      <c r="B1247">
        <v>1128299</v>
      </c>
      <c r="C1247" s="2">
        <v>44264</v>
      </c>
      <c r="D1247" t="s">
        <v>28</v>
      </c>
      <c r="E1247" t="s">
        <v>185</v>
      </c>
      <c r="F1247" t="s">
        <v>190</v>
      </c>
      <c r="G1247" t="s">
        <v>144</v>
      </c>
      <c r="H1247" s="3">
        <v>0.54999999999999993</v>
      </c>
      <c r="I1247">
        <v>3250</v>
      </c>
      <c r="J1247" s="4">
        <v>1787.4999999999998</v>
      </c>
      <c r="K1247" s="4">
        <v>715</v>
      </c>
      <c r="L1247" s="5">
        <v>0.4</v>
      </c>
      <c r="M1247" t="s">
        <v>24</v>
      </c>
      <c r="N1247" t="s">
        <v>361</v>
      </c>
    </row>
    <row r="1248" spans="1:14">
      <c r="A1248" t="s">
        <v>151</v>
      </c>
      <c r="B1248">
        <v>1128299</v>
      </c>
      <c r="C1248" s="2">
        <v>44296</v>
      </c>
      <c r="D1248" t="s">
        <v>28</v>
      </c>
      <c r="E1248" t="s">
        <v>185</v>
      </c>
      <c r="F1248" t="s">
        <v>190</v>
      </c>
      <c r="G1248" t="s">
        <v>27</v>
      </c>
      <c r="H1248" s="3">
        <v>0.6</v>
      </c>
      <c r="I1248">
        <v>5000</v>
      </c>
      <c r="J1248" s="4">
        <v>3000</v>
      </c>
      <c r="K1248" s="4">
        <v>750</v>
      </c>
      <c r="L1248" s="5">
        <v>0.25</v>
      </c>
      <c r="M1248" t="s">
        <v>127</v>
      </c>
      <c r="N1248" t="s">
        <v>362</v>
      </c>
    </row>
    <row r="1249" spans="1:14">
      <c r="A1249" t="s">
        <v>151</v>
      </c>
      <c r="B1249">
        <v>1128299</v>
      </c>
      <c r="C1249" s="2">
        <v>44296</v>
      </c>
      <c r="D1249" t="s">
        <v>28</v>
      </c>
      <c r="E1249" t="s">
        <v>185</v>
      </c>
      <c r="F1249" t="s">
        <v>190</v>
      </c>
      <c r="G1249" t="s">
        <v>145</v>
      </c>
      <c r="H1249" s="3">
        <v>0.65</v>
      </c>
      <c r="I1249">
        <v>3000</v>
      </c>
      <c r="J1249" s="4">
        <v>1950</v>
      </c>
      <c r="K1249" s="4">
        <v>390</v>
      </c>
      <c r="L1249" s="5">
        <v>0.2</v>
      </c>
      <c r="M1249" t="s">
        <v>127</v>
      </c>
      <c r="N1249" t="s">
        <v>362</v>
      </c>
    </row>
    <row r="1250" spans="1:14">
      <c r="A1250" t="s">
        <v>151</v>
      </c>
      <c r="B1250">
        <v>1128299</v>
      </c>
      <c r="C1250" s="2">
        <v>44296</v>
      </c>
      <c r="D1250" t="s">
        <v>28</v>
      </c>
      <c r="E1250" t="s">
        <v>185</v>
      </c>
      <c r="F1250" t="s">
        <v>190</v>
      </c>
      <c r="G1250" t="s">
        <v>146</v>
      </c>
      <c r="H1250" s="3">
        <v>0.65</v>
      </c>
      <c r="I1250">
        <v>3500</v>
      </c>
      <c r="J1250" s="4">
        <v>2275</v>
      </c>
      <c r="K1250" s="4">
        <v>568.75</v>
      </c>
      <c r="L1250" s="5">
        <v>0.25</v>
      </c>
      <c r="M1250" t="s">
        <v>127</v>
      </c>
      <c r="N1250" t="s">
        <v>362</v>
      </c>
    </row>
    <row r="1251" spans="1:14">
      <c r="A1251" t="s">
        <v>151</v>
      </c>
      <c r="B1251">
        <v>1128299</v>
      </c>
      <c r="C1251" s="2">
        <v>44296</v>
      </c>
      <c r="D1251" t="s">
        <v>28</v>
      </c>
      <c r="E1251" t="s">
        <v>185</v>
      </c>
      <c r="F1251" t="s">
        <v>190</v>
      </c>
      <c r="G1251" t="s">
        <v>148</v>
      </c>
      <c r="H1251" s="3">
        <v>0.5</v>
      </c>
      <c r="I1251">
        <v>2500</v>
      </c>
      <c r="J1251" s="4">
        <v>1250</v>
      </c>
      <c r="K1251" s="4">
        <v>312.5</v>
      </c>
      <c r="L1251" s="5">
        <v>0.25</v>
      </c>
      <c r="M1251" t="s">
        <v>127</v>
      </c>
      <c r="N1251" t="s">
        <v>362</v>
      </c>
    </row>
    <row r="1252" spans="1:14">
      <c r="A1252" t="s">
        <v>151</v>
      </c>
      <c r="B1252">
        <v>1128299</v>
      </c>
      <c r="C1252" s="2">
        <v>44296</v>
      </c>
      <c r="D1252" t="s">
        <v>28</v>
      </c>
      <c r="E1252" t="s">
        <v>185</v>
      </c>
      <c r="F1252" t="s">
        <v>190</v>
      </c>
      <c r="G1252" t="s">
        <v>147</v>
      </c>
      <c r="H1252" s="3">
        <v>0.55000000000000004</v>
      </c>
      <c r="I1252">
        <v>1500</v>
      </c>
      <c r="J1252" s="4">
        <v>825.00000000000011</v>
      </c>
      <c r="K1252" s="4">
        <v>123.75000000000001</v>
      </c>
      <c r="L1252" s="5">
        <v>0.15</v>
      </c>
      <c r="M1252" t="s">
        <v>127</v>
      </c>
      <c r="N1252" t="s">
        <v>362</v>
      </c>
    </row>
    <row r="1253" spans="1:14">
      <c r="A1253" t="s">
        <v>151</v>
      </c>
      <c r="B1253">
        <v>1128299</v>
      </c>
      <c r="C1253" s="2">
        <v>44296</v>
      </c>
      <c r="D1253" t="s">
        <v>28</v>
      </c>
      <c r="E1253" t="s">
        <v>185</v>
      </c>
      <c r="F1253" t="s">
        <v>190</v>
      </c>
      <c r="G1253" t="s">
        <v>144</v>
      </c>
      <c r="H1253" s="3">
        <v>0.70000000000000007</v>
      </c>
      <c r="I1253">
        <v>3250</v>
      </c>
      <c r="J1253" s="4">
        <v>2275</v>
      </c>
      <c r="K1253" s="4">
        <v>910</v>
      </c>
      <c r="L1253" s="5">
        <v>0.4</v>
      </c>
      <c r="M1253" t="s">
        <v>127</v>
      </c>
      <c r="N1253" t="s">
        <v>362</v>
      </c>
    </row>
    <row r="1254" spans="1:14">
      <c r="A1254" t="s">
        <v>151</v>
      </c>
      <c r="B1254">
        <v>1128299</v>
      </c>
      <c r="C1254" s="2">
        <v>44327</v>
      </c>
      <c r="D1254" t="s">
        <v>28</v>
      </c>
      <c r="E1254" t="s">
        <v>185</v>
      </c>
      <c r="F1254" t="s">
        <v>190</v>
      </c>
      <c r="G1254" t="s">
        <v>27</v>
      </c>
      <c r="H1254" s="3">
        <v>0.54999999999999993</v>
      </c>
      <c r="I1254">
        <v>5250</v>
      </c>
      <c r="J1254" s="4">
        <v>2887.4999999999995</v>
      </c>
      <c r="K1254" s="4">
        <v>721.87499999999989</v>
      </c>
      <c r="L1254" s="5">
        <v>0.25</v>
      </c>
      <c r="M1254" t="s">
        <v>128</v>
      </c>
      <c r="N1254" t="s">
        <v>362</v>
      </c>
    </row>
    <row r="1255" spans="1:14">
      <c r="A1255" t="s">
        <v>151</v>
      </c>
      <c r="B1255">
        <v>1128299</v>
      </c>
      <c r="C1255" s="2">
        <v>44327</v>
      </c>
      <c r="D1255" t="s">
        <v>28</v>
      </c>
      <c r="E1255" t="s">
        <v>185</v>
      </c>
      <c r="F1255" t="s">
        <v>190</v>
      </c>
      <c r="G1255" t="s">
        <v>145</v>
      </c>
      <c r="H1255" s="3">
        <v>0.6</v>
      </c>
      <c r="I1255">
        <v>3750</v>
      </c>
      <c r="J1255" s="4">
        <v>2250</v>
      </c>
      <c r="K1255" s="4">
        <v>450</v>
      </c>
      <c r="L1255" s="5">
        <v>0.2</v>
      </c>
      <c r="M1255" t="s">
        <v>128</v>
      </c>
      <c r="N1255" t="s">
        <v>362</v>
      </c>
    </row>
    <row r="1256" spans="1:14">
      <c r="A1256" t="s">
        <v>151</v>
      </c>
      <c r="B1256">
        <v>1128299</v>
      </c>
      <c r="C1256" s="2">
        <v>44327</v>
      </c>
      <c r="D1256" t="s">
        <v>28</v>
      </c>
      <c r="E1256" t="s">
        <v>185</v>
      </c>
      <c r="F1256" t="s">
        <v>190</v>
      </c>
      <c r="G1256" t="s">
        <v>146</v>
      </c>
      <c r="H1256" s="3">
        <v>0.6</v>
      </c>
      <c r="I1256">
        <v>3750</v>
      </c>
      <c r="J1256" s="4">
        <v>2250</v>
      </c>
      <c r="K1256" s="4">
        <v>562.5</v>
      </c>
      <c r="L1256" s="5">
        <v>0.25</v>
      </c>
      <c r="M1256" t="s">
        <v>128</v>
      </c>
      <c r="N1256" t="s">
        <v>362</v>
      </c>
    </row>
    <row r="1257" spans="1:14">
      <c r="A1257" t="s">
        <v>151</v>
      </c>
      <c r="B1257">
        <v>1128299</v>
      </c>
      <c r="C1257" s="2">
        <v>44327</v>
      </c>
      <c r="D1257" t="s">
        <v>28</v>
      </c>
      <c r="E1257" t="s">
        <v>185</v>
      </c>
      <c r="F1257" t="s">
        <v>190</v>
      </c>
      <c r="G1257" t="s">
        <v>148</v>
      </c>
      <c r="H1257" s="3">
        <v>0.54999999999999993</v>
      </c>
      <c r="I1257">
        <v>2750</v>
      </c>
      <c r="J1257" s="4">
        <v>1512.4999999999998</v>
      </c>
      <c r="K1257" s="4">
        <v>378.12499999999994</v>
      </c>
      <c r="L1257" s="5">
        <v>0.25</v>
      </c>
      <c r="M1257" t="s">
        <v>128</v>
      </c>
      <c r="N1257" t="s">
        <v>362</v>
      </c>
    </row>
    <row r="1258" spans="1:14">
      <c r="A1258" t="s">
        <v>151</v>
      </c>
      <c r="B1258">
        <v>1128299</v>
      </c>
      <c r="C1258" s="2">
        <v>44327</v>
      </c>
      <c r="D1258" t="s">
        <v>28</v>
      </c>
      <c r="E1258" t="s">
        <v>185</v>
      </c>
      <c r="F1258" t="s">
        <v>190</v>
      </c>
      <c r="G1258" t="s">
        <v>147</v>
      </c>
      <c r="H1258" s="3">
        <v>0.6</v>
      </c>
      <c r="I1258">
        <v>1750</v>
      </c>
      <c r="J1258" s="4">
        <v>1050</v>
      </c>
      <c r="K1258" s="4">
        <v>157.5</v>
      </c>
      <c r="L1258" s="5">
        <v>0.15</v>
      </c>
      <c r="M1258" t="s">
        <v>128</v>
      </c>
      <c r="N1258" t="s">
        <v>362</v>
      </c>
    </row>
    <row r="1259" spans="1:14">
      <c r="A1259" t="s">
        <v>151</v>
      </c>
      <c r="B1259">
        <v>1128299</v>
      </c>
      <c r="C1259" s="2">
        <v>44327</v>
      </c>
      <c r="D1259" t="s">
        <v>28</v>
      </c>
      <c r="E1259" t="s">
        <v>185</v>
      </c>
      <c r="F1259" t="s">
        <v>190</v>
      </c>
      <c r="G1259" t="s">
        <v>144</v>
      </c>
      <c r="H1259" s="3">
        <v>0.75</v>
      </c>
      <c r="I1259">
        <v>4750</v>
      </c>
      <c r="J1259" s="4">
        <v>3562.5</v>
      </c>
      <c r="K1259" s="4">
        <v>1425</v>
      </c>
      <c r="L1259" s="5">
        <v>0.4</v>
      </c>
      <c r="M1259" t="s">
        <v>128</v>
      </c>
      <c r="N1259" t="s">
        <v>362</v>
      </c>
    </row>
    <row r="1260" spans="1:14">
      <c r="A1260" t="s">
        <v>151</v>
      </c>
      <c r="B1260">
        <v>1128299</v>
      </c>
      <c r="C1260" s="2">
        <v>44357</v>
      </c>
      <c r="D1260" t="s">
        <v>28</v>
      </c>
      <c r="E1260" t="s">
        <v>185</v>
      </c>
      <c r="F1260" t="s">
        <v>190</v>
      </c>
      <c r="G1260" t="s">
        <v>27</v>
      </c>
      <c r="H1260" s="3">
        <v>0.7</v>
      </c>
      <c r="I1260">
        <v>7250</v>
      </c>
      <c r="J1260" s="4">
        <v>5075</v>
      </c>
      <c r="K1260" s="4">
        <v>1268.75</v>
      </c>
      <c r="L1260" s="5">
        <v>0.25</v>
      </c>
      <c r="M1260" t="s">
        <v>129</v>
      </c>
      <c r="N1260" t="s">
        <v>362</v>
      </c>
    </row>
    <row r="1261" spans="1:14">
      <c r="A1261" t="s">
        <v>151</v>
      </c>
      <c r="B1261">
        <v>1128299</v>
      </c>
      <c r="C1261" s="2">
        <v>44357</v>
      </c>
      <c r="D1261" t="s">
        <v>28</v>
      </c>
      <c r="E1261" t="s">
        <v>185</v>
      </c>
      <c r="F1261" t="s">
        <v>190</v>
      </c>
      <c r="G1261" t="s">
        <v>145</v>
      </c>
      <c r="H1261" s="3">
        <v>0.75</v>
      </c>
      <c r="I1261">
        <v>6000</v>
      </c>
      <c r="J1261" s="4">
        <v>4500</v>
      </c>
      <c r="K1261" s="4">
        <v>900</v>
      </c>
      <c r="L1261" s="5">
        <v>0.2</v>
      </c>
      <c r="M1261" t="s">
        <v>129</v>
      </c>
      <c r="N1261" t="s">
        <v>362</v>
      </c>
    </row>
    <row r="1262" spans="1:14">
      <c r="A1262" t="s">
        <v>151</v>
      </c>
      <c r="B1262">
        <v>1128299</v>
      </c>
      <c r="C1262" s="2">
        <v>44357</v>
      </c>
      <c r="D1262" t="s">
        <v>28</v>
      </c>
      <c r="E1262" t="s">
        <v>185</v>
      </c>
      <c r="F1262" t="s">
        <v>190</v>
      </c>
      <c r="G1262" t="s">
        <v>146</v>
      </c>
      <c r="H1262" s="3">
        <v>0.75</v>
      </c>
      <c r="I1262">
        <v>6000</v>
      </c>
      <c r="J1262" s="4">
        <v>4500</v>
      </c>
      <c r="K1262" s="4">
        <v>1125</v>
      </c>
      <c r="L1262" s="5">
        <v>0.25</v>
      </c>
      <c r="M1262" t="s">
        <v>129</v>
      </c>
      <c r="N1262" t="s">
        <v>362</v>
      </c>
    </row>
    <row r="1263" spans="1:14">
      <c r="A1263" t="s">
        <v>151</v>
      </c>
      <c r="B1263">
        <v>1128299</v>
      </c>
      <c r="C1263" s="2">
        <v>44357</v>
      </c>
      <c r="D1263" t="s">
        <v>28</v>
      </c>
      <c r="E1263" t="s">
        <v>185</v>
      </c>
      <c r="F1263" t="s">
        <v>190</v>
      </c>
      <c r="G1263" t="s">
        <v>148</v>
      </c>
      <c r="H1263" s="3">
        <v>0.75</v>
      </c>
      <c r="I1263">
        <v>4750</v>
      </c>
      <c r="J1263" s="4">
        <v>3562.5</v>
      </c>
      <c r="K1263" s="4">
        <v>890.625</v>
      </c>
      <c r="L1263" s="5">
        <v>0.25</v>
      </c>
      <c r="M1263" t="s">
        <v>129</v>
      </c>
      <c r="N1263" t="s">
        <v>362</v>
      </c>
    </row>
    <row r="1264" spans="1:14">
      <c r="A1264" t="s">
        <v>151</v>
      </c>
      <c r="B1264">
        <v>1128299</v>
      </c>
      <c r="C1264" s="2">
        <v>44357</v>
      </c>
      <c r="D1264" t="s">
        <v>28</v>
      </c>
      <c r="E1264" t="s">
        <v>185</v>
      </c>
      <c r="F1264" t="s">
        <v>190</v>
      </c>
      <c r="G1264" t="s">
        <v>147</v>
      </c>
      <c r="H1264" s="3">
        <v>0.85000000000000009</v>
      </c>
      <c r="I1264">
        <v>3500</v>
      </c>
      <c r="J1264" s="4">
        <v>2975.0000000000005</v>
      </c>
      <c r="K1264" s="4">
        <v>446.25000000000006</v>
      </c>
      <c r="L1264" s="5">
        <v>0.15</v>
      </c>
      <c r="M1264" t="s">
        <v>129</v>
      </c>
      <c r="N1264" t="s">
        <v>362</v>
      </c>
    </row>
    <row r="1265" spans="1:14">
      <c r="A1265" t="s">
        <v>151</v>
      </c>
      <c r="B1265">
        <v>1128299</v>
      </c>
      <c r="C1265" s="2">
        <v>44357</v>
      </c>
      <c r="D1265" t="s">
        <v>28</v>
      </c>
      <c r="E1265" t="s">
        <v>185</v>
      </c>
      <c r="F1265" t="s">
        <v>190</v>
      </c>
      <c r="G1265" t="s">
        <v>144</v>
      </c>
      <c r="H1265" s="3">
        <v>1</v>
      </c>
      <c r="I1265">
        <v>6500</v>
      </c>
      <c r="J1265" s="4">
        <v>6500</v>
      </c>
      <c r="K1265" s="4">
        <v>2600</v>
      </c>
      <c r="L1265" s="5">
        <v>0.4</v>
      </c>
      <c r="M1265" t="s">
        <v>129</v>
      </c>
      <c r="N1265" t="s">
        <v>362</v>
      </c>
    </row>
    <row r="1266" spans="1:14">
      <c r="A1266" t="s">
        <v>151</v>
      </c>
      <c r="B1266">
        <v>1128299</v>
      </c>
      <c r="C1266" s="2">
        <v>44386</v>
      </c>
      <c r="D1266" t="s">
        <v>28</v>
      </c>
      <c r="E1266" t="s">
        <v>185</v>
      </c>
      <c r="F1266" t="s">
        <v>190</v>
      </c>
      <c r="G1266" t="s">
        <v>27</v>
      </c>
      <c r="H1266" s="3">
        <v>0.8</v>
      </c>
      <c r="I1266">
        <v>8000</v>
      </c>
      <c r="J1266" s="4">
        <v>6400</v>
      </c>
      <c r="K1266" s="4">
        <v>1600</v>
      </c>
      <c r="L1266" s="5">
        <v>0.25</v>
      </c>
      <c r="M1266" t="s">
        <v>130</v>
      </c>
      <c r="N1266" t="s">
        <v>363</v>
      </c>
    </row>
    <row r="1267" spans="1:14">
      <c r="A1267" t="s">
        <v>151</v>
      </c>
      <c r="B1267">
        <v>1128299</v>
      </c>
      <c r="C1267" s="2">
        <v>44386</v>
      </c>
      <c r="D1267" t="s">
        <v>28</v>
      </c>
      <c r="E1267" t="s">
        <v>185</v>
      </c>
      <c r="F1267" t="s">
        <v>190</v>
      </c>
      <c r="G1267" t="s">
        <v>145</v>
      </c>
      <c r="H1267" s="3">
        <v>0.85000000000000009</v>
      </c>
      <c r="I1267">
        <v>6500</v>
      </c>
      <c r="J1267" s="4">
        <v>5525.0000000000009</v>
      </c>
      <c r="K1267" s="4">
        <v>1105.0000000000002</v>
      </c>
      <c r="L1267" s="5">
        <v>0.2</v>
      </c>
      <c r="M1267" t="s">
        <v>130</v>
      </c>
      <c r="N1267" t="s">
        <v>363</v>
      </c>
    </row>
    <row r="1268" spans="1:14">
      <c r="A1268" t="s">
        <v>151</v>
      </c>
      <c r="B1268">
        <v>1128299</v>
      </c>
      <c r="C1268" s="2">
        <v>44386</v>
      </c>
      <c r="D1268" t="s">
        <v>28</v>
      </c>
      <c r="E1268" t="s">
        <v>185</v>
      </c>
      <c r="F1268" t="s">
        <v>190</v>
      </c>
      <c r="G1268" t="s">
        <v>146</v>
      </c>
      <c r="H1268" s="3">
        <v>0.85000000000000009</v>
      </c>
      <c r="I1268">
        <v>6000</v>
      </c>
      <c r="J1268" s="4">
        <v>5100.0000000000009</v>
      </c>
      <c r="K1268" s="4">
        <v>1275.0000000000002</v>
      </c>
      <c r="L1268" s="5">
        <v>0.25</v>
      </c>
      <c r="M1268" t="s">
        <v>130</v>
      </c>
      <c r="N1268" t="s">
        <v>363</v>
      </c>
    </row>
    <row r="1269" spans="1:14">
      <c r="A1269" t="s">
        <v>151</v>
      </c>
      <c r="B1269">
        <v>1128299</v>
      </c>
      <c r="C1269" s="2">
        <v>44386</v>
      </c>
      <c r="D1269" t="s">
        <v>28</v>
      </c>
      <c r="E1269" t="s">
        <v>185</v>
      </c>
      <c r="F1269" t="s">
        <v>190</v>
      </c>
      <c r="G1269" t="s">
        <v>148</v>
      </c>
      <c r="H1269" s="3">
        <v>0.8</v>
      </c>
      <c r="I1269">
        <v>5000</v>
      </c>
      <c r="J1269" s="4">
        <v>4000</v>
      </c>
      <c r="K1269" s="4">
        <v>1000</v>
      </c>
      <c r="L1269" s="5">
        <v>0.25</v>
      </c>
      <c r="M1269" t="s">
        <v>130</v>
      </c>
      <c r="N1269" t="s">
        <v>363</v>
      </c>
    </row>
    <row r="1270" spans="1:14">
      <c r="A1270" t="s">
        <v>151</v>
      </c>
      <c r="B1270">
        <v>1128299</v>
      </c>
      <c r="C1270" s="2">
        <v>44386</v>
      </c>
      <c r="D1270" t="s">
        <v>28</v>
      </c>
      <c r="E1270" t="s">
        <v>185</v>
      </c>
      <c r="F1270" t="s">
        <v>190</v>
      </c>
      <c r="G1270" t="s">
        <v>147</v>
      </c>
      <c r="H1270" s="3">
        <v>0.85000000000000009</v>
      </c>
      <c r="I1270">
        <v>5500</v>
      </c>
      <c r="J1270" s="4">
        <v>4675.0000000000009</v>
      </c>
      <c r="K1270" s="4">
        <v>701.25000000000011</v>
      </c>
      <c r="L1270" s="5">
        <v>0.15</v>
      </c>
      <c r="M1270" t="s">
        <v>130</v>
      </c>
      <c r="N1270" t="s">
        <v>363</v>
      </c>
    </row>
    <row r="1271" spans="1:14">
      <c r="A1271" t="s">
        <v>151</v>
      </c>
      <c r="B1271">
        <v>1128299</v>
      </c>
      <c r="C1271" s="2">
        <v>44386</v>
      </c>
      <c r="D1271" t="s">
        <v>28</v>
      </c>
      <c r="E1271" t="s">
        <v>185</v>
      </c>
      <c r="F1271" t="s">
        <v>190</v>
      </c>
      <c r="G1271" t="s">
        <v>144</v>
      </c>
      <c r="H1271" s="3">
        <v>1</v>
      </c>
      <c r="I1271">
        <v>5500</v>
      </c>
      <c r="J1271" s="4">
        <v>5500</v>
      </c>
      <c r="K1271" s="4">
        <v>2200</v>
      </c>
      <c r="L1271" s="5">
        <v>0.4</v>
      </c>
      <c r="M1271" t="s">
        <v>130</v>
      </c>
      <c r="N1271" t="s">
        <v>363</v>
      </c>
    </row>
    <row r="1272" spans="1:14">
      <c r="A1272" t="s">
        <v>151</v>
      </c>
      <c r="B1272">
        <v>1128299</v>
      </c>
      <c r="C1272" s="2">
        <v>44418</v>
      </c>
      <c r="D1272" t="s">
        <v>28</v>
      </c>
      <c r="E1272" t="s">
        <v>185</v>
      </c>
      <c r="F1272" t="s">
        <v>190</v>
      </c>
      <c r="G1272" t="s">
        <v>27</v>
      </c>
      <c r="H1272" s="3">
        <v>0.85000000000000009</v>
      </c>
      <c r="I1272">
        <v>7500</v>
      </c>
      <c r="J1272" s="4">
        <v>6375.0000000000009</v>
      </c>
      <c r="K1272" s="4">
        <v>1593.7500000000002</v>
      </c>
      <c r="L1272" s="5">
        <v>0.25</v>
      </c>
      <c r="M1272" t="s">
        <v>131</v>
      </c>
      <c r="N1272" t="s">
        <v>363</v>
      </c>
    </row>
    <row r="1273" spans="1:14">
      <c r="A1273" t="s">
        <v>151</v>
      </c>
      <c r="B1273">
        <v>1128299</v>
      </c>
      <c r="C1273" s="2">
        <v>44418</v>
      </c>
      <c r="D1273" t="s">
        <v>28</v>
      </c>
      <c r="E1273" t="s">
        <v>185</v>
      </c>
      <c r="F1273" t="s">
        <v>190</v>
      </c>
      <c r="G1273" t="s">
        <v>145</v>
      </c>
      <c r="H1273" s="3">
        <v>0.75000000000000011</v>
      </c>
      <c r="I1273">
        <v>7250</v>
      </c>
      <c r="J1273" s="4">
        <v>5437.5000000000009</v>
      </c>
      <c r="K1273" s="4">
        <v>1087.5000000000002</v>
      </c>
      <c r="L1273" s="5">
        <v>0.2</v>
      </c>
      <c r="M1273" t="s">
        <v>131</v>
      </c>
      <c r="N1273" t="s">
        <v>363</v>
      </c>
    </row>
    <row r="1274" spans="1:14">
      <c r="A1274" t="s">
        <v>151</v>
      </c>
      <c r="B1274">
        <v>1128299</v>
      </c>
      <c r="C1274" s="2">
        <v>44418</v>
      </c>
      <c r="D1274" t="s">
        <v>28</v>
      </c>
      <c r="E1274" t="s">
        <v>185</v>
      </c>
      <c r="F1274" t="s">
        <v>190</v>
      </c>
      <c r="G1274" t="s">
        <v>146</v>
      </c>
      <c r="H1274" s="3">
        <v>0.70000000000000007</v>
      </c>
      <c r="I1274">
        <v>6000</v>
      </c>
      <c r="J1274" s="4">
        <v>4200</v>
      </c>
      <c r="K1274" s="4">
        <v>1050</v>
      </c>
      <c r="L1274" s="5">
        <v>0.25</v>
      </c>
      <c r="M1274" t="s">
        <v>131</v>
      </c>
      <c r="N1274" t="s">
        <v>363</v>
      </c>
    </row>
    <row r="1275" spans="1:14">
      <c r="A1275" t="s">
        <v>151</v>
      </c>
      <c r="B1275">
        <v>1128299</v>
      </c>
      <c r="C1275" s="2">
        <v>44418</v>
      </c>
      <c r="D1275" t="s">
        <v>28</v>
      </c>
      <c r="E1275" t="s">
        <v>185</v>
      </c>
      <c r="F1275" t="s">
        <v>190</v>
      </c>
      <c r="G1275" t="s">
        <v>148</v>
      </c>
      <c r="H1275" s="3">
        <v>0.70000000000000007</v>
      </c>
      <c r="I1275">
        <v>5250</v>
      </c>
      <c r="J1275" s="4">
        <v>3675.0000000000005</v>
      </c>
      <c r="K1275" s="4">
        <v>918.75000000000011</v>
      </c>
      <c r="L1275" s="5">
        <v>0.25</v>
      </c>
      <c r="M1275" t="s">
        <v>131</v>
      </c>
      <c r="N1275" t="s">
        <v>363</v>
      </c>
    </row>
    <row r="1276" spans="1:14">
      <c r="A1276" t="s">
        <v>151</v>
      </c>
      <c r="B1276">
        <v>1128299</v>
      </c>
      <c r="C1276" s="2">
        <v>44418</v>
      </c>
      <c r="D1276" t="s">
        <v>28</v>
      </c>
      <c r="E1276" t="s">
        <v>185</v>
      </c>
      <c r="F1276" t="s">
        <v>190</v>
      </c>
      <c r="G1276" t="s">
        <v>147</v>
      </c>
      <c r="H1276" s="3">
        <v>0.7</v>
      </c>
      <c r="I1276">
        <v>5250</v>
      </c>
      <c r="J1276" s="4">
        <v>3674.9999999999995</v>
      </c>
      <c r="K1276" s="4">
        <v>551.24999999999989</v>
      </c>
      <c r="L1276" s="5">
        <v>0.15</v>
      </c>
      <c r="M1276" t="s">
        <v>131</v>
      </c>
      <c r="N1276" t="s">
        <v>363</v>
      </c>
    </row>
    <row r="1277" spans="1:14">
      <c r="A1277" t="s">
        <v>151</v>
      </c>
      <c r="B1277">
        <v>1128299</v>
      </c>
      <c r="C1277" s="2">
        <v>44418</v>
      </c>
      <c r="D1277" t="s">
        <v>28</v>
      </c>
      <c r="E1277" t="s">
        <v>185</v>
      </c>
      <c r="F1277" t="s">
        <v>190</v>
      </c>
      <c r="G1277" t="s">
        <v>144</v>
      </c>
      <c r="H1277" s="3">
        <v>0.75</v>
      </c>
      <c r="I1277">
        <v>3500</v>
      </c>
      <c r="J1277" s="4">
        <v>2625</v>
      </c>
      <c r="K1277" s="4">
        <v>1050</v>
      </c>
      <c r="L1277" s="5">
        <v>0.4</v>
      </c>
      <c r="M1277" t="s">
        <v>131</v>
      </c>
      <c r="N1277" t="s">
        <v>363</v>
      </c>
    </row>
    <row r="1278" spans="1:14">
      <c r="A1278" t="s">
        <v>151</v>
      </c>
      <c r="B1278">
        <v>1128299</v>
      </c>
      <c r="C1278" s="2">
        <v>44450</v>
      </c>
      <c r="D1278" t="s">
        <v>28</v>
      </c>
      <c r="E1278" t="s">
        <v>185</v>
      </c>
      <c r="F1278" t="s">
        <v>190</v>
      </c>
      <c r="G1278" t="s">
        <v>27</v>
      </c>
      <c r="H1278" s="3">
        <v>0.65000000000000013</v>
      </c>
      <c r="I1278">
        <v>5500</v>
      </c>
      <c r="J1278" s="4">
        <v>3575.0000000000009</v>
      </c>
      <c r="K1278" s="4">
        <v>893.75000000000023</v>
      </c>
      <c r="L1278" s="5">
        <v>0.25</v>
      </c>
      <c r="M1278" t="s">
        <v>132</v>
      </c>
      <c r="N1278" t="s">
        <v>363</v>
      </c>
    </row>
    <row r="1279" spans="1:14">
      <c r="A1279" t="s">
        <v>151</v>
      </c>
      <c r="B1279">
        <v>1128299</v>
      </c>
      <c r="C1279" s="2">
        <v>44450</v>
      </c>
      <c r="D1279" t="s">
        <v>28</v>
      </c>
      <c r="E1279" t="s">
        <v>185</v>
      </c>
      <c r="F1279" t="s">
        <v>190</v>
      </c>
      <c r="G1279" t="s">
        <v>145</v>
      </c>
      <c r="H1279" s="3">
        <v>0.70000000000000018</v>
      </c>
      <c r="I1279">
        <v>5500</v>
      </c>
      <c r="J1279" s="4">
        <v>3850.0000000000009</v>
      </c>
      <c r="K1279" s="4">
        <v>770.00000000000023</v>
      </c>
      <c r="L1279" s="5">
        <v>0.2</v>
      </c>
      <c r="M1279" t="s">
        <v>132</v>
      </c>
      <c r="N1279" t="s">
        <v>363</v>
      </c>
    </row>
    <row r="1280" spans="1:14">
      <c r="A1280" t="s">
        <v>151</v>
      </c>
      <c r="B1280">
        <v>1128299</v>
      </c>
      <c r="C1280" s="2">
        <v>44450</v>
      </c>
      <c r="D1280" t="s">
        <v>28</v>
      </c>
      <c r="E1280" t="s">
        <v>185</v>
      </c>
      <c r="F1280" t="s">
        <v>190</v>
      </c>
      <c r="G1280" t="s">
        <v>146</v>
      </c>
      <c r="H1280" s="3">
        <v>0.65000000000000013</v>
      </c>
      <c r="I1280">
        <v>3750</v>
      </c>
      <c r="J1280" s="4">
        <v>2437.5000000000005</v>
      </c>
      <c r="K1280" s="4">
        <v>609.37500000000011</v>
      </c>
      <c r="L1280" s="5">
        <v>0.25</v>
      </c>
      <c r="M1280" t="s">
        <v>132</v>
      </c>
      <c r="N1280" t="s">
        <v>363</v>
      </c>
    </row>
    <row r="1281" spans="1:14">
      <c r="A1281" t="s">
        <v>151</v>
      </c>
      <c r="B1281">
        <v>1128299</v>
      </c>
      <c r="C1281" s="2">
        <v>44450</v>
      </c>
      <c r="D1281" t="s">
        <v>28</v>
      </c>
      <c r="E1281" t="s">
        <v>185</v>
      </c>
      <c r="F1281" t="s">
        <v>190</v>
      </c>
      <c r="G1281" t="s">
        <v>148</v>
      </c>
      <c r="H1281" s="3">
        <v>0.65000000000000013</v>
      </c>
      <c r="I1281">
        <v>3250</v>
      </c>
      <c r="J1281" s="4">
        <v>2112.5000000000005</v>
      </c>
      <c r="K1281" s="4">
        <v>528.12500000000011</v>
      </c>
      <c r="L1281" s="5">
        <v>0.25</v>
      </c>
      <c r="M1281" t="s">
        <v>132</v>
      </c>
      <c r="N1281" t="s">
        <v>363</v>
      </c>
    </row>
    <row r="1282" spans="1:14">
      <c r="A1282" t="s">
        <v>151</v>
      </c>
      <c r="B1282">
        <v>1128299</v>
      </c>
      <c r="C1282" s="2">
        <v>44450</v>
      </c>
      <c r="D1282" t="s">
        <v>28</v>
      </c>
      <c r="E1282" t="s">
        <v>185</v>
      </c>
      <c r="F1282" t="s">
        <v>190</v>
      </c>
      <c r="G1282" t="s">
        <v>147</v>
      </c>
      <c r="H1282" s="3">
        <v>0.75000000000000011</v>
      </c>
      <c r="I1282">
        <v>3500</v>
      </c>
      <c r="J1282" s="4">
        <v>2625.0000000000005</v>
      </c>
      <c r="K1282" s="4">
        <v>393.75000000000006</v>
      </c>
      <c r="L1282" s="5">
        <v>0.15</v>
      </c>
      <c r="M1282" t="s">
        <v>132</v>
      </c>
      <c r="N1282" t="s">
        <v>363</v>
      </c>
    </row>
    <row r="1283" spans="1:14">
      <c r="A1283" t="s">
        <v>151</v>
      </c>
      <c r="B1283">
        <v>1128299</v>
      </c>
      <c r="C1283" s="2">
        <v>44450</v>
      </c>
      <c r="D1283" t="s">
        <v>28</v>
      </c>
      <c r="E1283" t="s">
        <v>185</v>
      </c>
      <c r="F1283" t="s">
        <v>190</v>
      </c>
      <c r="G1283" t="s">
        <v>144</v>
      </c>
      <c r="H1283" s="3">
        <v>0.6</v>
      </c>
      <c r="I1283">
        <v>3750</v>
      </c>
      <c r="J1283" s="4">
        <v>2250</v>
      </c>
      <c r="K1283" s="4">
        <v>900</v>
      </c>
      <c r="L1283" s="5">
        <v>0.4</v>
      </c>
      <c r="M1283" t="s">
        <v>132</v>
      </c>
      <c r="N1283" t="s">
        <v>363</v>
      </c>
    </row>
    <row r="1284" spans="1:14">
      <c r="A1284" t="s">
        <v>151</v>
      </c>
      <c r="B1284">
        <v>1128299</v>
      </c>
      <c r="C1284" s="2">
        <v>44479</v>
      </c>
      <c r="D1284" t="s">
        <v>28</v>
      </c>
      <c r="E1284" t="s">
        <v>185</v>
      </c>
      <c r="F1284" t="s">
        <v>190</v>
      </c>
      <c r="G1284" t="s">
        <v>27</v>
      </c>
      <c r="H1284" s="3">
        <v>0.55000000000000004</v>
      </c>
      <c r="I1284">
        <v>4750</v>
      </c>
      <c r="J1284" s="4">
        <v>2612.5</v>
      </c>
      <c r="K1284" s="4">
        <v>653.125</v>
      </c>
      <c r="L1284" s="5">
        <v>0.25</v>
      </c>
      <c r="M1284" t="s">
        <v>133</v>
      </c>
      <c r="N1284" t="s">
        <v>364</v>
      </c>
    </row>
    <row r="1285" spans="1:14">
      <c r="A1285" t="s">
        <v>151</v>
      </c>
      <c r="B1285">
        <v>1128299</v>
      </c>
      <c r="C1285" s="2">
        <v>44479</v>
      </c>
      <c r="D1285" t="s">
        <v>28</v>
      </c>
      <c r="E1285" t="s">
        <v>185</v>
      </c>
      <c r="F1285" t="s">
        <v>190</v>
      </c>
      <c r="G1285" t="s">
        <v>145</v>
      </c>
      <c r="H1285" s="3">
        <v>0.65000000000000013</v>
      </c>
      <c r="I1285">
        <v>4750</v>
      </c>
      <c r="J1285" s="4">
        <v>3087.5000000000005</v>
      </c>
      <c r="K1285" s="4">
        <v>617.50000000000011</v>
      </c>
      <c r="L1285" s="5">
        <v>0.2</v>
      </c>
      <c r="M1285" t="s">
        <v>133</v>
      </c>
      <c r="N1285" t="s">
        <v>364</v>
      </c>
    </row>
    <row r="1286" spans="1:14">
      <c r="A1286" t="s">
        <v>151</v>
      </c>
      <c r="B1286">
        <v>1128299</v>
      </c>
      <c r="C1286" s="2">
        <v>44479</v>
      </c>
      <c r="D1286" t="s">
        <v>28</v>
      </c>
      <c r="E1286" t="s">
        <v>185</v>
      </c>
      <c r="F1286" t="s">
        <v>190</v>
      </c>
      <c r="G1286" t="s">
        <v>146</v>
      </c>
      <c r="H1286" s="3">
        <v>0.60000000000000009</v>
      </c>
      <c r="I1286">
        <v>3000</v>
      </c>
      <c r="J1286" s="4">
        <v>1800.0000000000002</v>
      </c>
      <c r="K1286" s="4">
        <v>450.00000000000006</v>
      </c>
      <c r="L1286" s="5">
        <v>0.25</v>
      </c>
      <c r="M1286" t="s">
        <v>133</v>
      </c>
      <c r="N1286" t="s">
        <v>364</v>
      </c>
    </row>
    <row r="1287" spans="1:14">
      <c r="A1287" t="s">
        <v>151</v>
      </c>
      <c r="B1287">
        <v>1128299</v>
      </c>
      <c r="C1287" s="2">
        <v>44479</v>
      </c>
      <c r="D1287" t="s">
        <v>28</v>
      </c>
      <c r="E1287" t="s">
        <v>185</v>
      </c>
      <c r="F1287" t="s">
        <v>190</v>
      </c>
      <c r="G1287" t="s">
        <v>148</v>
      </c>
      <c r="H1287" s="3">
        <v>0.55000000000000004</v>
      </c>
      <c r="I1287">
        <v>2750</v>
      </c>
      <c r="J1287" s="4">
        <v>1512.5000000000002</v>
      </c>
      <c r="K1287" s="4">
        <v>378.12500000000006</v>
      </c>
      <c r="L1287" s="5">
        <v>0.25</v>
      </c>
      <c r="M1287" t="s">
        <v>133</v>
      </c>
      <c r="N1287" t="s">
        <v>364</v>
      </c>
    </row>
    <row r="1288" spans="1:14">
      <c r="A1288" t="s">
        <v>151</v>
      </c>
      <c r="B1288">
        <v>1128299</v>
      </c>
      <c r="C1288" s="2">
        <v>44479</v>
      </c>
      <c r="D1288" t="s">
        <v>28</v>
      </c>
      <c r="E1288" t="s">
        <v>185</v>
      </c>
      <c r="F1288" t="s">
        <v>190</v>
      </c>
      <c r="G1288" t="s">
        <v>147</v>
      </c>
      <c r="H1288" s="3">
        <v>0.65</v>
      </c>
      <c r="I1288">
        <v>2500</v>
      </c>
      <c r="J1288" s="4">
        <v>1625</v>
      </c>
      <c r="K1288" s="4">
        <v>243.75</v>
      </c>
      <c r="L1288" s="5">
        <v>0.15</v>
      </c>
      <c r="M1288" t="s">
        <v>133</v>
      </c>
      <c r="N1288" t="s">
        <v>364</v>
      </c>
    </row>
    <row r="1289" spans="1:14">
      <c r="A1289" t="s">
        <v>151</v>
      </c>
      <c r="B1289">
        <v>1128299</v>
      </c>
      <c r="C1289" s="2">
        <v>44479</v>
      </c>
      <c r="D1289" t="s">
        <v>28</v>
      </c>
      <c r="E1289" t="s">
        <v>185</v>
      </c>
      <c r="F1289" t="s">
        <v>190</v>
      </c>
      <c r="G1289" t="s">
        <v>144</v>
      </c>
      <c r="H1289" s="3">
        <v>0.70000000000000007</v>
      </c>
      <c r="I1289">
        <v>3000</v>
      </c>
      <c r="J1289" s="4">
        <v>2100</v>
      </c>
      <c r="K1289" s="4">
        <v>840</v>
      </c>
      <c r="L1289" s="5">
        <v>0.4</v>
      </c>
      <c r="M1289" t="s">
        <v>133</v>
      </c>
      <c r="N1289" t="s">
        <v>364</v>
      </c>
    </row>
    <row r="1290" spans="1:14">
      <c r="A1290" t="s">
        <v>151</v>
      </c>
      <c r="B1290">
        <v>1128299</v>
      </c>
      <c r="C1290" s="2">
        <v>44510</v>
      </c>
      <c r="D1290" t="s">
        <v>28</v>
      </c>
      <c r="E1290" t="s">
        <v>185</v>
      </c>
      <c r="F1290" t="s">
        <v>190</v>
      </c>
      <c r="G1290" t="s">
        <v>27</v>
      </c>
      <c r="H1290" s="3">
        <v>0.55000000000000004</v>
      </c>
      <c r="I1290">
        <v>5250</v>
      </c>
      <c r="J1290" s="4">
        <v>2887.5000000000005</v>
      </c>
      <c r="K1290" s="4">
        <v>721.87500000000011</v>
      </c>
      <c r="L1290" s="5">
        <v>0.25</v>
      </c>
      <c r="M1290" t="s">
        <v>134</v>
      </c>
      <c r="N1290" t="s">
        <v>364</v>
      </c>
    </row>
    <row r="1291" spans="1:14">
      <c r="A1291" t="s">
        <v>151</v>
      </c>
      <c r="B1291">
        <v>1128299</v>
      </c>
      <c r="C1291" s="2">
        <v>44510</v>
      </c>
      <c r="D1291" t="s">
        <v>28</v>
      </c>
      <c r="E1291" t="s">
        <v>185</v>
      </c>
      <c r="F1291" t="s">
        <v>190</v>
      </c>
      <c r="G1291" t="s">
        <v>145</v>
      </c>
      <c r="H1291" s="3">
        <v>0.60000000000000009</v>
      </c>
      <c r="I1291">
        <v>6000</v>
      </c>
      <c r="J1291" s="4">
        <v>3600.0000000000005</v>
      </c>
      <c r="K1291" s="4">
        <v>720.00000000000011</v>
      </c>
      <c r="L1291" s="5">
        <v>0.2</v>
      </c>
      <c r="M1291" t="s">
        <v>134</v>
      </c>
      <c r="N1291" t="s">
        <v>364</v>
      </c>
    </row>
    <row r="1292" spans="1:14">
      <c r="A1292" t="s">
        <v>151</v>
      </c>
      <c r="B1292">
        <v>1128299</v>
      </c>
      <c r="C1292" s="2">
        <v>44510</v>
      </c>
      <c r="D1292" t="s">
        <v>28</v>
      </c>
      <c r="E1292" t="s">
        <v>185</v>
      </c>
      <c r="F1292" t="s">
        <v>190</v>
      </c>
      <c r="G1292" t="s">
        <v>146</v>
      </c>
      <c r="H1292" s="3">
        <v>0.55000000000000004</v>
      </c>
      <c r="I1292">
        <v>4250</v>
      </c>
      <c r="J1292" s="4">
        <v>2337.5</v>
      </c>
      <c r="K1292" s="4">
        <v>584.375</v>
      </c>
      <c r="L1292" s="5">
        <v>0.25</v>
      </c>
      <c r="M1292" t="s">
        <v>134</v>
      </c>
      <c r="N1292" t="s">
        <v>364</v>
      </c>
    </row>
    <row r="1293" spans="1:14">
      <c r="A1293" t="s">
        <v>151</v>
      </c>
      <c r="B1293">
        <v>1128299</v>
      </c>
      <c r="C1293" s="2">
        <v>44510</v>
      </c>
      <c r="D1293" t="s">
        <v>28</v>
      </c>
      <c r="E1293" t="s">
        <v>185</v>
      </c>
      <c r="F1293" t="s">
        <v>190</v>
      </c>
      <c r="G1293" t="s">
        <v>148</v>
      </c>
      <c r="H1293" s="3">
        <v>0.65000000000000013</v>
      </c>
      <c r="I1293">
        <v>4000</v>
      </c>
      <c r="J1293" s="4">
        <v>2600.0000000000005</v>
      </c>
      <c r="K1293" s="4">
        <v>650.00000000000011</v>
      </c>
      <c r="L1293" s="5">
        <v>0.25</v>
      </c>
      <c r="M1293" t="s">
        <v>134</v>
      </c>
      <c r="N1293" t="s">
        <v>364</v>
      </c>
    </row>
    <row r="1294" spans="1:14">
      <c r="A1294" t="s">
        <v>151</v>
      </c>
      <c r="B1294">
        <v>1128299</v>
      </c>
      <c r="C1294" s="2">
        <v>44510</v>
      </c>
      <c r="D1294" t="s">
        <v>28</v>
      </c>
      <c r="E1294" t="s">
        <v>185</v>
      </c>
      <c r="F1294" t="s">
        <v>190</v>
      </c>
      <c r="G1294" t="s">
        <v>147</v>
      </c>
      <c r="H1294" s="3">
        <v>0.85000000000000009</v>
      </c>
      <c r="I1294">
        <v>3750</v>
      </c>
      <c r="J1294" s="4">
        <v>3187.5000000000005</v>
      </c>
      <c r="K1294" s="4">
        <v>478.12500000000006</v>
      </c>
      <c r="L1294" s="5">
        <v>0.15</v>
      </c>
      <c r="M1294" t="s">
        <v>134</v>
      </c>
      <c r="N1294" t="s">
        <v>364</v>
      </c>
    </row>
    <row r="1295" spans="1:14">
      <c r="A1295" t="s">
        <v>151</v>
      </c>
      <c r="B1295">
        <v>1128299</v>
      </c>
      <c r="C1295" s="2">
        <v>44510</v>
      </c>
      <c r="D1295" t="s">
        <v>28</v>
      </c>
      <c r="E1295" t="s">
        <v>185</v>
      </c>
      <c r="F1295" t="s">
        <v>190</v>
      </c>
      <c r="G1295" t="s">
        <v>144</v>
      </c>
      <c r="H1295" s="3">
        <v>0.90000000000000013</v>
      </c>
      <c r="I1295">
        <v>5000</v>
      </c>
      <c r="J1295" s="4">
        <v>4500.0000000000009</v>
      </c>
      <c r="K1295" s="4">
        <v>1800.0000000000005</v>
      </c>
      <c r="L1295" s="5">
        <v>0.4</v>
      </c>
      <c r="M1295" t="s">
        <v>134</v>
      </c>
      <c r="N1295" t="s">
        <v>364</v>
      </c>
    </row>
    <row r="1296" spans="1:14">
      <c r="A1296" t="s">
        <v>151</v>
      </c>
      <c r="B1296">
        <v>1128299</v>
      </c>
      <c r="C1296" s="2">
        <v>44539</v>
      </c>
      <c r="D1296" t="s">
        <v>28</v>
      </c>
      <c r="E1296" t="s">
        <v>185</v>
      </c>
      <c r="F1296" t="s">
        <v>190</v>
      </c>
      <c r="G1296" t="s">
        <v>27</v>
      </c>
      <c r="H1296" s="3">
        <v>0.75000000000000011</v>
      </c>
      <c r="I1296">
        <v>7000</v>
      </c>
      <c r="J1296" s="4">
        <v>5250.0000000000009</v>
      </c>
      <c r="K1296" s="4">
        <v>1312.5000000000002</v>
      </c>
      <c r="L1296" s="5">
        <v>0.25</v>
      </c>
      <c r="M1296" t="s">
        <v>23</v>
      </c>
      <c r="N1296" t="s">
        <v>364</v>
      </c>
    </row>
    <row r="1297" spans="1:14">
      <c r="A1297" t="s">
        <v>151</v>
      </c>
      <c r="B1297">
        <v>1128299</v>
      </c>
      <c r="C1297" s="2">
        <v>44539</v>
      </c>
      <c r="D1297" t="s">
        <v>28</v>
      </c>
      <c r="E1297" t="s">
        <v>185</v>
      </c>
      <c r="F1297" t="s">
        <v>190</v>
      </c>
      <c r="G1297" t="s">
        <v>145</v>
      </c>
      <c r="H1297" s="3">
        <v>0.8500000000000002</v>
      </c>
      <c r="I1297">
        <v>7000</v>
      </c>
      <c r="J1297" s="4">
        <v>5950.0000000000018</v>
      </c>
      <c r="K1297" s="4">
        <v>1190.0000000000005</v>
      </c>
      <c r="L1297" s="5">
        <v>0.2</v>
      </c>
      <c r="M1297" t="s">
        <v>23</v>
      </c>
      <c r="N1297" t="s">
        <v>364</v>
      </c>
    </row>
    <row r="1298" spans="1:14">
      <c r="A1298" t="s">
        <v>151</v>
      </c>
      <c r="B1298">
        <v>1128299</v>
      </c>
      <c r="C1298" s="2">
        <v>44539</v>
      </c>
      <c r="D1298" t="s">
        <v>28</v>
      </c>
      <c r="E1298" t="s">
        <v>185</v>
      </c>
      <c r="F1298" t="s">
        <v>190</v>
      </c>
      <c r="G1298" t="s">
        <v>146</v>
      </c>
      <c r="H1298" s="3">
        <v>0.80000000000000016</v>
      </c>
      <c r="I1298">
        <v>5000</v>
      </c>
      <c r="J1298" s="4">
        <v>4000.0000000000009</v>
      </c>
      <c r="K1298" s="4">
        <v>1000.0000000000002</v>
      </c>
      <c r="L1298" s="5">
        <v>0.25</v>
      </c>
      <c r="M1298" t="s">
        <v>23</v>
      </c>
      <c r="N1298" t="s">
        <v>364</v>
      </c>
    </row>
    <row r="1299" spans="1:14">
      <c r="A1299" t="s">
        <v>151</v>
      </c>
      <c r="B1299">
        <v>1128299</v>
      </c>
      <c r="C1299" s="2">
        <v>44539</v>
      </c>
      <c r="D1299" t="s">
        <v>28</v>
      </c>
      <c r="E1299" t="s">
        <v>185</v>
      </c>
      <c r="F1299" t="s">
        <v>190</v>
      </c>
      <c r="G1299" t="s">
        <v>148</v>
      </c>
      <c r="H1299" s="3">
        <v>0.80000000000000016</v>
      </c>
      <c r="I1299">
        <v>5000</v>
      </c>
      <c r="J1299" s="4">
        <v>4000.0000000000009</v>
      </c>
      <c r="K1299" s="4">
        <v>1000.0000000000002</v>
      </c>
      <c r="L1299" s="5">
        <v>0.25</v>
      </c>
      <c r="M1299" t="s">
        <v>23</v>
      </c>
      <c r="N1299" t="s">
        <v>364</v>
      </c>
    </row>
    <row r="1300" spans="1:14">
      <c r="A1300" t="s">
        <v>151</v>
      </c>
      <c r="B1300">
        <v>1128299</v>
      </c>
      <c r="C1300" s="2">
        <v>44539</v>
      </c>
      <c r="D1300" t="s">
        <v>28</v>
      </c>
      <c r="E1300" t="s">
        <v>185</v>
      </c>
      <c r="F1300" t="s">
        <v>190</v>
      </c>
      <c r="G1300" t="s">
        <v>147</v>
      </c>
      <c r="H1300" s="3">
        <v>0.90000000000000013</v>
      </c>
      <c r="I1300">
        <v>4250</v>
      </c>
      <c r="J1300" s="4">
        <v>3825.0000000000005</v>
      </c>
      <c r="K1300" s="4">
        <v>573.75</v>
      </c>
      <c r="L1300" s="5">
        <v>0.15</v>
      </c>
      <c r="M1300" t="s">
        <v>23</v>
      </c>
      <c r="N1300" t="s">
        <v>364</v>
      </c>
    </row>
    <row r="1301" spans="1:14">
      <c r="A1301" t="s">
        <v>151</v>
      </c>
      <c r="B1301">
        <v>1128299</v>
      </c>
      <c r="C1301" s="2">
        <v>44539</v>
      </c>
      <c r="D1301" t="s">
        <v>28</v>
      </c>
      <c r="E1301" t="s">
        <v>185</v>
      </c>
      <c r="F1301" t="s">
        <v>190</v>
      </c>
      <c r="G1301" t="s">
        <v>144</v>
      </c>
      <c r="H1301" s="3">
        <v>0.95000000000000018</v>
      </c>
      <c r="I1301">
        <v>5250</v>
      </c>
      <c r="J1301" s="4">
        <v>4987.5000000000009</v>
      </c>
      <c r="K1301" s="4">
        <v>1995.0000000000005</v>
      </c>
      <c r="L1301" s="5">
        <v>0.4</v>
      </c>
      <c r="M1301" t="s">
        <v>23</v>
      </c>
      <c r="N1301" t="s">
        <v>364</v>
      </c>
    </row>
    <row r="1302" spans="1:14">
      <c r="A1302" t="s">
        <v>151</v>
      </c>
      <c r="B1302">
        <v>1128299</v>
      </c>
      <c r="C1302" s="2">
        <v>44213</v>
      </c>
      <c r="D1302" t="s">
        <v>28</v>
      </c>
      <c r="E1302" t="s">
        <v>176</v>
      </c>
      <c r="F1302" t="s">
        <v>177</v>
      </c>
      <c r="G1302" t="s">
        <v>27</v>
      </c>
      <c r="H1302" s="3">
        <v>0.4</v>
      </c>
      <c r="I1302">
        <v>4250</v>
      </c>
      <c r="J1302" s="4">
        <v>1700</v>
      </c>
      <c r="K1302" s="4">
        <v>510</v>
      </c>
      <c r="L1302" s="5">
        <v>0.3</v>
      </c>
      <c r="M1302" t="s">
        <v>125</v>
      </c>
      <c r="N1302" t="s">
        <v>361</v>
      </c>
    </row>
    <row r="1303" spans="1:14">
      <c r="A1303" t="s">
        <v>151</v>
      </c>
      <c r="B1303">
        <v>1128299</v>
      </c>
      <c r="C1303" s="2">
        <v>44213</v>
      </c>
      <c r="D1303" t="s">
        <v>28</v>
      </c>
      <c r="E1303" t="s">
        <v>176</v>
      </c>
      <c r="F1303" t="s">
        <v>177</v>
      </c>
      <c r="G1303" t="s">
        <v>145</v>
      </c>
      <c r="H1303" s="3">
        <v>0.5</v>
      </c>
      <c r="I1303">
        <v>4250</v>
      </c>
      <c r="J1303" s="4">
        <v>2125</v>
      </c>
      <c r="K1303" s="4">
        <v>531.25</v>
      </c>
      <c r="L1303" s="5">
        <v>0.25</v>
      </c>
      <c r="M1303" t="s">
        <v>125</v>
      </c>
      <c r="N1303" t="s">
        <v>361</v>
      </c>
    </row>
    <row r="1304" spans="1:14">
      <c r="A1304" t="s">
        <v>151</v>
      </c>
      <c r="B1304">
        <v>1128299</v>
      </c>
      <c r="C1304" s="2">
        <v>44213</v>
      </c>
      <c r="D1304" t="s">
        <v>28</v>
      </c>
      <c r="E1304" t="s">
        <v>176</v>
      </c>
      <c r="F1304" t="s">
        <v>177</v>
      </c>
      <c r="G1304" t="s">
        <v>146</v>
      </c>
      <c r="H1304" s="3">
        <v>0.5</v>
      </c>
      <c r="I1304">
        <v>4250</v>
      </c>
      <c r="J1304" s="4">
        <v>2125</v>
      </c>
      <c r="K1304" s="4">
        <v>637.5</v>
      </c>
      <c r="L1304" s="5">
        <v>0.3</v>
      </c>
      <c r="M1304" t="s">
        <v>125</v>
      </c>
      <c r="N1304" t="s">
        <v>361</v>
      </c>
    </row>
    <row r="1305" spans="1:14">
      <c r="A1305" t="s">
        <v>151</v>
      </c>
      <c r="B1305">
        <v>1128299</v>
      </c>
      <c r="C1305" s="2">
        <v>44213</v>
      </c>
      <c r="D1305" t="s">
        <v>28</v>
      </c>
      <c r="E1305" t="s">
        <v>176</v>
      </c>
      <c r="F1305" t="s">
        <v>177</v>
      </c>
      <c r="G1305" t="s">
        <v>148</v>
      </c>
      <c r="H1305" s="3">
        <v>0.5</v>
      </c>
      <c r="I1305">
        <v>2750</v>
      </c>
      <c r="J1305" s="4">
        <v>1375</v>
      </c>
      <c r="K1305" s="4">
        <v>412.5</v>
      </c>
      <c r="L1305" s="5">
        <v>0.3</v>
      </c>
      <c r="M1305" t="s">
        <v>125</v>
      </c>
      <c r="N1305" t="s">
        <v>361</v>
      </c>
    </row>
    <row r="1306" spans="1:14">
      <c r="A1306" t="s">
        <v>151</v>
      </c>
      <c r="B1306">
        <v>1128299</v>
      </c>
      <c r="C1306" s="2">
        <v>44213</v>
      </c>
      <c r="D1306" t="s">
        <v>28</v>
      </c>
      <c r="E1306" t="s">
        <v>176</v>
      </c>
      <c r="F1306" t="s">
        <v>177</v>
      </c>
      <c r="G1306" t="s">
        <v>147</v>
      </c>
      <c r="H1306" s="3">
        <v>0.55000000000000004</v>
      </c>
      <c r="I1306">
        <v>2250</v>
      </c>
      <c r="J1306" s="4">
        <v>1237.5</v>
      </c>
      <c r="K1306" s="4">
        <v>247.5</v>
      </c>
      <c r="L1306" s="5">
        <v>0.2</v>
      </c>
      <c r="M1306" t="s">
        <v>125</v>
      </c>
      <c r="N1306" t="s">
        <v>361</v>
      </c>
    </row>
    <row r="1307" spans="1:14">
      <c r="A1307" t="s">
        <v>151</v>
      </c>
      <c r="B1307">
        <v>1128299</v>
      </c>
      <c r="C1307" s="2">
        <v>44213</v>
      </c>
      <c r="D1307" t="s">
        <v>28</v>
      </c>
      <c r="E1307" t="s">
        <v>176</v>
      </c>
      <c r="F1307" t="s">
        <v>177</v>
      </c>
      <c r="G1307" t="s">
        <v>144</v>
      </c>
      <c r="H1307" s="3">
        <v>0.5</v>
      </c>
      <c r="I1307">
        <v>4750</v>
      </c>
      <c r="J1307" s="4">
        <v>2375</v>
      </c>
      <c r="K1307" s="4">
        <v>1068.75</v>
      </c>
      <c r="L1307" s="5">
        <v>0.45</v>
      </c>
      <c r="M1307" t="s">
        <v>125</v>
      </c>
      <c r="N1307" t="s">
        <v>361</v>
      </c>
    </row>
    <row r="1308" spans="1:14">
      <c r="A1308" t="s">
        <v>151</v>
      </c>
      <c r="B1308">
        <v>1128299</v>
      </c>
      <c r="C1308" s="2">
        <v>44244</v>
      </c>
      <c r="D1308" t="s">
        <v>28</v>
      </c>
      <c r="E1308" t="s">
        <v>176</v>
      </c>
      <c r="F1308" t="s">
        <v>177</v>
      </c>
      <c r="G1308" t="s">
        <v>27</v>
      </c>
      <c r="H1308" s="3">
        <v>0.4</v>
      </c>
      <c r="I1308">
        <v>5250</v>
      </c>
      <c r="J1308" s="4">
        <v>2100</v>
      </c>
      <c r="K1308" s="4">
        <v>630</v>
      </c>
      <c r="L1308" s="5">
        <v>0.3</v>
      </c>
      <c r="M1308" t="s">
        <v>126</v>
      </c>
      <c r="N1308" t="s">
        <v>361</v>
      </c>
    </row>
    <row r="1309" spans="1:14">
      <c r="A1309" t="s">
        <v>151</v>
      </c>
      <c r="B1309">
        <v>1128299</v>
      </c>
      <c r="C1309" s="2">
        <v>44244</v>
      </c>
      <c r="D1309" t="s">
        <v>28</v>
      </c>
      <c r="E1309" t="s">
        <v>176</v>
      </c>
      <c r="F1309" t="s">
        <v>177</v>
      </c>
      <c r="G1309" t="s">
        <v>145</v>
      </c>
      <c r="H1309" s="3">
        <v>0.5</v>
      </c>
      <c r="I1309">
        <v>4250</v>
      </c>
      <c r="J1309" s="4">
        <v>2125</v>
      </c>
      <c r="K1309" s="4">
        <v>531.25</v>
      </c>
      <c r="L1309" s="5">
        <v>0.25</v>
      </c>
      <c r="M1309" t="s">
        <v>126</v>
      </c>
      <c r="N1309" t="s">
        <v>361</v>
      </c>
    </row>
    <row r="1310" spans="1:14">
      <c r="A1310" t="s">
        <v>151</v>
      </c>
      <c r="B1310">
        <v>1128299</v>
      </c>
      <c r="C1310" s="2">
        <v>44244</v>
      </c>
      <c r="D1310" t="s">
        <v>28</v>
      </c>
      <c r="E1310" t="s">
        <v>176</v>
      </c>
      <c r="F1310" t="s">
        <v>177</v>
      </c>
      <c r="G1310" t="s">
        <v>146</v>
      </c>
      <c r="H1310" s="3">
        <v>0.5</v>
      </c>
      <c r="I1310">
        <v>4250</v>
      </c>
      <c r="J1310" s="4">
        <v>2125</v>
      </c>
      <c r="K1310" s="4">
        <v>637.5</v>
      </c>
      <c r="L1310" s="5">
        <v>0.3</v>
      </c>
      <c r="M1310" t="s">
        <v>126</v>
      </c>
      <c r="N1310" t="s">
        <v>361</v>
      </c>
    </row>
    <row r="1311" spans="1:14">
      <c r="A1311" t="s">
        <v>151</v>
      </c>
      <c r="B1311">
        <v>1128299</v>
      </c>
      <c r="C1311" s="2">
        <v>44244</v>
      </c>
      <c r="D1311" t="s">
        <v>28</v>
      </c>
      <c r="E1311" t="s">
        <v>176</v>
      </c>
      <c r="F1311" t="s">
        <v>177</v>
      </c>
      <c r="G1311" t="s">
        <v>148</v>
      </c>
      <c r="H1311" s="3">
        <v>0.5</v>
      </c>
      <c r="I1311">
        <v>2750</v>
      </c>
      <c r="J1311" s="4">
        <v>1375</v>
      </c>
      <c r="K1311" s="4">
        <v>412.5</v>
      </c>
      <c r="L1311" s="5">
        <v>0.3</v>
      </c>
      <c r="M1311" t="s">
        <v>126</v>
      </c>
      <c r="N1311" t="s">
        <v>361</v>
      </c>
    </row>
    <row r="1312" spans="1:14">
      <c r="A1312" t="s">
        <v>151</v>
      </c>
      <c r="B1312">
        <v>1128299</v>
      </c>
      <c r="C1312" s="2">
        <v>44244</v>
      </c>
      <c r="D1312" t="s">
        <v>28</v>
      </c>
      <c r="E1312" t="s">
        <v>176</v>
      </c>
      <c r="F1312" t="s">
        <v>177</v>
      </c>
      <c r="G1312" t="s">
        <v>147</v>
      </c>
      <c r="H1312" s="3">
        <v>0.55000000000000004</v>
      </c>
      <c r="I1312">
        <v>2000</v>
      </c>
      <c r="J1312" s="4">
        <v>1100</v>
      </c>
      <c r="K1312" s="4">
        <v>220</v>
      </c>
      <c r="L1312" s="5">
        <v>0.2</v>
      </c>
      <c r="M1312" t="s">
        <v>126</v>
      </c>
      <c r="N1312" t="s">
        <v>361</v>
      </c>
    </row>
    <row r="1313" spans="1:14">
      <c r="A1313" t="s">
        <v>151</v>
      </c>
      <c r="B1313">
        <v>1128299</v>
      </c>
      <c r="C1313" s="2">
        <v>44244</v>
      </c>
      <c r="D1313" t="s">
        <v>28</v>
      </c>
      <c r="E1313" t="s">
        <v>176</v>
      </c>
      <c r="F1313" t="s">
        <v>177</v>
      </c>
      <c r="G1313" t="s">
        <v>144</v>
      </c>
      <c r="H1313" s="3">
        <v>0.5</v>
      </c>
      <c r="I1313">
        <v>4000</v>
      </c>
      <c r="J1313" s="4">
        <v>2000</v>
      </c>
      <c r="K1313" s="4">
        <v>900</v>
      </c>
      <c r="L1313" s="5">
        <v>0.45</v>
      </c>
      <c r="M1313" t="s">
        <v>126</v>
      </c>
      <c r="N1313" t="s">
        <v>361</v>
      </c>
    </row>
    <row r="1314" spans="1:14">
      <c r="A1314" t="s">
        <v>151</v>
      </c>
      <c r="B1314">
        <v>1128299</v>
      </c>
      <c r="C1314" s="2">
        <v>44271</v>
      </c>
      <c r="D1314" t="s">
        <v>28</v>
      </c>
      <c r="E1314" t="s">
        <v>176</v>
      </c>
      <c r="F1314" t="s">
        <v>177</v>
      </c>
      <c r="G1314" t="s">
        <v>27</v>
      </c>
      <c r="H1314" s="3">
        <v>0.5</v>
      </c>
      <c r="I1314">
        <v>5500</v>
      </c>
      <c r="J1314" s="4">
        <v>2750</v>
      </c>
      <c r="K1314" s="4">
        <v>825</v>
      </c>
      <c r="L1314" s="5">
        <v>0.3</v>
      </c>
      <c r="M1314" t="s">
        <v>24</v>
      </c>
      <c r="N1314" t="s">
        <v>361</v>
      </c>
    </row>
    <row r="1315" spans="1:14">
      <c r="A1315" t="s">
        <v>151</v>
      </c>
      <c r="B1315">
        <v>1128299</v>
      </c>
      <c r="C1315" s="2">
        <v>44271</v>
      </c>
      <c r="D1315" t="s">
        <v>28</v>
      </c>
      <c r="E1315" t="s">
        <v>176</v>
      </c>
      <c r="F1315" t="s">
        <v>177</v>
      </c>
      <c r="G1315" t="s">
        <v>145</v>
      </c>
      <c r="H1315" s="3">
        <v>0.6</v>
      </c>
      <c r="I1315">
        <v>4000</v>
      </c>
      <c r="J1315" s="4">
        <v>2400</v>
      </c>
      <c r="K1315" s="4">
        <v>600</v>
      </c>
      <c r="L1315" s="5">
        <v>0.25</v>
      </c>
      <c r="M1315" t="s">
        <v>24</v>
      </c>
      <c r="N1315" t="s">
        <v>361</v>
      </c>
    </row>
    <row r="1316" spans="1:14">
      <c r="A1316" t="s">
        <v>151</v>
      </c>
      <c r="B1316">
        <v>1128299</v>
      </c>
      <c r="C1316" s="2">
        <v>44271</v>
      </c>
      <c r="D1316" t="s">
        <v>28</v>
      </c>
      <c r="E1316" t="s">
        <v>176</v>
      </c>
      <c r="F1316" t="s">
        <v>177</v>
      </c>
      <c r="G1316" t="s">
        <v>146</v>
      </c>
      <c r="H1316" s="3">
        <v>0.64999999999999991</v>
      </c>
      <c r="I1316">
        <v>4250</v>
      </c>
      <c r="J1316" s="4">
        <v>2762.4999999999995</v>
      </c>
      <c r="K1316" s="4">
        <v>828.74999999999989</v>
      </c>
      <c r="L1316" s="5">
        <v>0.3</v>
      </c>
      <c r="M1316" t="s">
        <v>24</v>
      </c>
      <c r="N1316" t="s">
        <v>361</v>
      </c>
    </row>
    <row r="1317" spans="1:14">
      <c r="A1317" t="s">
        <v>151</v>
      </c>
      <c r="B1317">
        <v>1128299</v>
      </c>
      <c r="C1317" s="2">
        <v>44271</v>
      </c>
      <c r="D1317" t="s">
        <v>28</v>
      </c>
      <c r="E1317" t="s">
        <v>176</v>
      </c>
      <c r="F1317" t="s">
        <v>177</v>
      </c>
      <c r="G1317" t="s">
        <v>148</v>
      </c>
      <c r="H1317" s="3">
        <v>0.6</v>
      </c>
      <c r="I1317">
        <v>3250</v>
      </c>
      <c r="J1317" s="4">
        <v>1950</v>
      </c>
      <c r="K1317" s="4">
        <v>585</v>
      </c>
      <c r="L1317" s="5">
        <v>0.3</v>
      </c>
      <c r="M1317" t="s">
        <v>24</v>
      </c>
      <c r="N1317" t="s">
        <v>361</v>
      </c>
    </row>
    <row r="1318" spans="1:14">
      <c r="A1318" t="s">
        <v>151</v>
      </c>
      <c r="B1318">
        <v>1128299</v>
      </c>
      <c r="C1318" s="2">
        <v>44271</v>
      </c>
      <c r="D1318" t="s">
        <v>28</v>
      </c>
      <c r="E1318" t="s">
        <v>176</v>
      </c>
      <c r="F1318" t="s">
        <v>177</v>
      </c>
      <c r="G1318" t="s">
        <v>147</v>
      </c>
      <c r="H1318" s="3">
        <v>0.65</v>
      </c>
      <c r="I1318">
        <v>1750</v>
      </c>
      <c r="J1318" s="4">
        <v>1137.5</v>
      </c>
      <c r="K1318" s="4">
        <v>227.5</v>
      </c>
      <c r="L1318" s="5">
        <v>0.2</v>
      </c>
      <c r="M1318" t="s">
        <v>24</v>
      </c>
      <c r="N1318" t="s">
        <v>361</v>
      </c>
    </row>
    <row r="1319" spans="1:14">
      <c r="A1319" t="s">
        <v>151</v>
      </c>
      <c r="B1319">
        <v>1128299</v>
      </c>
      <c r="C1319" s="2">
        <v>44271</v>
      </c>
      <c r="D1319" t="s">
        <v>28</v>
      </c>
      <c r="E1319" t="s">
        <v>176</v>
      </c>
      <c r="F1319" t="s">
        <v>177</v>
      </c>
      <c r="G1319" t="s">
        <v>144</v>
      </c>
      <c r="H1319" s="3">
        <v>0.6</v>
      </c>
      <c r="I1319">
        <v>3750</v>
      </c>
      <c r="J1319" s="4">
        <v>2250</v>
      </c>
      <c r="K1319" s="4">
        <v>1012.5</v>
      </c>
      <c r="L1319" s="5">
        <v>0.45</v>
      </c>
      <c r="M1319" t="s">
        <v>24</v>
      </c>
      <c r="N1319" t="s">
        <v>361</v>
      </c>
    </row>
    <row r="1320" spans="1:14">
      <c r="A1320" t="s">
        <v>151</v>
      </c>
      <c r="B1320">
        <v>1128299</v>
      </c>
      <c r="C1320" s="2">
        <v>44303</v>
      </c>
      <c r="D1320" t="s">
        <v>28</v>
      </c>
      <c r="E1320" t="s">
        <v>176</v>
      </c>
      <c r="F1320" t="s">
        <v>177</v>
      </c>
      <c r="G1320" t="s">
        <v>27</v>
      </c>
      <c r="H1320" s="3">
        <v>0.65</v>
      </c>
      <c r="I1320">
        <v>5500</v>
      </c>
      <c r="J1320" s="4">
        <v>3575</v>
      </c>
      <c r="K1320" s="4">
        <v>1072.5</v>
      </c>
      <c r="L1320" s="5">
        <v>0.3</v>
      </c>
      <c r="M1320" t="s">
        <v>127</v>
      </c>
      <c r="N1320" t="s">
        <v>362</v>
      </c>
    </row>
    <row r="1321" spans="1:14">
      <c r="A1321" t="s">
        <v>151</v>
      </c>
      <c r="B1321">
        <v>1128299</v>
      </c>
      <c r="C1321" s="2">
        <v>44303</v>
      </c>
      <c r="D1321" t="s">
        <v>28</v>
      </c>
      <c r="E1321" t="s">
        <v>176</v>
      </c>
      <c r="F1321" t="s">
        <v>177</v>
      </c>
      <c r="G1321" t="s">
        <v>145</v>
      </c>
      <c r="H1321" s="3">
        <v>0.70000000000000007</v>
      </c>
      <c r="I1321">
        <v>3500</v>
      </c>
      <c r="J1321" s="4">
        <v>2450.0000000000005</v>
      </c>
      <c r="K1321" s="4">
        <v>612.50000000000011</v>
      </c>
      <c r="L1321" s="5">
        <v>0.25</v>
      </c>
      <c r="M1321" t="s">
        <v>127</v>
      </c>
      <c r="N1321" t="s">
        <v>362</v>
      </c>
    </row>
    <row r="1322" spans="1:14">
      <c r="A1322" t="s">
        <v>151</v>
      </c>
      <c r="B1322">
        <v>1128299</v>
      </c>
      <c r="C1322" s="2">
        <v>44303</v>
      </c>
      <c r="D1322" t="s">
        <v>28</v>
      </c>
      <c r="E1322" t="s">
        <v>176</v>
      </c>
      <c r="F1322" t="s">
        <v>177</v>
      </c>
      <c r="G1322" t="s">
        <v>146</v>
      </c>
      <c r="H1322" s="3">
        <v>0.70000000000000007</v>
      </c>
      <c r="I1322">
        <v>4000</v>
      </c>
      <c r="J1322" s="4">
        <v>2800.0000000000005</v>
      </c>
      <c r="K1322" s="4">
        <v>840.00000000000011</v>
      </c>
      <c r="L1322" s="5">
        <v>0.3</v>
      </c>
      <c r="M1322" t="s">
        <v>127</v>
      </c>
      <c r="N1322" t="s">
        <v>362</v>
      </c>
    </row>
    <row r="1323" spans="1:14">
      <c r="A1323" t="s">
        <v>151</v>
      </c>
      <c r="B1323">
        <v>1128299</v>
      </c>
      <c r="C1323" s="2">
        <v>44303</v>
      </c>
      <c r="D1323" t="s">
        <v>28</v>
      </c>
      <c r="E1323" t="s">
        <v>176</v>
      </c>
      <c r="F1323" t="s">
        <v>177</v>
      </c>
      <c r="G1323" t="s">
        <v>148</v>
      </c>
      <c r="H1323" s="3">
        <v>0.55000000000000004</v>
      </c>
      <c r="I1323">
        <v>3000</v>
      </c>
      <c r="J1323" s="4">
        <v>1650.0000000000002</v>
      </c>
      <c r="K1323" s="4">
        <v>495.00000000000006</v>
      </c>
      <c r="L1323" s="5">
        <v>0.3</v>
      </c>
      <c r="M1323" t="s">
        <v>127</v>
      </c>
      <c r="N1323" t="s">
        <v>362</v>
      </c>
    </row>
    <row r="1324" spans="1:14">
      <c r="A1324" t="s">
        <v>151</v>
      </c>
      <c r="B1324">
        <v>1128299</v>
      </c>
      <c r="C1324" s="2">
        <v>44303</v>
      </c>
      <c r="D1324" t="s">
        <v>28</v>
      </c>
      <c r="E1324" t="s">
        <v>176</v>
      </c>
      <c r="F1324" t="s">
        <v>177</v>
      </c>
      <c r="G1324" t="s">
        <v>147</v>
      </c>
      <c r="H1324" s="3">
        <v>0.60000000000000009</v>
      </c>
      <c r="I1324">
        <v>2000</v>
      </c>
      <c r="J1324" s="4">
        <v>1200.0000000000002</v>
      </c>
      <c r="K1324" s="4">
        <v>240.00000000000006</v>
      </c>
      <c r="L1324" s="5">
        <v>0.2</v>
      </c>
      <c r="M1324" t="s">
        <v>127</v>
      </c>
      <c r="N1324" t="s">
        <v>362</v>
      </c>
    </row>
    <row r="1325" spans="1:14">
      <c r="A1325" t="s">
        <v>151</v>
      </c>
      <c r="B1325">
        <v>1128299</v>
      </c>
      <c r="C1325" s="2">
        <v>44303</v>
      </c>
      <c r="D1325" t="s">
        <v>28</v>
      </c>
      <c r="E1325" t="s">
        <v>176</v>
      </c>
      <c r="F1325" t="s">
        <v>177</v>
      </c>
      <c r="G1325" t="s">
        <v>144</v>
      </c>
      <c r="H1325" s="3">
        <v>0.75000000000000011</v>
      </c>
      <c r="I1325">
        <v>3750</v>
      </c>
      <c r="J1325" s="4">
        <v>2812.5000000000005</v>
      </c>
      <c r="K1325" s="4">
        <v>1265.6250000000002</v>
      </c>
      <c r="L1325" s="5">
        <v>0.45</v>
      </c>
      <c r="M1325" t="s">
        <v>127</v>
      </c>
      <c r="N1325" t="s">
        <v>362</v>
      </c>
    </row>
    <row r="1326" spans="1:14">
      <c r="A1326" t="s">
        <v>151</v>
      </c>
      <c r="B1326">
        <v>1128299</v>
      </c>
      <c r="C1326" s="2">
        <v>44334</v>
      </c>
      <c r="D1326" t="s">
        <v>28</v>
      </c>
      <c r="E1326" t="s">
        <v>176</v>
      </c>
      <c r="F1326" t="s">
        <v>177</v>
      </c>
      <c r="G1326" t="s">
        <v>27</v>
      </c>
      <c r="H1326" s="3">
        <v>0.6</v>
      </c>
      <c r="I1326">
        <v>5750</v>
      </c>
      <c r="J1326" s="4">
        <v>3450</v>
      </c>
      <c r="K1326" s="4">
        <v>1035</v>
      </c>
      <c r="L1326" s="5">
        <v>0.3</v>
      </c>
      <c r="M1326" t="s">
        <v>128</v>
      </c>
      <c r="N1326" t="s">
        <v>362</v>
      </c>
    </row>
    <row r="1327" spans="1:14">
      <c r="A1327" t="s">
        <v>151</v>
      </c>
      <c r="B1327">
        <v>1128299</v>
      </c>
      <c r="C1327" s="2">
        <v>44334</v>
      </c>
      <c r="D1327" t="s">
        <v>28</v>
      </c>
      <c r="E1327" t="s">
        <v>176</v>
      </c>
      <c r="F1327" t="s">
        <v>177</v>
      </c>
      <c r="G1327" t="s">
        <v>145</v>
      </c>
      <c r="H1327" s="3">
        <v>0.65</v>
      </c>
      <c r="I1327">
        <v>4250</v>
      </c>
      <c r="J1327" s="4">
        <v>2762.5</v>
      </c>
      <c r="K1327" s="4">
        <v>690.625</v>
      </c>
      <c r="L1327" s="5">
        <v>0.25</v>
      </c>
      <c r="M1327" t="s">
        <v>128</v>
      </c>
      <c r="N1327" t="s">
        <v>362</v>
      </c>
    </row>
    <row r="1328" spans="1:14">
      <c r="A1328" t="s">
        <v>151</v>
      </c>
      <c r="B1328">
        <v>1128299</v>
      </c>
      <c r="C1328" s="2">
        <v>44334</v>
      </c>
      <c r="D1328" t="s">
        <v>28</v>
      </c>
      <c r="E1328" t="s">
        <v>176</v>
      </c>
      <c r="F1328" t="s">
        <v>177</v>
      </c>
      <c r="G1328" t="s">
        <v>146</v>
      </c>
      <c r="H1328" s="3">
        <v>0.65</v>
      </c>
      <c r="I1328">
        <v>4250</v>
      </c>
      <c r="J1328" s="4">
        <v>2762.5</v>
      </c>
      <c r="K1328" s="4">
        <v>828.75</v>
      </c>
      <c r="L1328" s="5">
        <v>0.3</v>
      </c>
      <c r="M1328" t="s">
        <v>128</v>
      </c>
      <c r="N1328" t="s">
        <v>362</v>
      </c>
    </row>
    <row r="1329" spans="1:14">
      <c r="A1329" t="s">
        <v>151</v>
      </c>
      <c r="B1329">
        <v>1128299</v>
      </c>
      <c r="C1329" s="2">
        <v>44334</v>
      </c>
      <c r="D1329" t="s">
        <v>28</v>
      </c>
      <c r="E1329" t="s">
        <v>176</v>
      </c>
      <c r="F1329" t="s">
        <v>177</v>
      </c>
      <c r="G1329" t="s">
        <v>148</v>
      </c>
      <c r="H1329" s="3">
        <v>0.6</v>
      </c>
      <c r="I1329">
        <v>3250</v>
      </c>
      <c r="J1329" s="4">
        <v>1950</v>
      </c>
      <c r="K1329" s="4">
        <v>585</v>
      </c>
      <c r="L1329" s="5">
        <v>0.3</v>
      </c>
      <c r="M1329" t="s">
        <v>128</v>
      </c>
      <c r="N1329" t="s">
        <v>362</v>
      </c>
    </row>
    <row r="1330" spans="1:14">
      <c r="A1330" t="s">
        <v>151</v>
      </c>
      <c r="B1330">
        <v>1128299</v>
      </c>
      <c r="C1330" s="2">
        <v>44334</v>
      </c>
      <c r="D1330" t="s">
        <v>28</v>
      </c>
      <c r="E1330" t="s">
        <v>176</v>
      </c>
      <c r="F1330" t="s">
        <v>177</v>
      </c>
      <c r="G1330" t="s">
        <v>147</v>
      </c>
      <c r="H1330" s="3">
        <v>0.54999999999999993</v>
      </c>
      <c r="I1330">
        <v>2250</v>
      </c>
      <c r="J1330" s="4">
        <v>1237.4999999999998</v>
      </c>
      <c r="K1330" s="4">
        <v>247.49999999999997</v>
      </c>
      <c r="L1330" s="5">
        <v>0.2</v>
      </c>
      <c r="M1330" t="s">
        <v>128</v>
      </c>
      <c r="N1330" t="s">
        <v>362</v>
      </c>
    </row>
    <row r="1331" spans="1:14">
      <c r="A1331" t="s">
        <v>151</v>
      </c>
      <c r="B1331">
        <v>1128299</v>
      </c>
      <c r="C1331" s="2">
        <v>44334</v>
      </c>
      <c r="D1331" t="s">
        <v>28</v>
      </c>
      <c r="E1331" t="s">
        <v>176</v>
      </c>
      <c r="F1331" t="s">
        <v>177</v>
      </c>
      <c r="G1331" t="s">
        <v>144</v>
      </c>
      <c r="H1331" s="3">
        <v>0.7</v>
      </c>
      <c r="I1331">
        <v>5750</v>
      </c>
      <c r="J1331" s="4">
        <v>4024.9999999999995</v>
      </c>
      <c r="K1331" s="4">
        <v>1811.2499999999998</v>
      </c>
      <c r="L1331" s="5">
        <v>0.45</v>
      </c>
      <c r="M1331" t="s">
        <v>128</v>
      </c>
      <c r="N1331" t="s">
        <v>362</v>
      </c>
    </row>
    <row r="1332" spans="1:14">
      <c r="A1332" t="s">
        <v>151</v>
      </c>
      <c r="B1332">
        <v>1128299</v>
      </c>
      <c r="C1332" s="2">
        <v>44364</v>
      </c>
      <c r="D1332" t="s">
        <v>28</v>
      </c>
      <c r="E1332" t="s">
        <v>176</v>
      </c>
      <c r="F1332" t="s">
        <v>177</v>
      </c>
      <c r="G1332" t="s">
        <v>27</v>
      </c>
      <c r="H1332" s="3">
        <v>0.64999999999999991</v>
      </c>
      <c r="I1332">
        <v>8250</v>
      </c>
      <c r="J1332" s="4">
        <v>5362.4999999999991</v>
      </c>
      <c r="K1332" s="4">
        <v>1608.7499999999998</v>
      </c>
      <c r="L1332" s="5">
        <v>0.3</v>
      </c>
      <c r="M1332" t="s">
        <v>129</v>
      </c>
      <c r="N1332" t="s">
        <v>362</v>
      </c>
    </row>
    <row r="1333" spans="1:14">
      <c r="A1333" t="s">
        <v>151</v>
      </c>
      <c r="B1333">
        <v>1128299</v>
      </c>
      <c r="C1333" s="2">
        <v>44364</v>
      </c>
      <c r="D1333" t="s">
        <v>28</v>
      </c>
      <c r="E1333" t="s">
        <v>176</v>
      </c>
      <c r="F1333" t="s">
        <v>177</v>
      </c>
      <c r="G1333" t="s">
        <v>145</v>
      </c>
      <c r="H1333" s="3">
        <v>0.7</v>
      </c>
      <c r="I1333">
        <v>7000</v>
      </c>
      <c r="J1333" s="4">
        <v>4900</v>
      </c>
      <c r="K1333" s="4">
        <v>1225</v>
      </c>
      <c r="L1333" s="5">
        <v>0.25</v>
      </c>
      <c r="M1333" t="s">
        <v>129</v>
      </c>
      <c r="N1333" t="s">
        <v>362</v>
      </c>
    </row>
    <row r="1334" spans="1:14">
      <c r="A1334" t="s">
        <v>151</v>
      </c>
      <c r="B1334">
        <v>1128299</v>
      </c>
      <c r="C1334" s="2">
        <v>44364</v>
      </c>
      <c r="D1334" t="s">
        <v>28</v>
      </c>
      <c r="E1334" t="s">
        <v>176</v>
      </c>
      <c r="F1334" t="s">
        <v>177</v>
      </c>
      <c r="G1334" t="s">
        <v>146</v>
      </c>
      <c r="H1334" s="3">
        <v>0.85</v>
      </c>
      <c r="I1334">
        <v>7000</v>
      </c>
      <c r="J1334" s="4">
        <v>5950</v>
      </c>
      <c r="K1334" s="4">
        <v>1785</v>
      </c>
      <c r="L1334" s="5">
        <v>0.3</v>
      </c>
      <c r="M1334" t="s">
        <v>129</v>
      </c>
      <c r="N1334" t="s">
        <v>362</v>
      </c>
    </row>
    <row r="1335" spans="1:14">
      <c r="A1335" t="s">
        <v>151</v>
      </c>
      <c r="B1335">
        <v>1128299</v>
      </c>
      <c r="C1335" s="2">
        <v>44364</v>
      </c>
      <c r="D1335" t="s">
        <v>28</v>
      </c>
      <c r="E1335" t="s">
        <v>176</v>
      </c>
      <c r="F1335" t="s">
        <v>177</v>
      </c>
      <c r="G1335" t="s">
        <v>148</v>
      </c>
      <c r="H1335" s="3">
        <v>0.85</v>
      </c>
      <c r="I1335">
        <v>5750</v>
      </c>
      <c r="J1335" s="4">
        <v>4887.5</v>
      </c>
      <c r="K1335" s="4">
        <v>1466.25</v>
      </c>
      <c r="L1335" s="5">
        <v>0.3</v>
      </c>
      <c r="M1335" t="s">
        <v>129</v>
      </c>
      <c r="N1335" t="s">
        <v>362</v>
      </c>
    </row>
    <row r="1336" spans="1:14">
      <c r="A1336" t="s">
        <v>151</v>
      </c>
      <c r="B1336">
        <v>1128299</v>
      </c>
      <c r="C1336" s="2">
        <v>44364</v>
      </c>
      <c r="D1336" t="s">
        <v>28</v>
      </c>
      <c r="E1336" t="s">
        <v>176</v>
      </c>
      <c r="F1336" t="s">
        <v>177</v>
      </c>
      <c r="G1336" t="s">
        <v>147</v>
      </c>
      <c r="H1336" s="3">
        <v>0.95000000000000007</v>
      </c>
      <c r="I1336">
        <v>4500</v>
      </c>
      <c r="J1336" s="4">
        <v>4275</v>
      </c>
      <c r="K1336" s="4">
        <v>855</v>
      </c>
      <c r="L1336" s="5">
        <v>0.2</v>
      </c>
      <c r="M1336" t="s">
        <v>129</v>
      </c>
      <c r="N1336" t="s">
        <v>362</v>
      </c>
    </row>
    <row r="1337" spans="1:14">
      <c r="A1337" t="s">
        <v>151</v>
      </c>
      <c r="B1337">
        <v>1128299</v>
      </c>
      <c r="C1337" s="2">
        <v>44364</v>
      </c>
      <c r="D1337" t="s">
        <v>28</v>
      </c>
      <c r="E1337" t="s">
        <v>176</v>
      </c>
      <c r="F1337" t="s">
        <v>177</v>
      </c>
      <c r="G1337" t="s">
        <v>144</v>
      </c>
      <c r="H1337" s="3">
        <v>1.1000000000000001</v>
      </c>
      <c r="I1337">
        <v>7500</v>
      </c>
      <c r="J1337" s="4">
        <v>8250</v>
      </c>
      <c r="K1337" s="4">
        <v>3712.5</v>
      </c>
      <c r="L1337" s="5">
        <v>0.45</v>
      </c>
      <c r="M1337" t="s">
        <v>129</v>
      </c>
      <c r="N1337" t="s">
        <v>362</v>
      </c>
    </row>
    <row r="1338" spans="1:14">
      <c r="A1338" t="s">
        <v>151</v>
      </c>
      <c r="B1338">
        <v>1128299</v>
      </c>
      <c r="C1338" s="2">
        <v>44393</v>
      </c>
      <c r="D1338" t="s">
        <v>28</v>
      </c>
      <c r="E1338" t="s">
        <v>176</v>
      </c>
      <c r="F1338" t="s">
        <v>177</v>
      </c>
      <c r="G1338" t="s">
        <v>27</v>
      </c>
      <c r="H1338" s="3">
        <v>0.9</v>
      </c>
      <c r="I1338">
        <v>9000</v>
      </c>
      <c r="J1338" s="4">
        <v>8100</v>
      </c>
      <c r="K1338" s="4">
        <v>2430</v>
      </c>
      <c r="L1338" s="5">
        <v>0.3</v>
      </c>
      <c r="M1338" t="s">
        <v>130</v>
      </c>
      <c r="N1338" t="s">
        <v>363</v>
      </c>
    </row>
    <row r="1339" spans="1:14">
      <c r="A1339" t="s">
        <v>151</v>
      </c>
      <c r="B1339">
        <v>1128299</v>
      </c>
      <c r="C1339" s="2">
        <v>44393</v>
      </c>
      <c r="D1339" t="s">
        <v>28</v>
      </c>
      <c r="E1339" t="s">
        <v>176</v>
      </c>
      <c r="F1339" t="s">
        <v>177</v>
      </c>
      <c r="G1339" t="s">
        <v>145</v>
      </c>
      <c r="H1339" s="3">
        <v>0.95000000000000007</v>
      </c>
      <c r="I1339">
        <v>7500</v>
      </c>
      <c r="J1339" s="4">
        <v>7125.0000000000009</v>
      </c>
      <c r="K1339" s="4">
        <v>1781.2500000000002</v>
      </c>
      <c r="L1339" s="5">
        <v>0.25</v>
      </c>
      <c r="M1339" t="s">
        <v>130</v>
      </c>
      <c r="N1339" t="s">
        <v>363</v>
      </c>
    </row>
    <row r="1340" spans="1:14">
      <c r="A1340" t="s">
        <v>151</v>
      </c>
      <c r="B1340">
        <v>1128299</v>
      </c>
      <c r="C1340" s="2">
        <v>44393</v>
      </c>
      <c r="D1340" t="s">
        <v>28</v>
      </c>
      <c r="E1340" t="s">
        <v>176</v>
      </c>
      <c r="F1340" t="s">
        <v>177</v>
      </c>
      <c r="G1340" t="s">
        <v>146</v>
      </c>
      <c r="H1340" s="3">
        <v>0.95000000000000007</v>
      </c>
      <c r="I1340">
        <v>7000</v>
      </c>
      <c r="J1340" s="4">
        <v>6650.0000000000009</v>
      </c>
      <c r="K1340" s="4">
        <v>1995.0000000000002</v>
      </c>
      <c r="L1340" s="5">
        <v>0.3</v>
      </c>
      <c r="M1340" t="s">
        <v>130</v>
      </c>
      <c r="N1340" t="s">
        <v>363</v>
      </c>
    </row>
    <row r="1341" spans="1:14">
      <c r="A1341" t="s">
        <v>151</v>
      </c>
      <c r="B1341">
        <v>1128299</v>
      </c>
      <c r="C1341" s="2">
        <v>44393</v>
      </c>
      <c r="D1341" t="s">
        <v>28</v>
      </c>
      <c r="E1341" t="s">
        <v>176</v>
      </c>
      <c r="F1341" t="s">
        <v>177</v>
      </c>
      <c r="G1341" t="s">
        <v>148</v>
      </c>
      <c r="H1341" s="3">
        <v>0.9</v>
      </c>
      <c r="I1341">
        <v>6000</v>
      </c>
      <c r="J1341" s="4">
        <v>5400</v>
      </c>
      <c r="K1341" s="4">
        <v>1620</v>
      </c>
      <c r="L1341" s="5">
        <v>0.3</v>
      </c>
      <c r="M1341" t="s">
        <v>130</v>
      </c>
      <c r="N1341" t="s">
        <v>363</v>
      </c>
    </row>
    <row r="1342" spans="1:14">
      <c r="A1342" t="s">
        <v>151</v>
      </c>
      <c r="B1342">
        <v>1128299</v>
      </c>
      <c r="C1342" s="2">
        <v>44393</v>
      </c>
      <c r="D1342" t="s">
        <v>28</v>
      </c>
      <c r="E1342" t="s">
        <v>176</v>
      </c>
      <c r="F1342" t="s">
        <v>177</v>
      </c>
      <c r="G1342" t="s">
        <v>147</v>
      </c>
      <c r="H1342" s="3">
        <v>0.95000000000000007</v>
      </c>
      <c r="I1342">
        <v>6500</v>
      </c>
      <c r="J1342" s="4">
        <v>6175</v>
      </c>
      <c r="K1342" s="4">
        <v>1235</v>
      </c>
      <c r="L1342" s="5">
        <v>0.2</v>
      </c>
      <c r="M1342" t="s">
        <v>130</v>
      </c>
      <c r="N1342" t="s">
        <v>363</v>
      </c>
    </row>
    <row r="1343" spans="1:14">
      <c r="A1343" t="s">
        <v>151</v>
      </c>
      <c r="B1343">
        <v>1128299</v>
      </c>
      <c r="C1343" s="2">
        <v>44393</v>
      </c>
      <c r="D1343" t="s">
        <v>28</v>
      </c>
      <c r="E1343" t="s">
        <v>176</v>
      </c>
      <c r="F1343" t="s">
        <v>177</v>
      </c>
      <c r="G1343" t="s">
        <v>144</v>
      </c>
      <c r="H1343" s="3">
        <v>1.1000000000000001</v>
      </c>
      <c r="I1343">
        <v>6500</v>
      </c>
      <c r="J1343" s="4">
        <v>7150.0000000000009</v>
      </c>
      <c r="K1343" s="4">
        <v>3217.5000000000005</v>
      </c>
      <c r="L1343" s="5">
        <v>0.45</v>
      </c>
      <c r="M1343" t="s">
        <v>130</v>
      </c>
      <c r="N1343" t="s">
        <v>363</v>
      </c>
    </row>
    <row r="1344" spans="1:14">
      <c r="A1344" t="s">
        <v>151</v>
      </c>
      <c r="B1344">
        <v>1128299</v>
      </c>
      <c r="C1344" s="2">
        <v>44425</v>
      </c>
      <c r="D1344" t="s">
        <v>28</v>
      </c>
      <c r="E1344" t="s">
        <v>176</v>
      </c>
      <c r="F1344" t="s">
        <v>177</v>
      </c>
      <c r="G1344" t="s">
        <v>27</v>
      </c>
      <c r="H1344" s="3">
        <v>0.95000000000000007</v>
      </c>
      <c r="I1344">
        <v>8500</v>
      </c>
      <c r="J1344" s="4">
        <v>8075.0000000000009</v>
      </c>
      <c r="K1344" s="4">
        <v>2422.5</v>
      </c>
      <c r="L1344" s="5">
        <v>0.3</v>
      </c>
      <c r="M1344" t="s">
        <v>131</v>
      </c>
      <c r="N1344" t="s">
        <v>363</v>
      </c>
    </row>
    <row r="1345" spans="1:14">
      <c r="A1345" t="s">
        <v>151</v>
      </c>
      <c r="B1345">
        <v>1128299</v>
      </c>
      <c r="C1345" s="2">
        <v>44425</v>
      </c>
      <c r="D1345" t="s">
        <v>28</v>
      </c>
      <c r="E1345" t="s">
        <v>176</v>
      </c>
      <c r="F1345" t="s">
        <v>177</v>
      </c>
      <c r="G1345" t="s">
        <v>145</v>
      </c>
      <c r="H1345" s="3">
        <v>0.85000000000000009</v>
      </c>
      <c r="I1345">
        <v>8250</v>
      </c>
      <c r="J1345" s="4">
        <v>7012.5000000000009</v>
      </c>
      <c r="K1345" s="4">
        <v>1753.1250000000002</v>
      </c>
      <c r="L1345" s="5">
        <v>0.25</v>
      </c>
      <c r="M1345" t="s">
        <v>131</v>
      </c>
      <c r="N1345" t="s">
        <v>363</v>
      </c>
    </row>
    <row r="1346" spans="1:14">
      <c r="A1346" t="s">
        <v>151</v>
      </c>
      <c r="B1346">
        <v>1128299</v>
      </c>
      <c r="C1346" s="2">
        <v>44425</v>
      </c>
      <c r="D1346" t="s">
        <v>28</v>
      </c>
      <c r="E1346" t="s">
        <v>176</v>
      </c>
      <c r="F1346" t="s">
        <v>177</v>
      </c>
      <c r="G1346" t="s">
        <v>146</v>
      </c>
      <c r="H1346" s="3">
        <v>0.8</v>
      </c>
      <c r="I1346">
        <v>7000</v>
      </c>
      <c r="J1346" s="4">
        <v>5600</v>
      </c>
      <c r="K1346" s="4">
        <v>1680</v>
      </c>
      <c r="L1346" s="5">
        <v>0.3</v>
      </c>
      <c r="M1346" t="s">
        <v>131</v>
      </c>
      <c r="N1346" t="s">
        <v>363</v>
      </c>
    </row>
    <row r="1347" spans="1:14">
      <c r="A1347" t="s">
        <v>151</v>
      </c>
      <c r="B1347">
        <v>1128299</v>
      </c>
      <c r="C1347" s="2">
        <v>44425</v>
      </c>
      <c r="D1347" t="s">
        <v>28</v>
      </c>
      <c r="E1347" t="s">
        <v>176</v>
      </c>
      <c r="F1347" t="s">
        <v>177</v>
      </c>
      <c r="G1347" t="s">
        <v>148</v>
      </c>
      <c r="H1347" s="3">
        <v>0.8</v>
      </c>
      <c r="I1347">
        <v>4750</v>
      </c>
      <c r="J1347" s="4">
        <v>3800</v>
      </c>
      <c r="K1347" s="4">
        <v>1140</v>
      </c>
      <c r="L1347" s="5">
        <v>0.3</v>
      </c>
      <c r="M1347" t="s">
        <v>131</v>
      </c>
      <c r="N1347" t="s">
        <v>363</v>
      </c>
    </row>
    <row r="1348" spans="1:14">
      <c r="A1348" t="s">
        <v>151</v>
      </c>
      <c r="B1348">
        <v>1128299</v>
      </c>
      <c r="C1348" s="2">
        <v>44425</v>
      </c>
      <c r="D1348" t="s">
        <v>28</v>
      </c>
      <c r="E1348" t="s">
        <v>176</v>
      </c>
      <c r="F1348" t="s">
        <v>177</v>
      </c>
      <c r="G1348" t="s">
        <v>147</v>
      </c>
      <c r="H1348" s="3">
        <v>0.79999999999999993</v>
      </c>
      <c r="I1348">
        <v>4750</v>
      </c>
      <c r="J1348" s="4">
        <v>3799.9999999999995</v>
      </c>
      <c r="K1348" s="4">
        <v>760</v>
      </c>
      <c r="L1348" s="5">
        <v>0.2</v>
      </c>
      <c r="M1348" t="s">
        <v>131</v>
      </c>
      <c r="N1348" t="s">
        <v>363</v>
      </c>
    </row>
    <row r="1349" spans="1:14">
      <c r="A1349" t="s">
        <v>151</v>
      </c>
      <c r="B1349">
        <v>1128299</v>
      </c>
      <c r="C1349" s="2">
        <v>44425</v>
      </c>
      <c r="D1349" t="s">
        <v>28</v>
      </c>
      <c r="E1349" t="s">
        <v>176</v>
      </c>
      <c r="F1349" t="s">
        <v>177</v>
      </c>
      <c r="G1349" t="s">
        <v>144</v>
      </c>
      <c r="H1349" s="3">
        <v>0.85</v>
      </c>
      <c r="I1349">
        <v>3000</v>
      </c>
      <c r="J1349" s="4">
        <v>2550</v>
      </c>
      <c r="K1349" s="4">
        <v>1147.5</v>
      </c>
      <c r="L1349" s="5">
        <v>0.45</v>
      </c>
      <c r="M1349" t="s">
        <v>131</v>
      </c>
      <c r="N1349" t="s">
        <v>363</v>
      </c>
    </row>
    <row r="1350" spans="1:14">
      <c r="A1350" t="s">
        <v>151</v>
      </c>
      <c r="B1350">
        <v>1128299</v>
      </c>
      <c r="C1350" s="2">
        <v>44457</v>
      </c>
      <c r="D1350" t="s">
        <v>28</v>
      </c>
      <c r="E1350" t="s">
        <v>176</v>
      </c>
      <c r="F1350" t="s">
        <v>177</v>
      </c>
      <c r="G1350" t="s">
        <v>27</v>
      </c>
      <c r="H1350" s="3">
        <v>0.60000000000000009</v>
      </c>
      <c r="I1350">
        <v>5000</v>
      </c>
      <c r="J1350" s="4">
        <v>3000.0000000000005</v>
      </c>
      <c r="K1350" s="4">
        <v>900.00000000000011</v>
      </c>
      <c r="L1350" s="5">
        <v>0.3</v>
      </c>
      <c r="M1350" t="s">
        <v>132</v>
      </c>
      <c r="N1350" t="s">
        <v>363</v>
      </c>
    </row>
    <row r="1351" spans="1:14">
      <c r="A1351" t="s">
        <v>151</v>
      </c>
      <c r="B1351">
        <v>1128299</v>
      </c>
      <c r="C1351" s="2">
        <v>44457</v>
      </c>
      <c r="D1351" t="s">
        <v>28</v>
      </c>
      <c r="E1351" t="s">
        <v>176</v>
      </c>
      <c r="F1351" t="s">
        <v>177</v>
      </c>
      <c r="G1351" t="s">
        <v>145</v>
      </c>
      <c r="H1351" s="3">
        <v>0.65000000000000013</v>
      </c>
      <c r="I1351">
        <v>5000</v>
      </c>
      <c r="J1351" s="4">
        <v>3250.0000000000005</v>
      </c>
      <c r="K1351" s="4">
        <v>812.50000000000011</v>
      </c>
      <c r="L1351" s="5">
        <v>0.25</v>
      </c>
      <c r="M1351" t="s">
        <v>132</v>
      </c>
      <c r="N1351" t="s">
        <v>363</v>
      </c>
    </row>
    <row r="1352" spans="1:14">
      <c r="A1352" t="s">
        <v>151</v>
      </c>
      <c r="B1352">
        <v>1128299</v>
      </c>
      <c r="C1352" s="2">
        <v>44457</v>
      </c>
      <c r="D1352" t="s">
        <v>28</v>
      </c>
      <c r="E1352" t="s">
        <v>176</v>
      </c>
      <c r="F1352" t="s">
        <v>177</v>
      </c>
      <c r="G1352" t="s">
        <v>146</v>
      </c>
      <c r="H1352" s="3">
        <v>0.60000000000000009</v>
      </c>
      <c r="I1352">
        <v>3000</v>
      </c>
      <c r="J1352" s="4">
        <v>1800.0000000000002</v>
      </c>
      <c r="K1352" s="4">
        <v>540</v>
      </c>
      <c r="L1352" s="5">
        <v>0.3</v>
      </c>
      <c r="M1352" t="s">
        <v>132</v>
      </c>
      <c r="N1352" t="s">
        <v>363</v>
      </c>
    </row>
    <row r="1353" spans="1:14">
      <c r="A1353" t="s">
        <v>151</v>
      </c>
      <c r="B1353">
        <v>1128299</v>
      </c>
      <c r="C1353" s="2">
        <v>44457</v>
      </c>
      <c r="D1353" t="s">
        <v>28</v>
      </c>
      <c r="E1353" t="s">
        <v>176</v>
      </c>
      <c r="F1353" t="s">
        <v>177</v>
      </c>
      <c r="G1353" t="s">
        <v>148</v>
      </c>
      <c r="H1353" s="3">
        <v>0.60000000000000009</v>
      </c>
      <c r="I1353">
        <v>2500</v>
      </c>
      <c r="J1353" s="4">
        <v>1500.0000000000002</v>
      </c>
      <c r="K1353" s="4">
        <v>450.00000000000006</v>
      </c>
      <c r="L1353" s="5">
        <v>0.3</v>
      </c>
      <c r="M1353" t="s">
        <v>132</v>
      </c>
      <c r="N1353" t="s">
        <v>363</v>
      </c>
    </row>
    <row r="1354" spans="1:14">
      <c r="A1354" t="s">
        <v>151</v>
      </c>
      <c r="B1354">
        <v>1128299</v>
      </c>
      <c r="C1354" s="2">
        <v>44457</v>
      </c>
      <c r="D1354" t="s">
        <v>28</v>
      </c>
      <c r="E1354" t="s">
        <v>176</v>
      </c>
      <c r="F1354" t="s">
        <v>177</v>
      </c>
      <c r="G1354" t="s">
        <v>147</v>
      </c>
      <c r="H1354" s="3">
        <v>0.70000000000000007</v>
      </c>
      <c r="I1354">
        <v>2750</v>
      </c>
      <c r="J1354" s="4">
        <v>1925.0000000000002</v>
      </c>
      <c r="K1354" s="4">
        <v>385.00000000000006</v>
      </c>
      <c r="L1354" s="5">
        <v>0.2</v>
      </c>
      <c r="M1354" t="s">
        <v>132</v>
      </c>
      <c r="N1354" t="s">
        <v>363</v>
      </c>
    </row>
    <row r="1355" spans="1:14">
      <c r="A1355" t="s">
        <v>151</v>
      </c>
      <c r="B1355">
        <v>1128299</v>
      </c>
      <c r="C1355" s="2">
        <v>44457</v>
      </c>
      <c r="D1355" t="s">
        <v>28</v>
      </c>
      <c r="E1355" t="s">
        <v>176</v>
      </c>
      <c r="F1355" t="s">
        <v>177</v>
      </c>
      <c r="G1355" t="s">
        <v>144</v>
      </c>
      <c r="H1355" s="3">
        <v>0.54999999999999993</v>
      </c>
      <c r="I1355">
        <v>3000</v>
      </c>
      <c r="J1355" s="4">
        <v>1649.9999999999998</v>
      </c>
      <c r="K1355" s="4">
        <v>742.49999999999989</v>
      </c>
      <c r="L1355" s="5">
        <v>0.45</v>
      </c>
      <c r="M1355" t="s">
        <v>132</v>
      </c>
      <c r="N1355" t="s">
        <v>363</v>
      </c>
    </row>
    <row r="1356" spans="1:14">
      <c r="A1356" t="s">
        <v>151</v>
      </c>
      <c r="B1356">
        <v>1128299</v>
      </c>
      <c r="C1356" s="2">
        <v>44486</v>
      </c>
      <c r="D1356" t="s">
        <v>28</v>
      </c>
      <c r="E1356" t="s">
        <v>176</v>
      </c>
      <c r="F1356" t="s">
        <v>177</v>
      </c>
      <c r="G1356" t="s">
        <v>27</v>
      </c>
      <c r="H1356" s="3">
        <v>0.5</v>
      </c>
      <c r="I1356">
        <v>4000</v>
      </c>
      <c r="J1356" s="4">
        <v>2000</v>
      </c>
      <c r="K1356" s="4">
        <v>600</v>
      </c>
      <c r="L1356" s="5">
        <v>0.3</v>
      </c>
      <c r="M1356" t="s">
        <v>133</v>
      </c>
      <c r="N1356" t="s">
        <v>364</v>
      </c>
    </row>
    <row r="1357" spans="1:14">
      <c r="A1357" t="s">
        <v>151</v>
      </c>
      <c r="B1357">
        <v>1128299</v>
      </c>
      <c r="C1357" s="2">
        <v>44486</v>
      </c>
      <c r="D1357" t="s">
        <v>28</v>
      </c>
      <c r="E1357" t="s">
        <v>176</v>
      </c>
      <c r="F1357" t="s">
        <v>177</v>
      </c>
      <c r="G1357" t="s">
        <v>145</v>
      </c>
      <c r="H1357" s="3">
        <v>0.65000000000000013</v>
      </c>
      <c r="I1357">
        <v>5750</v>
      </c>
      <c r="J1357" s="4">
        <v>3737.5000000000009</v>
      </c>
      <c r="K1357" s="4">
        <v>934.37500000000023</v>
      </c>
      <c r="L1357" s="5">
        <v>0.25</v>
      </c>
      <c r="M1357" t="s">
        <v>133</v>
      </c>
      <c r="N1357" t="s">
        <v>364</v>
      </c>
    </row>
    <row r="1358" spans="1:14">
      <c r="A1358" t="s">
        <v>151</v>
      </c>
      <c r="B1358">
        <v>1128299</v>
      </c>
      <c r="C1358" s="2">
        <v>44486</v>
      </c>
      <c r="D1358" t="s">
        <v>28</v>
      </c>
      <c r="E1358" t="s">
        <v>176</v>
      </c>
      <c r="F1358" t="s">
        <v>177</v>
      </c>
      <c r="G1358" t="s">
        <v>146</v>
      </c>
      <c r="H1358" s="3">
        <v>0.60000000000000009</v>
      </c>
      <c r="I1358">
        <v>4000</v>
      </c>
      <c r="J1358" s="4">
        <v>2400.0000000000005</v>
      </c>
      <c r="K1358" s="4">
        <v>720.00000000000011</v>
      </c>
      <c r="L1358" s="5">
        <v>0.3</v>
      </c>
      <c r="M1358" t="s">
        <v>133</v>
      </c>
      <c r="N1358" t="s">
        <v>364</v>
      </c>
    </row>
    <row r="1359" spans="1:14">
      <c r="A1359" t="s">
        <v>151</v>
      </c>
      <c r="B1359">
        <v>1128299</v>
      </c>
      <c r="C1359" s="2">
        <v>44486</v>
      </c>
      <c r="D1359" t="s">
        <v>28</v>
      </c>
      <c r="E1359" t="s">
        <v>176</v>
      </c>
      <c r="F1359" t="s">
        <v>177</v>
      </c>
      <c r="G1359" t="s">
        <v>148</v>
      </c>
      <c r="H1359" s="3">
        <v>0.55000000000000004</v>
      </c>
      <c r="I1359">
        <v>3750</v>
      </c>
      <c r="J1359" s="4">
        <v>2062.5</v>
      </c>
      <c r="K1359" s="4">
        <v>618.75</v>
      </c>
      <c r="L1359" s="5">
        <v>0.3</v>
      </c>
      <c r="M1359" t="s">
        <v>133</v>
      </c>
      <c r="N1359" t="s">
        <v>364</v>
      </c>
    </row>
    <row r="1360" spans="1:14">
      <c r="A1360" t="s">
        <v>151</v>
      </c>
      <c r="B1360">
        <v>1128299</v>
      </c>
      <c r="C1360" s="2">
        <v>44486</v>
      </c>
      <c r="D1360" t="s">
        <v>28</v>
      </c>
      <c r="E1360" t="s">
        <v>176</v>
      </c>
      <c r="F1360" t="s">
        <v>177</v>
      </c>
      <c r="G1360" t="s">
        <v>147</v>
      </c>
      <c r="H1360" s="3">
        <v>0.65</v>
      </c>
      <c r="I1360">
        <v>3500</v>
      </c>
      <c r="J1360" s="4">
        <v>2275</v>
      </c>
      <c r="K1360" s="4">
        <v>455</v>
      </c>
      <c r="L1360" s="5">
        <v>0.2</v>
      </c>
      <c r="M1360" t="s">
        <v>133</v>
      </c>
      <c r="N1360" t="s">
        <v>364</v>
      </c>
    </row>
    <row r="1361" spans="1:14">
      <c r="A1361" t="s">
        <v>151</v>
      </c>
      <c r="B1361">
        <v>1128299</v>
      </c>
      <c r="C1361" s="2">
        <v>44486</v>
      </c>
      <c r="D1361" t="s">
        <v>28</v>
      </c>
      <c r="E1361" t="s">
        <v>176</v>
      </c>
      <c r="F1361" t="s">
        <v>177</v>
      </c>
      <c r="G1361" t="s">
        <v>144</v>
      </c>
      <c r="H1361" s="3">
        <v>0.70000000000000007</v>
      </c>
      <c r="I1361">
        <v>4000</v>
      </c>
      <c r="J1361" s="4">
        <v>2800.0000000000005</v>
      </c>
      <c r="K1361" s="4">
        <v>1260.0000000000002</v>
      </c>
      <c r="L1361" s="5">
        <v>0.45</v>
      </c>
      <c r="M1361" t="s">
        <v>133</v>
      </c>
      <c r="N1361" t="s">
        <v>364</v>
      </c>
    </row>
    <row r="1362" spans="1:14">
      <c r="A1362" t="s">
        <v>151</v>
      </c>
      <c r="B1362">
        <v>1128299</v>
      </c>
      <c r="C1362" s="2">
        <v>44517</v>
      </c>
      <c r="D1362" t="s">
        <v>28</v>
      </c>
      <c r="E1362" t="s">
        <v>176</v>
      </c>
      <c r="F1362" t="s">
        <v>177</v>
      </c>
      <c r="G1362" t="s">
        <v>27</v>
      </c>
      <c r="H1362" s="3">
        <v>0.55000000000000004</v>
      </c>
      <c r="I1362">
        <v>6250</v>
      </c>
      <c r="J1362" s="4">
        <v>3437.5000000000005</v>
      </c>
      <c r="K1362" s="4">
        <v>1031.25</v>
      </c>
      <c r="L1362" s="5">
        <v>0.3</v>
      </c>
      <c r="M1362" t="s">
        <v>134</v>
      </c>
      <c r="N1362" t="s">
        <v>364</v>
      </c>
    </row>
    <row r="1363" spans="1:14">
      <c r="A1363" t="s">
        <v>151</v>
      </c>
      <c r="B1363">
        <v>1128299</v>
      </c>
      <c r="C1363" s="2">
        <v>44517</v>
      </c>
      <c r="D1363" t="s">
        <v>28</v>
      </c>
      <c r="E1363" t="s">
        <v>176</v>
      </c>
      <c r="F1363" t="s">
        <v>177</v>
      </c>
      <c r="G1363" t="s">
        <v>145</v>
      </c>
      <c r="H1363" s="3">
        <v>0.60000000000000009</v>
      </c>
      <c r="I1363">
        <v>7000</v>
      </c>
      <c r="J1363" s="4">
        <v>4200.0000000000009</v>
      </c>
      <c r="K1363" s="4">
        <v>1050.0000000000002</v>
      </c>
      <c r="L1363" s="5">
        <v>0.25</v>
      </c>
      <c r="M1363" t="s">
        <v>134</v>
      </c>
      <c r="N1363" t="s">
        <v>364</v>
      </c>
    </row>
    <row r="1364" spans="1:14">
      <c r="A1364" t="s">
        <v>151</v>
      </c>
      <c r="B1364">
        <v>1128299</v>
      </c>
      <c r="C1364" s="2">
        <v>44517</v>
      </c>
      <c r="D1364" t="s">
        <v>28</v>
      </c>
      <c r="E1364" t="s">
        <v>176</v>
      </c>
      <c r="F1364" t="s">
        <v>177</v>
      </c>
      <c r="G1364" t="s">
        <v>146</v>
      </c>
      <c r="H1364" s="3">
        <v>0.55000000000000004</v>
      </c>
      <c r="I1364">
        <v>5250</v>
      </c>
      <c r="J1364" s="4">
        <v>2887.5000000000005</v>
      </c>
      <c r="K1364" s="4">
        <v>866.25000000000011</v>
      </c>
      <c r="L1364" s="5">
        <v>0.3</v>
      </c>
      <c r="M1364" t="s">
        <v>134</v>
      </c>
      <c r="N1364" t="s">
        <v>364</v>
      </c>
    </row>
    <row r="1365" spans="1:14">
      <c r="A1365" t="s">
        <v>151</v>
      </c>
      <c r="B1365">
        <v>1128299</v>
      </c>
      <c r="C1365" s="2">
        <v>44517</v>
      </c>
      <c r="D1365" t="s">
        <v>28</v>
      </c>
      <c r="E1365" t="s">
        <v>176</v>
      </c>
      <c r="F1365" t="s">
        <v>177</v>
      </c>
      <c r="G1365" t="s">
        <v>148</v>
      </c>
      <c r="H1365" s="3">
        <v>0.65000000000000013</v>
      </c>
      <c r="I1365">
        <v>5000</v>
      </c>
      <c r="J1365" s="4">
        <v>3250.0000000000005</v>
      </c>
      <c r="K1365" s="4">
        <v>975.00000000000011</v>
      </c>
      <c r="L1365" s="5">
        <v>0.3</v>
      </c>
      <c r="M1365" t="s">
        <v>134</v>
      </c>
      <c r="N1365" t="s">
        <v>364</v>
      </c>
    </row>
    <row r="1366" spans="1:14">
      <c r="A1366" t="s">
        <v>151</v>
      </c>
      <c r="B1366">
        <v>1128299</v>
      </c>
      <c r="C1366" s="2">
        <v>44517</v>
      </c>
      <c r="D1366" t="s">
        <v>28</v>
      </c>
      <c r="E1366" t="s">
        <v>176</v>
      </c>
      <c r="F1366" t="s">
        <v>177</v>
      </c>
      <c r="G1366" t="s">
        <v>147</v>
      </c>
      <c r="H1366" s="3">
        <v>0.85000000000000009</v>
      </c>
      <c r="I1366">
        <v>4750</v>
      </c>
      <c r="J1366" s="4">
        <v>4037.5000000000005</v>
      </c>
      <c r="K1366" s="4">
        <v>807.50000000000011</v>
      </c>
      <c r="L1366" s="5">
        <v>0.2</v>
      </c>
      <c r="M1366" t="s">
        <v>134</v>
      </c>
      <c r="N1366" t="s">
        <v>364</v>
      </c>
    </row>
    <row r="1367" spans="1:14">
      <c r="A1367" t="s">
        <v>151</v>
      </c>
      <c r="B1367">
        <v>1128299</v>
      </c>
      <c r="C1367" s="2">
        <v>44517</v>
      </c>
      <c r="D1367" t="s">
        <v>28</v>
      </c>
      <c r="E1367" t="s">
        <v>176</v>
      </c>
      <c r="F1367" t="s">
        <v>177</v>
      </c>
      <c r="G1367" t="s">
        <v>144</v>
      </c>
      <c r="H1367" s="3">
        <v>0.90000000000000013</v>
      </c>
      <c r="I1367">
        <v>6000</v>
      </c>
      <c r="J1367" s="4">
        <v>5400.0000000000009</v>
      </c>
      <c r="K1367" s="4">
        <v>2430.0000000000005</v>
      </c>
      <c r="L1367" s="5">
        <v>0.45</v>
      </c>
      <c r="M1367" t="s">
        <v>134</v>
      </c>
      <c r="N1367" t="s">
        <v>364</v>
      </c>
    </row>
    <row r="1368" spans="1:14">
      <c r="A1368" t="s">
        <v>151</v>
      </c>
      <c r="B1368">
        <v>1128299</v>
      </c>
      <c r="C1368" s="2">
        <v>44546</v>
      </c>
      <c r="D1368" t="s">
        <v>28</v>
      </c>
      <c r="E1368" t="s">
        <v>176</v>
      </c>
      <c r="F1368" t="s">
        <v>177</v>
      </c>
      <c r="G1368" t="s">
        <v>27</v>
      </c>
      <c r="H1368" s="3">
        <v>0.75000000000000011</v>
      </c>
      <c r="I1368">
        <v>8000</v>
      </c>
      <c r="J1368" s="4">
        <v>6000.0000000000009</v>
      </c>
      <c r="K1368" s="4">
        <v>1800.0000000000002</v>
      </c>
      <c r="L1368" s="5">
        <v>0.3</v>
      </c>
      <c r="M1368" t="s">
        <v>23</v>
      </c>
      <c r="N1368" t="s">
        <v>364</v>
      </c>
    </row>
    <row r="1369" spans="1:14">
      <c r="A1369" t="s">
        <v>151</v>
      </c>
      <c r="B1369">
        <v>1128299</v>
      </c>
      <c r="C1369" s="2">
        <v>44546</v>
      </c>
      <c r="D1369" t="s">
        <v>28</v>
      </c>
      <c r="E1369" t="s">
        <v>176</v>
      </c>
      <c r="F1369" t="s">
        <v>177</v>
      </c>
      <c r="G1369" t="s">
        <v>145</v>
      </c>
      <c r="H1369" s="3">
        <v>0.8500000000000002</v>
      </c>
      <c r="I1369">
        <v>8000</v>
      </c>
      <c r="J1369" s="4">
        <v>6800.0000000000018</v>
      </c>
      <c r="K1369" s="4">
        <v>1700.0000000000005</v>
      </c>
      <c r="L1369" s="5">
        <v>0.25</v>
      </c>
      <c r="M1369" t="s">
        <v>23</v>
      </c>
      <c r="N1369" t="s">
        <v>364</v>
      </c>
    </row>
    <row r="1370" spans="1:14">
      <c r="A1370" t="s">
        <v>151</v>
      </c>
      <c r="B1370">
        <v>1128299</v>
      </c>
      <c r="C1370" s="2">
        <v>44546</v>
      </c>
      <c r="D1370" t="s">
        <v>28</v>
      </c>
      <c r="E1370" t="s">
        <v>176</v>
      </c>
      <c r="F1370" t="s">
        <v>177</v>
      </c>
      <c r="G1370" t="s">
        <v>146</v>
      </c>
      <c r="H1370" s="3">
        <v>0.80000000000000016</v>
      </c>
      <c r="I1370">
        <v>6000</v>
      </c>
      <c r="J1370" s="4">
        <v>4800.0000000000009</v>
      </c>
      <c r="K1370" s="4">
        <v>1440.0000000000002</v>
      </c>
      <c r="L1370" s="5">
        <v>0.3</v>
      </c>
      <c r="M1370" t="s">
        <v>23</v>
      </c>
      <c r="N1370" t="s">
        <v>364</v>
      </c>
    </row>
    <row r="1371" spans="1:14">
      <c r="A1371" t="s">
        <v>151</v>
      </c>
      <c r="B1371">
        <v>1128299</v>
      </c>
      <c r="C1371" s="2">
        <v>44546</v>
      </c>
      <c r="D1371" t="s">
        <v>28</v>
      </c>
      <c r="E1371" t="s">
        <v>176</v>
      </c>
      <c r="F1371" t="s">
        <v>177</v>
      </c>
      <c r="G1371" t="s">
        <v>148</v>
      </c>
      <c r="H1371" s="3">
        <v>0.80000000000000016</v>
      </c>
      <c r="I1371">
        <v>6000</v>
      </c>
      <c r="J1371" s="4">
        <v>4800.0000000000009</v>
      </c>
      <c r="K1371" s="4">
        <v>1440.0000000000002</v>
      </c>
      <c r="L1371" s="5">
        <v>0.3</v>
      </c>
      <c r="M1371" t="s">
        <v>23</v>
      </c>
      <c r="N1371" t="s">
        <v>364</v>
      </c>
    </row>
    <row r="1372" spans="1:14">
      <c r="A1372" t="s">
        <v>151</v>
      </c>
      <c r="B1372">
        <v>1128299</v>
      </c>
      <c r="C1372" s="2">
        <v>44546</v>
      </c>
      <c r="D1372" t="s">
        <v>28</v>
      </c>
      <c r="E1372" t="s">
        <v>176</v>
      </c>
      <c r="F1372" t="s">
        <v>177</v>
      </c>
      <c r="G1372" t="s">
        <v>147</v>
      </c>
      <c r="H1372" s="3">
        <v>0.90000000000000013</v>
      </c>
      <c r="I1372">
        <v>5250</v>
      </c>
      <c r="J1372" s="4">
        <v>4725.0000000000009</v>
      </c>
      <c r="K1372" s="4">
        <v>945.00000000000023</v>
      </c>
      <c r="L1372" s="5">
        <v>0.2</v>
      </c>
      <c r="M1372" t="s">
        <v>23</v>
      </c>
      <c r="N1372" t="s">
        <v>364</v>
      </c>
    </row>
    <row r="1373" spans="1:14">
      <c r="A1373" t="s">
        <v>151</v>
      </c>
      <c r="B1373">
        <v>1128299</v>
      </c>
      <c r="C1373" s="2">
        <v>44546</v>
      </c>
      <c r="D1373" t="s">
        <v>28</v>
      </c>
      <c r="E1373" t="s">
        <v>176</v>
      </c>
      <c r="F1373" t="s">
        <v>177</v>
      </c>
      <c r="G1373" t="s">
        <v>144</v>
      </c>
      <c r="H1373" s="3">
        <v>0.95000000000000018</v>
      </c>
      <c r="I1373">
        <v>6250</v>
      </c>
      <c r="J1373" s="4">
        <v>5937.5000000000009</v>
      </c>
      <c r="K1373" s="4">
        <v>2671.8750000000005</v>
      </c>
      <c r="L1373" s="5">
        <v>0.45</v>
      </c>
      <c r="M1373" t="s">
        <v>23</v>
      </c>
      <c r="N1373" t="s">
        <v>364</v>
      </c>
    </row>
    <row r="1374" spans="1:14">
      <c r="A1374" t="s">
        <v>29</v>
      </c>
      <c r="B1374">
        <v>1185732</v>
      </c>
      <c r="C1374" s="2">
        <v>44208</v>
      </c>
      <c r="D1374" t="s">
        <v>138</v>
      </c>
      <c r="E1374" t="s">
        <v>171</v>
      </c>
      <c r="F1374" t="s">
        <v>182</v>
      </c>
      <c r="G1374" t="s">
        <v>27</v>
      </c>
      <c r="H1374" s="3">
        <v>0.45</v>
      </c>
      <c r="I1374">
        <v>8500</v>
      </c>
      <c r="J1374" s="4">
        <v>3825</v>
      </c>
      <c r="K1374" s="4">
        <v>1721.25</v>
      </c>
      <c r="L1374" s="5">
        <v>0.45</v>
      </c>
      <c r="M1374" t="s">
        <v>125</v>
      </c>
      <c r="N1374" t="s">
        <v>361</v>
      </c>
    </row>
    <row r="1375" spans="1:14">
      <c r="A1375" t="s">
        <v>29</v>
      </c>
      <c r="B1375">
        <v>1185732</v>
      </c>
      <c r="C1375" s="2">
        <v>44208</v>
      </c>
      <c r="D1375" t="s">
        <v>138</v>
      </c>
      <c r="E1375" t="s">
        <v>171</v>
      </c>
      <c r="F1375" t="s">
        <v>182</v>
      </c>
      <c r="G1375" t="s">
        <v>145</v>
      </c>
      <c r="H1375" s="3">
        <v>0.45</v>
      </c>
      <c r="I1375">
        <v>6500</v>
      </c>
      <c r="J1375" s="4">
        <v>2925</v>
      </c>
      <c r="K1375" s="4">
        <v>1023.7499999999999</v>
      </c>
      <c r="L1375" s="5">
        <v>0.35</v>
      </c>
      <c r="M1375" t="s">
        <v>125</v>
      </c>
      <c r="N1375" t="s">
        <v>361</v>
      </c>
    </row>
    <row r="1376" spans="1:14">
      <c r="A1376" t="s">
        <v>29</v>
      </c>
      <c r="B1376">
        <v>1185732</v>
      </c>
      <c r="C1376" s="2">
        <v>44208</v>
      </c>
      <c r="D1376" t="s">
        <v>138</v>
      </c>
      <c r="E1376" t="s">
        <v>171</v>
      </c>
      <c r="F1376" t="s">
        <v>182</v>
      </c>
      <c r="G1376" t="s">
        <v>146</v>
      </c>
      <c r="H1376" s="3">
        <v>0.35000000000000003</v>
      </c>
      <c r="I1376">
        <v>6500</v>
      </c>
      <c r="J1376" s="4">
        <v>2275</v>
      </c>
      <c r="K1376" s="4">
        <v>568.75</v>
      </c>
      <c r="L1376" s="5">
        <v>0.25</v>
      </c>
      <c r="M1376" t="s">
        <v>125</v>
      </c>
      <c r="N1376" t="s">
        <v>361</v>
      </c>
    </row>
    <row r="1377" spans="1:14">
      <c r="A1377" t="s">
        <v>29</v>
      </c>
      <c r="B1377">
        <v>1185732</v>
      </c>
      <c r="C1377" s="2">
        <v>44208</v>
      </c>
      <c r="D1377" t="s">
        <v>138</v>
      </c>
      <c r="E1377" t="s">
        <v>171</v>
      </c>
      <c r="F1377" t="s">
        <v>182</v>
      </c>
      <c r="G1377" t="s">
        <v>148</v>
      </c>
      <c r="H1377" s="3">
        <v>0.39999999999999997</v>
      </c>
      <c r="I1377">
        <v>5000</v>
      </c>
      <c r="J1377" s="4">
        <v>1999.9999999999998</v>
      </c>
      <c r="K1377" s="4">
        <v>599.99999999999989</v>
      </c>
      <c r="L1377" s="5">
        <v>0.3</v>
      </c>
      <c r="M1377" t="s">
        <v>125</v>
      </c>
      <c r="N1377" t="s">
        <v>361</v>
      </c>
    </row>
    <row r="1378" spans="1:14">
      <c r="A1378" t="s">
        <v>29</v>
      </c>
      <c r="B1378">
        <v>1185732</v>
      </c>
      <c r="C1378" s="2">
        <v>44208</v>
      </c>
      <c r="D1378" t="s">
        <v>138</v>
      </c>
      <c r="E1378" t="s">
        <v>171</v>
      </c>
      <c r="F1378" t="s">
        <v>182</v>
      </c>
      <c r="G1378" t="s">
        <v>147</v>
      </c>
      <c r="H1378" s="3">
        <v>0.55000000000000004</v>
      </c>
      <c r="I1378">
        <v>5500</v>
      </c>
      <c r="J1378" s="4">
        <v>3025.0000000000005</v>
      </c>
      <c r="K1378" s="4">
        <v>1058.75</v>
      </c>
      <c r="L1378" s="5">
        <v>0.35</v>
      </c>
      <c r="M1378" t="s">
        <v>125</v>
      </c>
      <c r="N1378" t="s">
        <v>361</v>
      </c>
    </row>
    <row r="1379" spans="1:14">
      <c r="A1379" t="s">
        <v>29</v>
      </c>
      <c r="B1379">
        <v>1185732</v>
      </c>
      <c r="C1379" s="2">
        <v>44208</v>
      </c>
      <c r="D1379" t="s">
        <v>138</v>
      </c>
      <c r="E1379" t="s">
        <v>171</v>
      </c>
      <c r="F1379" t="s">
        <v>182</v>
      </c>
      <c r="G1379" t="s">
        <v>144</v>
      </c>
      <c r="H1379" s="3">
        <v>0.45</v>
      </c>
      <c r="I1379">
        <v>6500</v>
      </c>
      <c r="J1379" s="4">
        <v>2925</v>
      </c>
      <c r="K1379" s="4">
        <v>1462.5</v>
      </c>
      <c r="L1379" s="5">
        <v>0.5</v>
      </c>
      <c r="M1379" t="s">
        <v>125</v>
      </c>
      <c r="N1379" t="s">
        <v>361</v>
      </c>
    </row>
    <row r="1380" spans="1:14">
      <c r="A1380" t="s">
        <v>29</v>
      </c>
      <c r="B1380">
        <v>1185732</v>
      </c>
      <c r="C1380" s="2">
        <v>44237</v>
      </c>
      <c r="D1380" t="s">
        <v>138</v>
      </c>
      <c r="E1380" t="s">
        <v>171</v>
      </c>
      <c r="F1380" t="s">
        <v>182</v>
      </c>
      <c r="G1380" t="s">
        <v>27</v>
      </c>
      <c r="H1380" s="3">
        <v>0.45</v>
      </c>
      <c r="I1380">
        <v>9000</v>
      </c>
      <c r="J1380" s="4">
        <v>4050</v>
      </c>
      <c r="K1380" s="4">
        <v>1822.5</v>
      </c>
      <c r="L1380" s="5">
        <v>0.45</v>
      </c>
      <c r="M1380" t="s">
        <v>126</v>
      </c>
      <c r="N1380" t="s">
        <v>361</v>
      </c>
    </row>
    <row r="1381" spans="1:14">
      <c r="A1381" t="s">
        <v>29</v>
      </c>
      <c r="B1381">
        <v>1185732</v>
      </c>
      <c r="C1381" s="2">
        <v>44237</v>
      </c>
      <c r="D1381" t="s">
        <v>138</v>
      </c>
      <c r="E1381" t="s">
        <v>171</v>
      </c>
      <c r="F1381" t="s">
        <v>182</v>
      </c>
      <c r="G1381" t="s">
        <v>145</v>
      </c>
      <c r="H1381" s="3">
        <v>0.45</v>
      </c>
      <c r="I1381">
        <v>5500</v>
      </c>
      <c r="J1381" s="4">
        <v>2475</v>
      </c>
      <c r="K1381" s="4">
        <v>866.25</v>
      </c>
      <c r="L1381" s="5">
        <v>0.35</v>
      </c>
      <c r="M1381" t="s">
        <v>126</v>
      </c>
      <c r="N1381" t="s">
        <v>361</v>
      </c>
    </row>
    <row r="1382" spans="1:14">
      <c r="A1382" t="s">
        <v>29</v>
      </c>
      <c r="B1382">
        <v>1185732</v>
      </c>
      <c r="C1382" s="2">
        <v>44237</v>
      </c>
      <c r="D1382" t="s">
        <v>138</v>
      </c>
      <c r="E1382" t="s">
        <v>171</v>
      </c>
      <c r="F1382" t="s">
        <v>182</v>
      </c>
      <c r="G1382" t="s">
        <v>146</v>
      </c>
      <c r="H1382" s="3">
        <v>0.35000000000000003</v>
      </c>
      <c r="I1382">
        <v>6000</v>
      </c>
      <c r="J1382" s="4">
        <v>2100</v>
      </c>
      <c r="K1382" s="4">
        <v>525</v>
      </c>
      <c r="L1382" s="5">
        <v>0.25</v>
      </c>
      <c r="M1382" t="s">
        <v>126</v>
      </c>
      <c r="N1382" t="s">
        <v>361</v>
      </c>
    </row>
    <row r="1383" spans="1:14">
      <c r="A1383" t="s">
        <v>29</v>
      </c>
      <c r="B1383">
        <v>1185732</v>
      </c>
      <c r="C1383" s="2">
        <v>44237</v>
      </c>
      <c r="D1383" t="s">
        <v>138</v>
      </c>
      <c r="E1383" t="s">
        <v>171</v>
      </c>
      <c r="F1383" t="s">
        <v>182</v>
      </c>
      <c r="G1383" t="s">
        <v>148</v>
      </c>
      <c r="H1383" s="3">
        <v>0.39999999999999997</v>
      </c>
      <c r="I1383">
        <v>4750</v>
      </c>
      <c r="J1383" s="4">
        <v>1899.9999999999998</v>
      </c>
      <c r="K1383" s="4">
        <v>569.99999999999989</v>
      </c>
      <c r="L1383" s="5">
        <v>0.3</v>
      </c>
      <c r="M1383" t="s">
        <v>126</v>
      </c>
      <c r="N1383" t="s">
        <v>361</v>
      </c>
    </row>
    <row r="1384" spans="1:14">
      <c r="A1384" t="s">
        <v>29</v>
      </c>
      <c r="B1384">
        <v>1185732</v>
      </c>
      <c r="C1384" s="2">
        <v>44237</v>
      </c>
      <c r="D1384" t="s">
        <v>138</v>
      </c>
      <c r="E1384" t="s">
        <v>171</v>
      </c>
      <c r="F1384" t="s">
        <v>182</v>
      </c>
      <c r="G1384" t="s">
        <v>147</v>
      </c>
      <c r="H1384" s="3">
        <v>0.55000000000000004</v>
      </c>
      <c r="I1384">
        <v>5500</v>
      </c>
      <c r="J1384" s="4">
        <v>3025.0000000000005</v>
      </c>
      <c r="K1384" s="4">
        <v>1058.75</v>
      </c>
      <c r="L1384" s="5">
        <v>0.35</v>
      </c>
      <c r="M1384" t="s">
        <v>126</v>
      </c>
      <c r="N1384" t="s">
        <v>361</v>
      </c>
    </row>
    <row r="1385" spans="1:14">
      <c r="A1385" t="s">
        <v>29</v>
      </c>
      <c r="B1385">
        <v>1185732</v>
      </c>
      <c r="C1385" s="2">
        <v>44237</v>
      </c>
      <c r="D1385" t="s">
        <v>138</v>
      </c>
      <c r="E1385" t="s">
        <v>171</v>
      </c>
      <c r="F1385" t="s">
        <v>182</v>
      </c>
      <c r="G1385" t="s">
        <v>144</v>
      </c>
      <c r="H1385" s="3">
        <v>0.45</v>
      </c>
      <c r="I1385">
        <v>6500</v>
      </c>
      <c r="J1385" s="4">
        <v>2925</v>
      </c>
      <c r="K1385" s="4">
        <v>1462.5</v>
      </c>
      <c r="L1385" s="5">
        <v>0.5</v>
      </c>
      <c r="M1385" t="s">
        <v>126</v>
      </c>
      <c r="N1385" t="s">
        <v>361</v>
      </c>
    </row>
    <row r="1386" spans="1:14">
      <c r="A1386" t="s">
        <v>29</v>
      </c>
      <c r="B1386">
        <v>1185732</v>
      </c>
      <c r="C1386" s="2">
        <v>44263</v>
      </c>
      <c r="D1386" t="s">
        <v>138</v>
      </c>
      <c r="E1386" t="s">
        <v>171</v>
      </c>
      <c r="F1386" t="s">
        <v>182</v>
      </c>
      <c r="G1386" t="s">
        <v>27</v>
      </c>
      <c r="H1386" s="3">
        <v>0.45</v>
      </c>
      <c r="I1386">
        <v>8700</v>
      </c>
      <c r="J1386" s="4">
        <v>3915</v>
      </c>
      <c r="K1386" s="4">
        <v>1761.75</v>
      </c>
      <c r="L1386" s="5">
        <v>0.45</v>
      </c>
      <c r="M1386" t="s">
        <v>24</v>
      </c>
      <c r="N1386" t="s">
        <v>361</v>
      </c>
    </row>
    <row r="1387" spans="1:14">
      <c r="A1387" t="s">
        <v>29</v>
      </c>
      <c r="B1387">
        <v>1185732</v>
      </c>
      <c r="C1387" s="2">
        <v>44263</v>
      </c>
      <c r="D1387" t="s">
        <v>138</v>
      </c>
      <c r="E1387" t="s">
        <v>171</v>
      </c>
      <c r="F1387" t="s">
        <v>182</v>
      </c>
      <c r="G1387" t="s">
        <v>145</v>
      </c>
      <c r="H1387" s="3">
        <v>0.45</v>
      </c>
      <c r="I1387">
        <v>5500</v>
      </c>
      <c r="J1387" s="4">
        <v>2475</v>
      </c>
      <c r="K1387" s="4">
        <v>866.25</v>
      </c>
      <c r="L1387" s="5">
        <v>0.35</v>
      </c>
      <c r="M1387" t="s">
        <v>24</v>
      </c>
      <c r="N1387" t="s">
        <v>361</v>
      </c>
    </row>
    <row r="1388" spans="1:14">
      <c r="A1388" t="s">
        <v>29</v>
      </c>
      <c r="B1388">
        <v>1185732</v>
      </c>
      <c r="C1388" s="2">
        <v>44263</v>
      </c>
      <c r="D1388" t="s">
        <v>138</v>
      </c>
      <c r="E1388" t="s">
        <v>171</v>
      </c>
      <c r="F1388" t="s">
        <v>182</v>
      </c>
      <c r="G1388" t="s">
        <v>146</v>
      </c>
      <c r="H1388" s="3">
        <v>0.35000000000000003</v>
      </c>
      <c r="I1388">
        <v>5750</v>
      </c>
      <c r="J1388" s="4">
        <v>2012.5000000000002</v>
      </c>
      <c r="K1388" s="4">
        <v>503.12500000000006</v>
      </c>
      <c r="L1388" s="5">
        <v>0.25</v>
      </c>
      <c r="M1388" t="s">
        <v>24</v>
      </c>
      <c r="N1388" t="s">
        <v>361</v>
      </c>
    </row>
    <row r="1389" spans="1:14">
      <c r="A1389" t="s">
        <v>29</v>
      </c>
      <c r="B1389">
        <v>1185732</v>
      </c>
      <c r="C1389" s="2">
        <v>44263</v>
      </c>
      <c r="D1389" t="s">
        <v>138</v>
      </c>
      <c r="E1389" t="s">
        <v>171</v>
      </c>
      <c r="F1389" t="s">
        <v>182</v>
      </c>
      <c r="G1389" t="s">
        <v>148</v>
      </c>
      <c r="H1389" s="3">
        <v>0.39999999999999997</v>
      </c>
      <c r="I1389">
        <v>4250</v>
      </c>
      <c r="J1389" s="4">
        <v>1699.9999999999998</v>
      </c>
      <c r="K1389" s="4">
        <v>509.99999999999989</v>
      </c>
      <c r="L1389" s="5">
        <v>0.3</v>
      </c>
      <c r="M1389" t="s">
        <v>24</v>
      </c>
      <c r="N1389" t="s">
        <v>361</v>
      </c>
    </row>
    <row r="1390" spans="1:14">
      <c r="A1390" t="s">
        <v>29</v>
      </c>
      <c r="B1390">
        <v>1185732</v>
      </c>
      <c r="C1390" s="2">
        <v>44263</v>
      </c>
      <c r="D1390" t="s">
        <v>138</v>
      </c>
      <c r="E1390" t="s">
        <v>171</v>
      </c>
      <c r="F1390" t="s">
        <v>182</v>
      </c>
      <c r="G1390" t="s">
        <v>147</v>
      </c>
      <c r="H1390" s="3">
        <v>0.55000000000000004</v>
      </c>
      <c r="I1390">
        <v>4750</v>
      </c>
      <c r="J1390" s="4">
        <v>2612.5</v>
      </c>
      <c r="K1390" s="4">
        <v>914.37499999999989</v>
      </c>
      <c r="L1390" s="5">
        <v>0.35</v>
      </c>
      <c r="M1390" t="s">
        <v>24</v>
      </c>
      <c r="N1390" t="s">
        <v>361</v>
      </c>
    </row>
    <row r="1391" spans="1:14">
      <c r="A1391" t="s">
        <v>29</v>
      </c>
      <c r="B1391">
        <v>1185732</v>
      </c>
      <c r="C1391" s="2">
        <v>44263</v>
      </c>
      <c r="D1391" t="s">
        <v>138</v>
      </c>
      <c r="E1391" t="s">
        <v>171</v>
      </c>
      <c r="F1391" t="s">
        <v>182</v>
      </c>
      <c r="G1391" t="s">
        <v>144</v>
      </c>
      <c r="H1391" s="3">
        <v>0.45</v>
      </c>
      <c r="I1391">
        <v>5750</v>
      </c>
      <c r="J1391" s="4">
        <v>2587.5</v>
      </c>
      <c r="K1391" s="4">
        <v>1293.75</v>
      </c>
      <c r="L1391" s="5">
        <v>0.5</v>
      </c>
      <c r="M1391" t="s">
        <v>24</v>
      </c>
      <c r="N1391" t="s">
        <v>361</v>
      </c>
    </row>
    <row r="1392" spans="1:14">
      <c r="A1392" t="s">
        <v>29</v>
      </c>
      <c r="B1392">
        <v>1185732</v>
      </c>
      <c r="C1392" s="2">
        <v>44295</v>
      </c>
      <c r="D1392" t="s">
        <v>138</v>
      </c>
      <c r="E1392" t="s">
        <v>171</v>
      </c>
      <c r="F1392" t="s">
        <v>182</v>
      </c>
      <c r="G1392" t="s">
        <v>27</v>
      </c>
      <c r="H1392" s="3">
        <v>0.45</v>
      </c>
      <c r="I1392">
        <v>8250</v>
      </c>
      <c r="J1392" s="4">
        <v>3712.5</v>
      </c>
      <c r="K1392" s="4">
        <v>1670.625</v>
      </c>
      <c r="L1392" s="5">
        <v>0.45</v>
      </c>
      <c r="M1392" t="s">
        <v>127</v>
      </c>
      <c r="N1392" t="s">
        <v>362</v>
      </c>
    </row>
    <row r="1393" spans="1:14">
      <c r="A1393" t="s">
        <v>29</v>
      </c>
      <c r="B1393">
        <v>1185732</v>
      </c>
      <c r="C1393" s="2">
        <v>44295</v>
      </c>
      <c r="D1393" t="s">
        <v>138</v>
      </c>
      <c r="E1393" t="s">
        <v>171</v>
      </c>
      <c r="F1393" t="s">
        <v>182</v>
      </c>
      <c r="G1393" t="s">
        <v>145</v>
      </c>
      <c r="H1393" s="3">
        <v>0.45</v>
      </c>
      <c r="I1393">
        <v>5250</v>
      </c>
      <c r="J1393" s="4">
        <v>2362.5</v>
      </c>
      <c r="K1393" s="4">
        <v>826.875</v>
      </c>
      <c r="L1393" s="5">
        <v>0.35</v>
      </c>
      <c r="M1393" t="s">
        <v>127</v>
      </c>
      <c r="N1393" t="s">
        <v>362</v>
      </c>
    </row>
    <row r="1394" spans="1:14">
      <c r="A1394" t="s">
        <v>29</v>
      </c>
      <c r="B1394">
        <v>1185732</v>
      </c>
      <c r="C1394" s="2">
        <v>44295</v>
      </c>
      <c r="D1394" t="s">
        <v>138</v>
      </c>
      <c r="E1394" t="s">
        <v>171</v>
      </c>
      <c r="F1394" t="s">
        <v>182</v>
      </c>
      <c r="G1394" t="s">
        <v>146</v>
      </c>
      <c r="H1394" s="3">
        <v>0.35000000000000003</v>
      </c>
      <c r="I1394">
        <v>5250</v>
      </c>
      <c r="J1394" s="4">
        <v>1837.5000000000002</v>
      </c>
      <c r="K1394" s="4">
        <v>459.37500000000006</v>
      </c>
      <c r="L1394" s="5">
        <v>0.25</v>
      </c>
      <c r="M1394" t="s">
        <v>127</v>
      </c>
      <c r="N1394" t="s">
        <v>362</v>
      </c>
    </row>
    <row r="1395" spans="1:14">
      <c r="A1395" t="s">
        <v>29</v>
      </c>
      <c r="B1395">
        <v>1185732</v>
      </c>
      <c r="C1395" s="2">
        <v>44295</v>
      </c>
      <c r="D1395" t="s">
        <v>138</v>
      </c>
      <c r="E1395" t="s">
        <v>171</v>
      </c>
      <c r="F1395" t="s">
        <v>182</v>
      </c>
      <c r="G1395" t="s">
        <v>148</v>
      </c>
      <c r="H1395" s="3">
        <v>0.39999999999999997</v>
      </c>
      <c r="I1395">
        <v>4500</v>
      </c>
      <c r="J1395" s="4">
        <v>1799.9999999999998</v>
      </c>
      <c r="K1395" s="4">
        <v>539.99999999999989</v>
      </c>
      <c r="L1395" s="5">
        <v>0.3</v>
      </c>
      <c r="M1395" t="s">
        <v>127</v>
      </c>
      <c r="N1395" t="s">
        <v>362</v>
      </c>
    </row>
    <row r="1396" spans="1:14">
      <c r="A1396" t="s">
        <v>29</v>
      </c>
      <c r="B1396">
        <v>1185732</v>
      </c>
      <c r="C1396" s="2">
        <v>44295</v>
      </c>
      <c r="D1396" t="s">
        <v>138</v>
      </c>
      <c r="E1396" t="s">
        <v>171</v>
      </c>
      <c r="F1396" t="s">
        <v>182</v>
      </c>
      <c r="G1396" t="s">
        <v>147</v>
      </c>
      <c r="H1396" s="3">
        <v>0.55000000000000004</v>
      </c>
      <c r="I1396">
        <v>4750</v>
      </c>
      <c r="J1396" s="4">
        <v>2612.5</v>
      </c>
      <c r="K1396" s="4">
        <v>914.37499999999989</v>
      </c>
      <c r="L1396" s="5">
        <v>0.35</v>
      </c>
      <c r="M1396" t="s">
        <v>127</v>
      </c>
      <c r="N1396" t="s">
        <v>362</v>
      </c>
    </row>
    <row r="1397" spans="1:14">
      <c r="A1397" t="s">
        <v>29</v>
      </c>
      <c r="B1397">
        <v>1185732</v>
      </c>
      <c r="C1397" s="2">
        <v>44295</v>
      </c>
      <c r="D1397" t="s">
        <v>138</v>
      </c>
      <c r="E1397" t="s">
        <v>171</v>
      </c>
      <c r="F1397" t="s">
        <v>182</v>
      </c>
      <c r="G1397" t="s">
        <v>144</v>
      </c>
      <c r="H1397" s="3">
        <v>0.45</v>
      </c>
      <c r="I1397">
        <v>6000</v>
      </c>
      <c r="J1397" s="4">
        <v>2700</v>
      </c>
      <c r="K1397" s="4">
        <v>1350</v>
      </c>
      <c r="L1397" s="5">
        <v>0.5</v>
      </c>
      <c r="M1397" t="s">
        <v>127</v>
      </c>
      <c r="N1397" t="s">
        <v>362</v>
      </c>
    </row>
    <row r="1398" spans="1:14">
      <c r="A1398" t="s">
        <v>29</v>
      </c>
      <c r="B1398">
        <v>1185732</v>
      </c>
      <c r="C1398" s="2">
        <v>44324</v>
      </c>
      <c r="D1398" t="s">
        <v>138</v>
      </c>
      <c r="E1398" t="s">
        <v>171</v>
      </c>
      <c r="F1398" t="s">
        <v>182</v>
      </c>
      <c r="G1398" t="s">
        <v>27</v>
      </c>
      <c r="H1398" s="3">
        <v>0.55000000000000004</v>
      </c>
      <c r="I1398">
        <v>8700</v>
      </c>
      <c r="J1398" s="4">
        <v>4785</v>
      </c>
      <c r="K1398" s="4">
        <v>2153.25</v>
      </c>
      <c r="L1398" s="5">
        <v>0.45</v>
      </c>
      <c r="M1398" t="s">
        <v>128</v>
      </c>
      <c r="N1398" t="s">
        <v>362</v>
      </c>
    </row>
    <row r="1399" spans="1:14">
      <c r="A1399" t="s">
        <v>29</v>
      </c>
      <c r="B1399">
        <v>1185732</v>
      </c>
      <c r="C1399" s="2">
        <v>44324</v>
      </c>
      <c r="D1399" t="s">
        <v>138</v>
      </c>
      <c r="E1399" t="s">
        <v>171</v>
      </c>
      <c r="F1399" t="s">
        <v>182</v>
      </c>
      <c r="G1399" t="s">
        <v>145</v>
      </c>
      <c r="H1399" s="3">
        <v>0.55000000000000004</v>
      </c>
      <c r="I1399">
        <v>5750</v>
      </c>
      <c r="J1399" s="4">
        <v>3162.5000000000005</v>
      </c>
      <c r="K1399" s="4">
        <v>1106.875</v>
      </c>
      <c r="L1399" s="5">
        <v>0.35</v>
      </c>
      <c r="M1399" t="s">
        <v>128</v>
      </c>
      <c r="N1399" t="s">
        <v>362</v>
      </c>
    </row>
    <row r="1400" spans="1:14">
      <c r="A1400" t="s">
        <v>29</v>
      </c>
      <c r="B1400">
        <v>1185732</v>
      </c>
      <c r="C1400" s="2">
        <v>44324</v>
      </c>
      <c r="D1400" t="s">
        <v>138</v>
      </c>
      <c r="E1400" t="s">
        <v>171</v>
      </c>
      <c r="F1400" t="s">
        <v>182</v>
      </c>
      <c r="G1400" t="s">
        <v>146</v>
      </c>
      <c r="H1400" s="3">
        <v>0.5</v>
      </c>
      <c r="I1400">
        <v>5500</v>
      </c>
      <c r="J1400" s="4">
        <v>2750</v>
      </c>
      <c r="K1400" s="4">
        <v>687.5</v>
      </c>
      <c r="L1400" s="5">
        <v>0.25</v>
      </c>
      <c r="M1400" t="s">
        <v>128</v>
      </c>
      <c r="N1400" t="s">
        <v>362</v>
      </c>
    </row>
    <row r="1401" spans="1:14">
      <c r="A1401" t="s">
        <v>29</v>
      </c>
      <c r="B1401">
        <v>1185732</v>
      </c>
      <c r="C1401" s="2">
        <v>44324</v>
      </c>
      <c r="D1401" t="s">
        <v>138</v>
      </c>
      <c r="E1401" t="s">
        <v>171</v>
      </c>
      <c r="F1401" t="s">
        <v>182</v>
      </c>
      <c r="G1401" t="s">
        <v>148</v>
      </c>
      <c r="H1401" s="3">
        <v>0.5</v>
      </c>
      <c r="I1401">
        <v>5000</v>
      </c>
      <c r="J1401" s="4">
        <v>2500</v>
      </c>
      <c r="K1401" s="4">
        <v>750</v>
      </c>
      <c r="L1401" s="5">
        <v>0.3</v>
      </c>
      <c r="M1401" t="s">
        <v>128</v>
      </c>
      <c r="N1401" t="s">
        <v>362</v>
      </c>
    </row>
    <row r="1402" spans="1:14">
      <c r="A1402" t="s">
        <v>29</v>
      </c>
      <c r="B1402">
        <v>1185732</v>
      </c>
      <c r="C1402" s="2">
        <v>44324</v>
      </c>
      <c r="D1402" t="s">
        <v>138</v>
      </c>
      <c r="E1402" t="s">
        <v>171</v>
      </c>
      <c r="F1402" t="s">
        <v>182</v>
      </c>
      <c r="G1402" t="s">
        <v>147</v>
      </c>
      <c r="H1402" s="3">
        <v>0.6</v>
      </c>
      <c r="I1402">
        <v>5250</v>
      </c>
      <c r="J1402" s="4">
        <v>3150</v>
      </c>
      <c r="K1402" s="4">
        <v>1102.5</v>
      </c>
      <c r="L1402" s="5">
        <v>0.35</v>
      </c>
      <c r="M1402" t="s">
        <v>128</v>
      </c>
      <c r="N1402" t="s">
        <v>362</v>
      </c>
    </row>
    <row r="1403" spans="1:14">
      <c r="A1403" t="s">
        <v>29</v>
      </c>
      <c r="B1403">
        <v>1185732</v>
      </c>
      <c r="C1403" s="2">
        <v>44324</v>
      </c>
      <c r="D1403" t="s">
        <v>138</v>
      </c>
      <c r="E1403" t="s">
        <v>171</v>
      </c>
      <c r="F1403" t="s">
        <v>182</v>
      </c>
      <c r="G1403" t="s">
        <v>144</v>
      </c>
      <c r="H1403" s="3">
        <v>0.65</v>
      </c>
      <c r="I1403">
        <v>6250</v>
      </c>
      <c r="J1403" s="4">
        <v>4062.5</v>
      </c>
      <c r="K1403" s="4">
        <v>2031.25</v>
      </c>
      <c r="L1403" s="5">
        <v>0.5</v>
      </c>
      <c r="M1403" t="s">
        <v>128</v>
      </c>
      <c r="N1403" t="s">
        <v>362</v>
      </c>
    </row>
    <row r="1404" spans="1:14">
      <c r="A1404" t="s">
        <v>29</v>
      </c>
      <c r="B1404">
        <v>1185732</v>
      </c>
      <c r="C1404" s="2">
        <v>44357</v>
      </c>
      <c r="D1404" t="s">
        <v>138</v>
      </c>
      <c r="E1404" t="s">
        <v>171</v>
      </c>
      <c r="F1404" t="s">
        <v>182</v>
      </c>
      <c r="G1404" t="s">
        <v>27</v>
      </c>
      <c r="H1404" s="3">
        <v>0.6</v>
      </c>
      <c r="I1404">
        <v>8750</v>
      </c>
      <c r="J1404" s="4">
        <v>5250</v>
      </c>
      <c r="K1404" s="4">
        <v>2362.5</v>
      </c>
      <c r="L1404" s="5">
        <v>0.45</v>
      </c>
      <c r="M1404" t="s">
        <v>129</v>
      </c>
      <c r="N1404" t="s">
        <v>362</v>
      </c>
    </row>
    <row r="1405" spans="1:14">
      <c r="A1405" t="s">
        <v>29</v>
      </c>
      <c r="B1405">
        <v>1185732</v>
      </c>
      <c r="C1405" s="2">
        <v>44357</v>
      </c>
      <c r="D1405" t="s">
        <v>138</v>
      </c>
      <c r="E1405" t="s">
        <v>171</v>
      </c>
      <c r="F1405" t="s">
        <v>182</v>
      </c>
      <c r="G1405" t="s">
        <v>145</v>
      </c>
      <c r="H1405" s="3">
        <v>0.55000000000000004</v>
      </c>
      <c r="I1405">
        <v>6250</v>
      </c>
      <c r="J1405" s="4">
        <v>3437.5000000000005</v>
      </c>
      <c r="K1405" s="4">
        <v>1203.125</v>
      </c>
      <c r="L1405" s="5">
        <v>0.35</v>
      </c>
      <c r="M1405" t="s">
        <v>129</v>
      </c>
      <c r="N1405" t="s">
        <v>362</v>
      </c>
    </row>
    <row r="1406" spans="1:14">
      <c r="A1406" t="s">
        <v>29</v>
      </c>
      <c r="B1406">
        <v>1185732</v>
      </c>
      <c r="C1406" s="2">
        <v>44357</v>
      </c>
      <c r="D1406" t="s">
        <v>138</v>
      </c>
      <c r="E1406" t="s">
        <v>171</v>
      </c>
      <c r="F1406" t="s">
        <v>182</v>
      </c>
      <c r="G1406" t="s">
        <v>146</v>
      </c>
      <c r="H1406" s="3">
        <v>0.5</v>
      </c>
      <c r="I1406">
        <v>6000</v>
      </c>
      <c r="J1406" s="4">
        <v>3000</v>
      </c>
      <c r="K1406" s="4">
        <v>750</v>
      </c>
      <c r="L1406" s="5">
        <v>0.25</v>
      </c>
      <c r="M1406" t="s">
        <v>129</v>
      </c>
      <c r="N1406" t="s">
        <v>362</v>
      </c>
    </row>
    <row r="1407" spans="1:14">
      <c r="A1407" t="s">
        <v>29</v>
      </c>
      <c r="B1407">
        <v>1185732</v>
      </c>
      <c r="C1407" s="2">
        <v>44357</v>
      </c>
      <c r="D1407" t="s">
        <v>138</v>
      </c>
      <c r="E1407" t="s">
        <v>171</v>
      </c>
      <c r="F1407" t="s">
        <v>182</v>
      </c>
      <c r="G1407" t="s">
        <v>148</v>
      </c>
      <c r="H1407" s="3">
        <v>0.5</v>
      </c>
      <c r="I1407">
        <v>5750</v>
      </c>
      <c r="J1407" s="4">
        <v>2875</v>
      </c>
      <c r="K1407" s="4">
        <v>862.5</v>
      </c>
      <c r="L1407" s="5">
        <v>0.3</v>
      </c>
      <c r="M1407" t="s">
        <v>129</v>
      </c>
      <c r="N1407" t="s">
        <v>362</v>
      </c>
    </row>
    <row r="1408" spans="1:14">
      <c r="A1408" t="s">
        <v>29</v>
      </c>
      <c r="B1408">
        <v>1185732</v>
      </c>
      <c r="C1408" s="2">
        <v>44357</v>
      </c>
      <c r="D1408" t="s">
        <v>138</v>
      </c>
      <c r="E1408" t="s">
        <v>171</v>
      </c>
      <c r="F1408" t="s">
        <v>182</v>
      </c>
      <c r="G1408" t="s">
        <v>147</v>
      </c>
      <c r="H1408" s="3">
        <v>0.65</v>
      </c>
      <c r="I1408">
        <v>5750</v>
      </c>
      <c r="J1408" s="4">
        <v>3737.5</v>
      </c>
      <c r="K1408" s="4">
        <v>1308.125</v>
      </c>
      <c r="L1408" s="5">
        <v>0.35</v>
      </c>
      <c r="M1408" t="s">
        <v>129</v>
      </c>
      <c r="N1408" t="s">
        <v>362</v>
      </c>
    </row>
    <row r="1409" spans="1:14">
      <c r="A1409" t="s">
        <v>29</v>
      </c>
      <c r="B1409">
        <v>1185732</v>
      </c>
      <c r="C1409" s="2">
        <v>44357</v>
      </c>
      <c r="D1409" t="s">
        <v>138</v>
      </c>
      <c r="E1409" t="s">
        <v>171</v>
      </c>
      <c r="F1409" t="s">
        <v>182</v>
      </c>
      <c r="G1409" t="s">
        <v>144</v>
      </c>
      <c r="H1409" s="3">
        <v>0.70000000000000007</v>
      </c>
      <c r="I1409">
        <v>7250</v>
      </c>
      <c r="J1409" s="4">
        <v>5075.0000000000009</v>
      </c>
      <c r="K1409" s="4">
        <v>2537.5000000000005</v>
      </c>
      <c r="L1409" s="5">
        <v>0.5</v>
      </c>
      <c r="M1409" t="s">
        <v>129</v>
      </c>
      <c r="N1409" t="s">
        <v>362</v>
      </c>
    </row>
    <row r="1410" spans="1:14">
      <c r="A1410" t="s">
        <v>29</v>
      </c>
      <c r="B1410">
        <v>1185732</v>
      </c>
      <c r="C1410" s="2">
        <v>44385</v>
      </c>
      <c r="D1410" t="s">
        <v>138</v>
      </c>
      <c r="E1410" t="s">
        <v>171</v>
      </c>
      <c r="F1410" t="s">
        <v>182</v>
      </c>
      <c r="G1410" t="s">
        <v>27</v>
      </c>
      <c r="H1410" s="3">
        <v>0.65</v>
      </c>
      <c r="I1410">
        <v>9500</v>
      </c>
      <c r="J1410" s="4">
        <v>6175</v>
      </c>
      <c r="K1410" s="4">
        <v>2778.75</v>
      </c>
      <c r="L1410" s="5">
        <v>0.45</v>
      </c>
      <c r="M1410" t="s">
        <v>130</v>
      </c>
      <c r="N1410" t="s">
        <v>363</v>
      </c>
    </row>
    <row r="1411" spans="1:14">
      <c r="A1411" t="s">
        <v>29</v>
      </c>
      <c r="B1411">
        <v>1185732</v>
      </c>
      <c r="C1411" s="2">
        <v>44385</v>
      </c>
      <c r="D1411" t="s">
        <v>138</v>
      </c>
      <c r="E1411" t="s">
        <v>171</v>
      </c>
      <c r="F1411" t="s">
        <v>182</v>
      </c>
      <c r="G1411" t="s">
        <v>145</v>
      </c>
      <c r="H1411" s="3">
        <v>0.60000000000000009</v>
      </c>
      <c r="I1411">
        <v>7000</v>
      </c>
      <c r="J1411" s="4">
        <v>4200.0000000000009</v>
      </c>
      <c r="K1411" s="4">
        <v>1470.0000000000002</v>
      </c>
      <c r="L1411" s="5">
        <v>0.35</v>
      </c>
      <c r="M1411" t="s">
        <v>130</v>
      </c>
      <c r="N1411" t="s">
        <v>363</v>
      </c>
    </row>
    <row r="1412" spans="1:14">
      <c r="A1412" t="s">
        <v>29</v>
      </c>
      <c r="B1412">
        <v>1185732</v>
      </c>
      <c r="C1412" s="2">
        <v>44385</v>
      </c>
      <c r="D1412" t="s">
        <v>138</v>
      </c>
      <c r="E1412" t="s">
        <v>171</v>
      </c>
      <c r="F1412" t="s">
        <v>182</v>
      </c>
      <c r="G1412" t="s">
        <v>146</v>
      </c>
      <c r="H1412" s="3">
        <v>0.55000000000000004</v>
      </c>
      <c r="I1412">
        <v>6250</v>
      </c>
      <c r="J1412" s="4">
        <v>3437.5000000000005</v>
      </c>
      <c r="K1412" s="4">
        <v>859.37500000000011</v>
      </c>
      <c r="L1412" s="5">
        <v>0.25</v>
      </c>
      <c r="M1412" t="s">
        <v>130</v>
      </c>
      <c r="N1412" t="s">
        <v>363</v>
      </c>
    </row>
    <row r="1413" spans="1:14">
      <c r="A1413" t="s">
        <v>29</v>
      </c>
      <c r="B1413">
        <v>1185732</v>
      </c>
      <c r="C1413" s="2">
        <v>44385</v>
      </c>
      <c r="D1413" t="s">
        <v>138</v>
      </c>
      <c r="E1413" t="s">
        <v>171</v>
      </c>
      <c r="F1413" t="s">
        <v>182</v>
      </c>
      <c r="G1413" t="s">
        <v>148</v>
      </c>
      <c r="H1413" s="3">
        <v>0.55000000000000004</v>
      </c>
      <c r="I1413">
        <v>5750</v>
      </c>
      <c r="J1413" s="4">
        <v>3162.5000000000005</v>
      </c>
      <c r="K1413" s="4">
        <v>948.75000000000011</v>
      </c>
      <c r="L1413" s="5">
        <v>0.3</v>
      </c>
      <c r="M1413" t="s">
        <v>130</v>
      </c>
      <c r="N1413" t="s">
        <v>363</v>
      </c>
    </row>
    <row r="1414" spans="1:14">
      <c r="A1414" t="s">
        <v>29</v>
      </c>
      <c r="B1414">
        <v>1185732</v>
      </c>
      <c r="C1414" s="2">
        <v>44385</v>
      </c>
      <c r="D1414" t="s">
        <v>138</v>
      </c>
      <c r="E1414" t="s">
        <v>171</v>
      </c>
      <c r="F1414" t="s">
        <v>182</v>
      </c>
      <c r="G1414" t="s">
        <v>147</v>
      </c>
      <c r="H1414" s="3">
        <v>0.65</v>
      </c>
      <c r="I1414">
        <v>6000</v>
      </c>
      <c r="J1414" s="4">
        <v>3900</v>
      </c>
      <c r="K1414" s="4">
        <v>1365</v>
      </c>
      <c r="L1414" s="5">
        <v>0.35</v>
      </c>
      <c r="M1414" t="s">
        <v>130</v>
      </c>
      <c r="N1414" t="s">
        <v>363</v>
      </c>
    </row>
    <row r="1415" spans="1:14">
      <c r="A1415" t="s">
        <v>29</v>
      </c>
      <c r="B1415">
        <v>1185732</v>
      </c>
      <c r="C1415" s="2">
        <v>44385</v>
      </c>
      <c r="D1415" t="s">
        <v>138</v>
      </c>
      <c r="E1415" t="s">
        <v>171</v>
      </c>
      <c r="F1415" t="s">
        <v>182</v>
      </c>
      <c r="G1415" t="s">
        <v>144</v>
      </c>
      <c r="H1415" s="3">
        <v>0.70000000000000007</v>
      </c>
      <c r="I1415">
        <v>7750</v>
      </c>
      <c r="J1415" s="4">
        <v>5425.0000000000009</v>
      </c>
      <c r="K1415" s="4">
        <v>2712.5000000000005</v>
      </c>
      <c r="L1415" s="5">
        <v>0.5</v>
      </c>
      <c r="M1415" t="s">
        <v>130</v>
      </c>
      <c r="N1415" t="s">
        <v>363</v>
      </c>
    </row>
    <row r="1416" spans="1:14">
      <c r="A1416" t="s">
        <v>29</v>
      </c>
      <c r="B1416">
        <v>1185732</v>
      </c>
      <c r="C1416" s="2">
        <v>44417</v>
      </c>
      <c r="D1416" t="s">
        <v>138</v>
      </c>
      <c r="E1416" t="s">
        <v>171</v>
      </c>
      <c r="F1416" t="s">
        <v>182</v>
      </c>
      <c r="G1416" t="s">
        <v>27</v>
      </c>
      <c r="H1416" s="3">
        <v>0.65</v>
      </c>
      <c r="I1416">
        <v>9250</v>
      </c>
      <c r="J1416" s="4">
        <v>6012.5</v>
      </c>
      <c r="K1416" s="4">
        <v>2705.625</v>
      </c>
      <c r="L1416" s="5">
        <v>0.45</v>
      </c>
      <c r="M1416" t="s">
        <v>131</v>
      </c>
      <c r="N1416" t="s">
        <v>363</v>
      </c>
    </row>
    <row r="1417" spans="1:14">
      <c r="A1417" t="s">
        <v>29</v>
      </c>
      <c r="B1417">
        <v>1185732</v>
      </c>
      <c r="C1417" s="2">
        <v>44417</v>
      </c>
      <c r="D1417" t="s">
        <v>138</v>
      </c>
      <c r="E1417" t="s">
        <v>171</v>
      </c>
      <c r="F1417" t="s">
        <v>182</v>
      </c>
      <c r="G1417" t="s">
        <v>145</v>
      </c>
      <c r="H1417" s="3">
        <v>0.60000000000000009</v>
      </c>
      <c r="I1417">
        <v>7000</v>
      </c>
      <c r="J1417" s="4">
        <v>4200.0000000000009</v>
      </c>
      <c r="K1417" s="4">
        <v>1470.0000000000002</v>
      </c>
      <c r="L1417" s="5">
        <v>0.35</v>
      </c>
      <c r="M1417" t="s">
        <v>131</v>
      </c>
      <c r="N1417" t="s">
        <v>363</v>
      </c>
    </row>
    <row r="1418" spans="1:14">
      <c r="A1418" t="s">
        <v>29</v>
      </c>
      <c r="B1418">
        <v>1185732</v>
      </c>
      <c r="C1418" s="2">
        <v>44417</v>
      </c>
      <c r="D1418" t="s">
        <v>138</v>
      </c>
      <c r="E1418" t="s">
        <v>171</v>
      </c>
      <c r="F1418" t="s">
        <v>182</v>
      </c>
      <c r="G1418" t="s">
        <v>146</v>
      </c>
      <c r="H1418" s="3">
        <v>0.55000000000000004</v>
      </c>
      <c r="I1418">
        <v>6250</v>
      </c>
      <c r="J1418" s="4">
        <v>3437.5000000000005</v>
      </c>
      <c r="K1418" s="4">
        <v>859.37500000000011</v>
      </c>
      <c r="L1418" s="5">
        <v>0.25</v>
      </c>
      <c r="M1418" t="s">
        <v>131</v>
      </c>
      <c r="N1418" t="s">
        <v>363</v>
      </c>
    </row>
    <row r="1419" spans="1:14">
      <c r="A1419" t="s">
        <v>29</v>
      </c>
      <c r="B1419">
        <v>1185732</v>
      </c>
      <c r="C1419" s="2">
        <v>44417</v>
      </c>
      <c r="D1419" t="s">
        <v>138</v>
      </c>
      <c r="E1419" t="s">
        <v>171</v>
      </c>
      <c r="F1419" t="s">
        <v>182</v>
      </c>
      <c r="G1419" t="s">
        <v>148</v>
      </c>
      <c r="H1419" s="3">
        <v>0.45</v>
      </c>
      <c r="I1419">
        <v>5750</v>
      </c>
      <c r="J1419" s="4">
        <v>2587.5</v>
      </c>
      <c r="K1419" s="4">
        <v>776.25</v>
      </c>
      <c r="L1419" s="5">
        <v>0.3</v>
      </c>
      <c r="M1419" t="s">
        <v>131</v>
      </c>
      <c r="N1419" t="s">
        <v>363</v>
      </c>
    </row>
    <row r="1420" spans="1:14">
      <c r="A1420" t="s">
        <v>29</v>
      </c>
      <c r="B1420">
        <v>1185732</v>
      </c>
      <c r="C1420" s="2">
        <v>44417</v>
      </c>
      <c r="D1420" t="s">
        <v>138</v>
      </c>
      <c r="E1420" t="s">
        <v>171</v>
      </c>
      <c r="F1420" t="s">
        <v>182</v>
      </c>
      <c r="G1420" t="s">
        <v>147</v>
      </c>
      <c r="H1420" s="3">
        <v>0.55000000000000004</v>
      </c>
      <c r="I1420">
        <v>5500</v>
      </c>
      <c r="J1420" s="4">
        <v>3025.0000000000005</v>
      </c>
      <c r="K1420" s="4">
        <v>1058.75</v>
      </c>
      <c r="L1420" s="5">
        <v>0.35</v>
      </c>
      <c r="M1420" t="s">
        <v>131</v>
      </c>
      <c r="N1420" t="s">
        <v>363</v>
      </c>
    </row>
    <row r="1421" spans="1:14">
      <c r="A1421" t="s">
        <v>29</v>
      </c>
      <c r="B1421">
        <v>1185732</v>
      </c>
      <c r="C1421" s="2">
        <v>44417</v>
      </c>
      <c r="D1421" t="s">
        <v>138</v>
      </c>
      <c r="E1421" t="s">
        <v>171</v>
      </c>
      <c r="F1421" t="s">
        <v>182</v>
      </c>
      <c r="G1421" t="s">
        <v>144</v>
      </c>
      <c r="H1421" s="3">
        <v>0.60000000000000009</v>
      </c>
      <c r="I1421">
        <v>7250</v>
      </c>
      <c r="J1421" s="4">
        <v>4350.0000000000009</v>
      </c>
      <c r="K1421" s="4">
        <v>2175.0000000000005</v>
      </c>
      <c r="L1421" s="5">
        <v>0.5</v>
      </c>
      <c r="M1421" t="s">
        <v>131</v>
      </c>
      <c r="N1421" t="s">
        <v>363</v>
      </c>
    </row>
    <row r="1422" spans="1:14">
      <c r="A1422" t="s">
        <v>29</v>
      </c>
      <c r="B1422">
        <v>1185732</v>
      </c>
      <c r="C1422" s="2">
        <v>44447</v>
      </c>
      <c r="D1422" t="s">
        <v>138</v>
      </c>
      <c r="E1422" t="s">
        <v>171</v>
      </c>
      <c r="F1422" t="s">
        <v>182</v>
      </c>
      <c r="G1422" t="s">
        <v>27</v>
      </c>
      <c r="H1422" s="3">
        <v>0.55000000000000004</v>
      </c>
      <c r="I1422">
        <v>8500</v>
      </c>
      <c r="J1422" s="4">
        <v>4675</v>
      </c>
      <c r="K1422" s="4">
        <v>2103.75</v>
      </c>
      <c r="L1422" s="5">
        <v>0.45</v>
      </c>
      <c r="M1422" t="s">
        <v>132</v>
      </c>
      <c r="N1422" t="s">
        <v>363</v>
      </c>
    </row>
    <row r="1423" spans="1:14">
      <c r="A1423" t="s">
        <v>29</v>
      </c>
      <c r="B1423">
        <v>1185732</v>
      </c>
      <c r="C1423" s="2">
        <v>44447</v>
      </c>
      <c r="D1423" t="s">
        <v>138</v>
      </c>
      <c r="E1423" t="s">
        <v>171</v>
      </c>
      <c r="F1423" t="s">
        <v>182</v>
      </c>
      <c r="G1423" t="s">
        <v>145</v>
      </c>
      <c r="H1423" s="3">
        <v>0.50000000000000011</v>
      </c>
      <c r="I1423">
        <v>6500</v>
      </c>
      <c r="J1423" s="4">
        <v>3250.0000000000009</v>
      </c>
      <c r="K1423" s="4">
        <v>1137.5000000000002</v>
      </c>
      <c r="L1423" s="5">
        <v>0.35</v>
      </c>
      <c r="M1423" t="s">
        <v>132</v>
      </c>
      <c r="N1423" t="s">
        <v>363</v>
      </c>
    </row>
    <row r="1424" spans="1:14">
      <c r="A1424" t="s">
        <v>29</v>
      </c>
      <c r="B1424">
        <v>1185732</v>
      </c>
      <c r="C1424" s="2">
        <v>44447</v>
      </c>
      <c r="D1424" t="s">
        <v>138</v>
      </c>
      <c r="E1424" t="s">
        <v>171</v>
      </c>
      <c r="F1424" t="s">
        <v>182</v>
      </c>
      <c r="G1424" t="s">
        <v>146</v>
      </c>
      <c r="H1424" s="3">
        <v>0.45</v>
      </c>
      <c r="I1424">
        <v>5500</v>
      </c>
      <c r="J1424" s="4">
        <v>2475</v>
      </c>
      <c r="K1424" s="4">
        <v>618.75</v>
      </c>
      <c r="L1424" s="5">
        <v>0.25</v>
      </c>
      <c r="M1424" t="s">
        <v>132</v>
      </c>
      <c r="N1424" t="s">
        <v>363</v>
      </c>
    </row>
    <row r="1425" spans="1:14">
      <c r="A1425" t="s">
        <v>29</v>
      </c>
      <c r="B1425">
        <v>1185732</v>
      </c>
      <c r="C1425" s="2">
        <v>44447</v>
      </c>
      <c r="D1425" t="s">
        <v>138</v>
      </c>
      <c r="E1425" t="s">
        <v>171</v>
      </c>
      <c r="F1425" t="s">
        <v>182</v>
      </c>
      <c r="G1425" t="s">
        <v>148</v>
      </c>
      <c r="H1425" s="3">
        <v>0.45</v>
      </c>
      <c r="I1425">
        <v>5250</v>
      </c>
      <c r="J1425" s="4">
        <v>2362.5</v>
      </c>
      <c r="K1425" s="4">
        <v>708.75</v>
      </c>
      <c r="L1425" s="5">
        <v>0.3</v>
      </c>
      <c r="M1425" t="s">
        <v>132</v>
      </c>
      <c r="N1425" t="s">
        <v>363</v>
      </c>
    </row>
    <row r="1426" spans="1:14">
      <c r="A1426" t="s">
        <v>29</v>
      </c>
      <c r="B1426">
        <v>1185732</v>
      </c>
      <c r="C1426" s="2">
        <v>44447</v>
      </c>
      <c r="D1426" t="s">
        <v>138</v>
      </c>
      <c r="E1426" t="s">
        <v>171</v>
      </c>
      <c r="F1426" t="s">
        <v>182</v>
      </c>
      <c r="G1426" t="s">
        <v>147</v>
      </c>
      <c r="H1426" s="3">
        <v>0.55000000000000004</v>
      </c>
      <c r="I1426">
        <v>5250</v>
      </c>
      <c r="J1426" s="4">
        <v>2887.5000000000005</v>
      </c>
      <c r="K1426" s="4">
        <v>1010.6250000000001</v>
      </c>
      <c r="L1426" s="5">
        <v>0.35</v>
      </c>
      <c r="M1426" t="s">
        <v>132</v>
      </c>
      <c r="N1426" t="s">
        <v>363</v>
      </c>
    </row>
    <row r="1427" spans="1:14">
      <c r="A1427" t="s">
        <v>29</v>
      </c>
      <c r="B1427">
        <v>1185732</v>
      </c>
      <c r="C1427" s="2">
        <v>44447</v>
      </c>
      <c r="D1427" t="s">
        <v>138</v>
      </c>
      <c r="E1427" t="s">
        <v>171</v>
      </c>
      <c r="F1427" t="s">
        <v>182</v>
      </c>
      <c r="G1427" t="s">
        <v>144</v>
      </c>
      <c r="H1427" s="3">
        <v>0.60000000000000009</v>
      </c>
      <c r="I1427">
        <v>6250</v>
      </c>
      <c r="J1427" s="4">
        <v>3750.0000000000005</v>
      </c>
      <c r="K1427" s="4">
        <v>1875.0000000000002</v>
      </c>
      <c r="L1427" s="5">
        <v>0.5</v>
      </c>
      <c r="M1427" t="s">
        <v>132</v>
      </c>
      <c r="N1427" t="s">
        <v>363</v>
      </c>
    </row>
    <row r="1428" spans="1:14">
      <c r="A1428" t="s">
        <v>29</v>
      </c>
      <c r="B1428">
        <v>1185732</v>
      </c>
      <c r="C1428" s="2">
        <v>44479</v>
      </c>
      <c r="D1428" t="s">
        <v>138</v>
      </c>
      <c r="E1428" t="s">
        <v>171</v>
      </c>
      <c r="F1428" t="s">
        <v>182</v>
      </c>
      <c r="G1428" t="s">
        <v>27</v>
      </c>
      <c r="H1428" s="3">
        <v>0.60000000000000009</v>
      </c>
      <c r="I1428">
        <v>8000</v>
      </c>
      <c r="J1428" s="4">
        <v>4800.0000000000009</v>
      </c>
      <c r="K1428" s="4">
        <v>2160.0000000000005</v>
      </c>
      <c r="L1428" s="5">
        <v>0.45</v>
      </c>
      <c r="M1428" t="s">
        <v>133</v>
      </c>
      <c r="N1428" t="s">
        <v>364</v>
      </c>
    </row>
    <row r="1429" spans="1:14">
      <c r="A1429" t="s">
        <v>29</v>
      </c>
      <c r="B1429">
        <v>1185732</v>
      </c>
      <c r="C1429" s="2">
        <v>44479</v>
      </c>
      <c r="D1429" t="s">
        <v>138</v>
      </c>
      <c r="E1429" t="s">
        <v>171</v>
      </c>
      <c r="F1429" t="s">
        <v>182</v>
      </c>
      <c r="G1429" t="s">
        <v>145</v>
      </c>
      <c r="H1429" s="3">
        <v>0.50000000000000011</v>
      </c>
      <c r="I1429">
        <v>6250</v>
      </c>
      <c r="J1429" s="4">
        <v>3125.0000000000009</v>
      </c>
      <c r="K1429" s="4">
        <v>1093.7500000000002</v>
      </c>
      <c r="L1429" s="5">
        <v>0.35</v>
      </c>
      <c r="M1429" t="s">
        <v>133</v>
      </c>
      <c r="N1429" t="s">
        <v>364</v>
      </c>
    </row>
    <row r="1430" spans="1:14">
      <c r="A1430" t="s">
        <v>29</v>
      </c>
      <c r="B1430">
        <v>1185732</v>
      </c>
      <c r="C1430" s="2">
        <v>44479</v>
      </c>
      <c r="D1430" t="s">
        <v>138</v>
      </c>
      <c r="E1430" t="s">
        <v>171</v>
      </c>
      <c r="F1430" t="s">
        <v>182</v>
      </c>
      <c r="G1430" t="s">
        <v>146</v>
      </c>
      <c r="H1430" s="3">
        <v>0.50000000000000011</v>
      </c>
      <c r="I1430">
        <v>5250</v>
      </c>
      <c r="J1430" s="4">
        <v>2625.0000000000005</v>
      </c>
      <c r="K1430" s="4">
        <v>656.25000000000011</v>
      </c>
      <c r="L1430" s="5">
        <v>0.25</v>
      </c>
      <c r="M1430" t="s">
        <v>133</v>
      </c>
      <c r="N1430" t="s">
        <v>364</v>
      </c>
    </row>
    <row r="1431" spans="1:14">
      <c r="A1431" t="s">
        <v>29</v>
      </c>
      <c r="B1431">
        <v>1185732</v>
      </c>
      <c r="C1431" s="2">
        <v>44479</v>
      </c>
      <c r="D1431" t="s">
        <v>138</v>
      </c>
      <c r="E1431" t="s">
        <v>171</v>
      </c>
      <c r="F1431" t="s">
        <v>182</v>
      </c>
      <c r="G1431" t="s">
        <v>148</v>
      </c>
      <c r="H1431" s="3">
        <v>0.50000000000000011</v>
      </c>
      <c r="I1431">
        <v>5000</v>
      </c>
      <c r="J1431" s="4">
        <v>2500.0000000000005</v>
      </c>
      <c r="K1431" s="4">
        <v>750.00000000000011</v>
      </c>
      <c r="L1431" s="5">
        <v>0.3</v>
      </c>
      <c r="M1431" t="s">
        <v>133</v>
      </c>
      <c r="N1431" t="s">
        <v>364</v>
      </c>
    </row>
    <row r="1432" spans="1:14">
      <c r="A1432" t="s">
        <v>29</v>
      </c>
      <c r="B1432">
        <v>1185732</v>
      </c>
      <c r="C1432" s="2">
        <v>44479</v>
      </c>
      <c r="D1432" t="s">
        <v>138</v>
      </c>
      <c r="E1432" t="s">
        <v>171</v>
      </c>
      <c r="F1432" t="s">
        <v>182</v>
      </c>
      <c r="G1432" t="s">
        <v>147</v>
      </c>
      <c r="H1432" s="3">
        <v>0.60000000000000009</v>
      </c>
      <c r="I1432">
        <v>5000</v>
      </c>
      <c r="J1432" s="4">
        <v>3000.0000000000005</v>
      </c>
      <c r="K1432" s="4">
        <v>1050</v>
      </c>
      <c r="L1432" s="5">
        <v>0.35</v>
      </c>
      <c r="M1432" t="s">
        <v>133</v>
      </c>
      <c r="N1432" t="s">
        <v>364</v>
      </c>
    </row>
    <row r="1433" spans="1:14">
      <c r="A1433" t="s">
        <v>29</v>
      </c>
      <c r="B1433">
        <v>1185732</v>
      </c>
      <c r="C1433" s="2">
        <v>44479</v>
      </c>
      <c r="D1433" t="s">
        <v>138</v>
      </c>
      <c r="E1433" t="s">
        <v>171</v>
      </c>
      <c r="F1433" t="s">
        <v>182</v>
      </c>
      <c r="G1433" t="s">
        <v>144</v>
      </c>
      <c r="H1433" s="3">
        <v>0.65</v>
      </c>
      <c r="I1433">
        <v>6250</v>
      </c>
      <c r="J1433" s="4">
        <v>4062.5</v>
      </c>
      <c r="K1433" s="4">
        <v>2031.25</v>
      </c>
      <c r="L1433" s="5">
        <v>0.5</v>
      </c>
      <c r="M1433" t="s">
        <v>133</v>
      </c>
      <c r="N1433" t="s">
        <v>364</v>
      </c>
    </row>
    <row r="1434" spans="1:14">
      <c r="A1434" t="s">
        <v>29</v>
      </c>
      <c r="B1434">
        <v>1185732</v>
      </c>
      <c r="C1434" s="2">
        <v>44509</v>
      </c>
      <c r="D1434" t="s">
        <v>138</v>
      </c>
      <c r="E1434" t="s">
        <v>171</v>
      </c>
      <c r="F1434" t="s">
        <v>182</v>
      </c>
      <c r="G1434" t="s">
        <v>27</v>
      </c>
      <c r="H1434" s="3">
        <v>0.60000000000000009</v>
      </c>
      <c r="I1434">
        <v>7750</v>
      </c>
      <c r="J1434" s="4">
        <v>4650.0000000000009</v>
      </c>
      <c r="K1434" s="4">
        <v>2092.5000000000005</v>
      </c>
      <c r="L1434" s="5">
        <v>0.45</v>
      </c>
      <c r="M1434" t="s">
        <v>134</v>
      </c>
      <c r="N1434" t="s">
        <v>364</v>
      </c>
    </row>
    <row r="1435" spans="1:14">
      <c r="A1435" t="s">
        <v>29</v>
      </c>
      <c r="B1435">
        <v>1185732</v>
      </c>
      <c r="C1435" s="2">
        <v>44509</v>
      </c>
      <c r="D1435" t="s">
        <v>138</v>
      </c>
      <c r="E1435" t="s">
        <v>171</v>
      </c>
      <c r="F1435" t="s">
        <v>182</v>
      </c>
      <c r="G1435" t="s">
        <v>145</v>
      </c>
      <c r="H1435" s="3">
        <v>0.50000000000000011</v>
      </c>
      <c r="I1435">
        <v>6000</v>
      </c>
      <c r="J1435" s="4">
        <v>3000.0000000000005</v>
      </c>
      <c r="K1435" s="4">
        <v>1050</v>
      </c>
      <c r="L1435" s="5">
        <v>0.35</v>
      </c>
      <c r="M1435" t="s">
        <v>134</v>
      </c>
      <c r="N1435" t="s">
        <v>364</v>
      </c>
    </row>
    <row r="1436" spans="1:14">
      <c r="A1436" t="s">
        <v>29</v>
      </c>
      <c r="B1436">
        <v>1185732</v>
      </c>
      <c r="C1436" s="2">
        <v>44509</v>
      </c>
      <c r="D1436" t="s">
        <v>138</v>
      </c>
      <c r="E1436" t="s">
        <v>171</v>
      </c>
      <c r="F1436" t="s">
        <v>182</v>
      </c>
      <c r="G1436" t="s">
        <v>146</v>
      </c>
      <c r="H1436" s="3">
        <v>0.50000000000000011</v>
      </c>
      <c r="I1436">
        <v>5450</v>
      </c>
      <c r="J1436" s="4">
        <v>2725.0000000000005</v>
      </c>
      <c r="K1436" s="4">
        <v>681.25000000000011</v>
      </c>
      <c r="L1436" s="5">
        <v>0.25</v>
      </c>
      <c r="M1436" t="s">
        <v>134</v>
      </c>
      <c r="N1436" t="s">
        <v>364</v>
      </c>
    </row>
    <row r="1437" spans="1:14">
      <c r="A1437" t="s">
        <v>29</v>
      </c>
      <c r="B1437">
        <v>1185732</v>
      </c>
      <c r="C1437" s="2">
        <v>44509</v>
      </c>
      <c r="D1437" t="s">
        <v>138</v>
      </c>
      <c r="E1437" t="s">
        <v>171</v>
      </c>
      <c r="F1437" t="s">
        <v>182</v>
      </c>
      <c r="G1437" t="s">
        <v>148</v>
      </c>
      <c r="H1437" s="3">
        <v>0.50000000000000011</v>
      </c>
      <c r="I1437">
        <v>5750</v>
      </c>
      <c r="J1437" s="4">
        <v>2875.0000000000005</v>
      </c>
      <c r="K1437" s="4">
        <v>862.50000000000011</v>
      </c>
      <c r="L1437" s="5">
        <v>0.3</v>
      </c>
      <c r="M1437" t="s">
        <v>134</v>
      </c>
      <c r="N1437" t="s">
        <v>364</v>
      </c>
    </row>
    <row r="1438" spans="1:14">
      <c r="A1438" t="s">
        <v>29</v>
      </c>
      <c r="B1438">
        <v>1185732</v>
      </c>
      <c r="C1438" s="2">
        <v>44509</v>
      </c>
      <c r="D1438" t="s">
        <v>138</v>
      </c>
      <c r="E1438" t="s">
        <v>171</v>
      </c>
      <c r="F1438" t="s">
        <v>182</v>
      </c>
      <c r="G1438" t="s">
        <v>147</v>
      </c>
      <c r="H1438" s="3">
        <v>0.65</v>
      </c>
      <c r="I1438">
        <v>5500</v>
      </c>
      <c r="J1438" s="4">
        <v>3575</v>
      </c>
      <c r="K1438" s="4">
        <v>1251.25</v>
      </c>
      <c r="L1438" s="5">
        <v>0.35</v>
      </c>
      <c r="M1438" t="s">
        <v>134</v>
      </c>
      <c r="N1438" t="s">
        <v>364</v>
      </c>
    </row>
    <row r="1439" spans="1:14">
      <c r="A1439" t="s">
        <v>29</v>
      </c>
      <c r="B1439">
        <v>1185732</v>
      </c>
      <c r="C1439" s="2">
        <v>44509</v>
      </c>
      <c r="D1439" t="s">
        <v>138</v>
      </c>
      <c r="E1439" t="s">
        <v>171</v>
      </c>
      <c r="F1439" t="s">
        <v>182</v>
      </c>
      <c r="G1439" t="s">
        <v>144</v>
      </c>
      <c r="H1439" s="3">
        <v>0.7</v>
      </c>
      <c r="I1439">
        <v>6500</v>
      </c>
      <c r="J1439" s="4">
        <v>4550</v>
      </c>
      <c r="K1439" s="4">
        <v>2275</v>
      </c>
      <c r="L1439" s="5">
        <v>0.5</v>
      </c>
      <c r="M1439" t="s">
        <v>134</v>
      </c>
      <c r="N1439" t="s">
        <v>364</v>
      </c>
    </row>
    <row r="1440" spans="1:14">
      <c r="A1440" t="s">
        <v>29</v>
      </c>
      <c r="B1440">
        <v>1185732</v>
      </c>
      <c r="C1440" s="2">
        <v>44538</v>
      </c>
      <c r="D1440" t="s">
        <v>138</v>
      </c>
      <c r="E1440" t="s">
        <v>171</v>
      </c>
      <c r="F1440" t="s">
        <v>182</v>
      </c>
      <c r="G1440" t="s">
        <v>27</v>
      </c>
      <c r="H1440" s="3">
        <v>0.65</v>
      </c>
      <c r="I1440">
        <v>8750</v>
      </c>
      <c r="J1440" s="4">
        <v>5687.5</v>
      </c>
      <c r="K1440" s="4">
        <v>2559.375</v>
      </c>
      <c r="L1440" s="5">
        <v>0.45</v>
      </c>
      <c r="M1440" t="s">
        <v>23</v>
      </c>
      <c r="N1440" t="s">
        <v>364</v>
      </c>
    </row>
    <row r="1441" spans="1:14">
      <c r="A1441" t="s">
        <v>29</v>
      </c>
      <c r="B1441">
        <v>1185732</v>
      </c>
      <c r="C1441" s="2">
        <v>44538</v>
      </c>
      <c r="D1441" t="s">
        <v>138</v>
      </c>
      <c r="E1441" t="s">
        <v>171</v>
      </c>
      <c r="F1441" t="s">
        <v>182</v>
      </c>
      <c r="G1441" t="s">
        <v>145</v>
      </c>
      <c r="H1441" s="3">
        <v>0.55000000000000004</v>
      </c>
      <c r="I1441">
        <v>6750</v>
      </c>
      <c r="J1441" s="4">
        <v>3712.5000000000005</v>
      </c>
      <c r="K1441" s="4">
        <v>1299.375</v>
      </c>
      <c r="L1441" s="5">
        <v>0.35</v>
      </c>
      <c r="M1441" t="s">
        <v>23</v>
      </c>
      <c r="N1441" t="s">
        <v>364</v>
      </c>
    </row>
    <row r="1442" spans="1:14">
      <c r="A1442" t="s">
        <v>29</v>
      </c>
      <c r="B1442">
        <v>1185732</v>
      </c>
      <c r="C1442" s="2">
        <v>44538</v>
      </c>
      <c r="D1442" t="s">
        <v>138</v>
      </c>
      <c r="E1442" t="s">
        <v>171</v>
      </c>
      <c r="F1442" t="s">
        <v>182</v>
      </c>
      <c r="G1442" t="s">
        <v>146</v>
      </c>
      <c r="H1442" s="3">
        <v>0.55000000000000004</v>
      </c>
      <c r="I1442">
        <v>6250</v>
      </c>
      <c r="J1442" s="4">
        <v>3437.5000000000005</v>
      </c>
      <c r="K1442" s="4">
        <v>859.37500000000011</v>
      </c>
      <c r="L1442" s="5">
        <v>0.25</v>
      </c>
      <c r="M1442" t="s">
        <v>23</v>
      </c>
      <c r="N1442" t="s">
        <v>364</v>
      </c>
    </row>
    <row r="1443" spans="1:14">
      <c r="A1443" t="s">
        <v>29</v>
      </c>
      <c r="B1443">
        <v>1185732</v>
      </c>
      <c r="C1443" s="2">
        <v>44538</v>
      </c>
      <c r="D1443" t="s">
        <v>138</v>
      </c>
      <c r="E1443" t="s">
        <v>171</v>
      </c>
      <c r="F1443" t="s">
        <v>182</v>
      </c>
      <c r="G1443" t="s">
        <v>148</v>
      </c>
      <c r="H1443" s="3">
        <v>0.55000000000000004</v>
      </c>
      <c r="I1443">
        <v>5750</v>
      </c>
      <c r="J1443" s="4">
        <v>3162.5000000000005</v>
      </c>
      <c r="K1443" s="4">
        <v>948.75000000000011</v>
      </c>
      <c r="L1443" s="5">
        <v>0.3</v>
      </c>
      <c r="M1443" t="s">
        <v>23</v>
      </c>
      <c r="N1443" t="s">
        <v>364</v>
      </c>
    </row>
    <row r="1444" spans="1:14">
      <c r="A1444" t="s">
        <v>29</v>
      </c>
      <c r="B1444">
        <v>1185732</v>
      </c>
      <c r="C1444" s="2">
        <v>44538</v>
      </c>
      <c r="D1444" t="s">
        <v>138</v>
      </c>
      <c r="E1444" t="s">
        <v>171</v>
      </c>
      <c r="F1444" t="s">
        <v>182</v>
      </c>
      <c r="G1444" t="s">
        <v>147</v>
      </c>
      <c r="H1444" s="3">
        <v>0.65</v>
      </c>
      <c r="I1444">
        <v>5750</v>
      </c>
      <c r="J1444" s="4">
        <v>3737.5</v>
      </c>
      <c r="K1444" s="4">
        <v>1308.125</v>
      </c>
      <c r="L1444" s="5">
        <v>0.35</v>
      </c>
      <c r="M1444" t="s">
        <v>23</v>
      </c>
      <c r="N1444" t="s">
        <v>364</v>
      </c>
    </row>
    <row r="1445" spans="1:14">
      <c r="A1445" t="s">
        <v>29</v>
      </c>
      <c r="B1445">
        <v>1185732</v>
      </c>
      <c r="C1445" s="2">
        <v>44538</v>
      </c>
      <c r="D1445" t="s">
        <v>138</v>
      </c>
      <c r="E1445" t="s">
        <v>171</v>
      </c>
      <c r="F1445" t="s">
        <v>182</v>
      </c>
      <c r="G1445" t="s">
        <v>144</v>
      </c>
      <c r="H1445" s="3">
        <v>0.7</v>
      </c>
      <c r="I1445">
        <v>6750</v>
      </c>
      <c r="J1445" s="4">
        <v>4725</v>
      </c>
      <c r="K1445" s="4">
        <v>2362.5</v>
      </c>
      <c r="L1445" s="5">
        <v>0.5</v>
      </c>
      <c r="M1445" t="s">
        <v>23</v>
      </c>
      <c r="N1445" t="s">
        <v>364</v>
      </c>
    </row>
    <row r="1446" spans="1:14">
      <c r="A1446" t="s">
        <v>29</v>
      </c>
      <c r="B1446">
        <v>1185732</v>
      </c>
      <c r="C1446" s="2">
        <v>44210</v>
      </c>
      <c r="D1446" t="s">
        <v>137</v>
      </c>
      <c r="E1446" t="s">
        <v>168</v>
      </c>
      <c r="F1446" t="s">
        <v>204</v>
      </c>
      <c r="G1446" t="s">
        <v>27</v>
      </c>
      <c r="H1446" s="3">
        <v>0.4</v>
      </c>
      <c r="I1446">
        <v>8000</v>
      </c>
      <c r="J1446" s="4">
        <v>3200</v>
      </c>
      <c r="K1446" s="4">
        <v>1600</v>
      </c>
      <c r="L1446" s="5">
        <v>0.5</v>
      </c>
      <c r="M1446" t="s">
        <v>125</v>
      </c>
      <c r="N1446" t="s">
        <v>361</v>
      </c>
    </row>
    <row r="1447" spans="1:14">
      <c r="A1447" t="s">
        <v>29</v>
      </c>
      <c r="B1447">
        <v>1185732</v>
      </c>
      <c r="C1447" s="2">
        <v>44210</v>
      </c>
      <c r="D1447" t="s">
        <v>137</v>
      </c>
      <c r="E1447" t="s">
        <v>168</v>
      </c>
      <c r="F1447" t="s">
        <v>204</v>
      </c>
      <c r="G1447" t="s">
        <v>145</v>
      </c>
      <c r="H1447" s="3">
        <v>0.4</v>
      </c>
      <c r="I1447">
        <v>6000</v>
      </c>
      <c r="J1447" s="4">
        <v>2400</v>
      </c>
      <c r="K1447" s="4">
        <v>720</v>
      </c>
      <c r="L1447" s="5">
        <v>0.3</v>
      </c>
      <c r="M1447" t="s">
        <v>125</v>
      </c>
      <c r="N1447" t="s">
        <v>361</v>
      </c>
    </row>
    <row r="1448" spans="1:14">
      <c r="A1448" t="s">
        <v>29</v>
      </c>
      <c r="B1448">
        <v>1185732</v>
      </c>
      <c r="C1448" s="2">
        <v>44210</v>
      </c>
      <c r="D1448" t="s">
        <v>137</v>
      </c>
      <c r="E1448" t="s">
        <v>168</v>
      </c>
      <c r="F1448" t="s">
        <v>204</v>
      </c>
      <c r="G1448" t="s">
        <v>146</v>
      </c>
      <c r="H1448" s="3">
        <v>0.30000000000000004</v>
      </c>
      <c r="I1448">
        <v>6000</v>
      </c>
      <c r="J1448" s="4">
        <v>1800.0000000000002</v>
      </c>
      <c r="K1448" s="4">
        <v>630</v>
      </c>
      <c r="L1448" s="5">
        <v>0.35</v>
      </c>
      <c r="M1448" t="s">
        <v>125</v>
      </c>
      <c r="N1448" t="s">
        <v>361</v>
      </c>
    </row>
    <row r="1449" spans="1:14">
      <c r="A1449" t="s">
        <v>29</v>
      </c>
      <c r="B1449">
        <v>1185732</v>
      </c>
      <c r="C1449" s="2">
        <v>44210</v>
      </c>
      <c r="D1449" t="s">
        <v>137</v>
      </c>
      <c r="E1449" t="s">
        <v>168</v>
      </c>
      <c r="F1449" t="s">
        <v>204</v>
      </c>
      <c r="G1449" t="s">
        <v>148</v>
      </c>
      <c r="H1449" s="3">
        <v>0.35</v>
      </c>
      <c r="I1449">
        <v>4500</v>
      </c>
      <c r="J1449" s="4">
        <v>1575</v>
      </c>
      <c r="K1449" s="4">
        <v>551.25</v>
      </c>
      <c r="L1449" s="5">
        <v>0.35</v>
      </c>
      <c r="M1449" t="s">
        <v>125</v>
      </c>
      <c r="N1449" t="s">
        <v>361</v>
      </c>
    </row>
    <row r="1450" spans="1:14">
      <c r="A1450" t="s">
        <v>29</v>
      </c>
      <c r="B1450">
        <v>1185732</v>
      </c>
      <c r="C1450" s="2">
        <v>44210</v>
      </c>
      <c r="D1450" t="s">
        <v>137</v>
      </c>
      <c r="E1450" t="s">
        <v>168</v>
      </c>
      <c r="F1450" t="s">
        <v>204</v>
      </c>
      <c r="G1450" t="s">
        <v>147</v>
      </c>
      <c r="H1450" s="3">
        <v>0.5</v>
      </c>
      <c r="I1450">
        <v>5000</v>
      </c>
      <c r="J1450" s="4">
        <v>2500</v>
      </c>
      <c r="K1450" s="4">
        <v>750</v>
      </c>
      <c r="L1450" s="5">
        <v>0.3</v>
      </c>
      <c r="M1450" t="s">
        <v>125</v>
      </c>
      <c r="N1450" t="s">
        <v>361</v>
      </c>
    </row>
    <row r="1451" spans="1:14">
      <c r="A1451" t="s">
        <v>29</v>
      </c>
      <c r="B1451">
        <v>1185732</v>
      </c>
      <c r="C1451" s="2">
        <v>44210</v>
      </c>
      <c r="D1451" t="s">
        <v>137</v>
      </c>
      <c r="E1451" t="s">
        <v>168</v>
      </c>
      <c r="F1451" t="s">
        <v>204</v>
      </c>
      <c r="G1451" t="s">
        <v>144</v>
      </c>
      <c r="H1451" s="3">
        <v>0.4</v>
      </c>
      <c r="I1451">
        <v>6000</v>
      </c>
      <c r="J1451" s="4">
        <v>2400</v>
      </c>
      <c r="K1451" s="4">
        <v>600</v>
      </c>
      <c r="L1451" s="5">
        <v>0.25</v>
      </c>
      <c r="M1451" t="s">
        <v>125</v>
      </c>
      <c r="N1451" t="s">
        <v>361</v>
      </c>
    </row>
    <row r="1452" spans="1:14">
      <c r="A1452" t="s">
        <v>29</v>
      </c>
      <c r="B1452">
        <v>1185732</v>
      </c>
      <c r="C1452" s="2">
        <v>44239</v>
      </c>
      <c r="D1452" t="s">
        <v>137</v>
      </c>
      <c r="E1452" t="s">
        <v>168</v>
      </c>
      <c r="F1452" t="s">
        <v>204</v>
      </c>
      <c r="G1452" t="s">
        <v>27</v>
      </c>
      <c r="H1452" s="3">
        <v>0.4</v>
      </c>
      <c r="I1452">
        <v>8500</v>
      </c>
      <c r="J1452" s="4">
        <v>3400</v>
      </c>
      <c r="K1452" s="4">
        <v>1700</v>
      </c>
      <c r="L1452" s="5">
        <v>0.5</v>
      </c>
      <c r="M1452" t="s">
        <v>126</v>
      </c>
      <c r="N1452" t="s">
        <v>361</v>
      </c>
    </row>
    <row r="1453" spans="1:14">
      <c r="A1453" t="s">
        <v>29</v>
      </c>
      <c r="B1453">
        <v>1185732</v>
      </c>
      <c r="C1453" s="2">
        <v>44239</v>
      </c>
      <c r="D1453" t="s">
        <v>137</v>
      </c>
      <c r="E1453" t="s">
        <v>168</v>
      </c>
      <c r="F1453" t="s">
        <v>204</v>
      </c>
      <c r="G1453" t="s">
        <v>145</v>
      </c>
      <c r="H1453" s="3">
        <v>0.4</v>
      </c>
      <c r="I1453">
        <v>5000</v>
      </c>
      <c r="J1453" s="4">
        <v>2000</v>
      </c>
      <c r="K1453" s="4">
        <v>600</v>
      </c>
      <c r="L1453" s="5">
        <v>0.3</v>
      </c>
      <c r="M1453" t="s">
        <v>126</v>
      </c>
      <c r="N1453" t="s">
        <v>361</v>
      </c>
    </row>
    <row r="1454" spans="1:14">
      <c r="A1454" t="s">
        <v>29</v>
      </c>
      <c r="B1454">
        <v>1185732</v>
      </c>
      <c r="C1454" s="2">
        <v>44239</v>
      </c>
      <c r="D1454" t="s">
        <v>137</v>
      </c>
      <c r="E1454" t="s">
        <v>168</v>
      </c>
      <c r="F1454" t="s">
        <v>204</v>
      </c>
      <c r="G1454" t="s">
        <v>146</v>
      </c>
      <c r="H1454" s="3">
        <v>0.30000000000000004</v>
      </c>
      <c r="I1454">
        <v>5500</v>
      </c>
      <c r="J1454" s="4">
        <v>1650.0000000000002</v>
      </c>
      <c r="K1454" s="4">
        <v>577.5</v>
      </c>
      <c r="L1454" s="5">
        <v>0.35</v>
      </c>
      <c r="M1454" t="s">
        <v>126</v>
      </c>
      <c r="N1454" t="s">
        <v>361</v>
      </c>
    </row>
    <row r="1455" spans="1:14">
      <c r="A1455" t="s">
        <v>29</v>
      </c>
      <c r="B1455">
        <v>1185732</v>
      </c>
      <c r="C1455" s="2">
        <v>44239</v>
      </c>
      <c r="D1455" t="s">
        <v>137</v>
      </c>
      <c r="E1455" t="s">
        <v>168</v>
      </c>
      <c r="F1455" t="s">
        <v>204</v>
      </c>
      <c r="G1455" t="s">
        <v>148</v>
      </c>
      <c r="H1455" s="3">
        <v>0.35</v>
      </c>
      <c r="I1455">
        <v>4250</v>
      </c>
      <c r="J1455" s="4">
        <v>1487.5</v>
      </c>
      <c r="K1455" s="4">
        <v>520.625</v>
      </c>
      <c r="L1455" s="5">
        <v>0.35</v>
      </c>
      <c r="M1455" t="s">
        <v>126</v>
      </c>
      <c r="N1455" t="s">
        <v>361</v>
      </c>
    </row>
    <row r="1456" spans="1:14">
      <c r="A1456" t="s">
        <v>29</v>
      </c>
      <c r="B1456">
        <v>1185732</v>
      </c>
      <c r="C1456" s="2">
        <v>44239</v>
      </c>
      <c r="D1456" t="s">
        <v>137</v>
      </c>
      <c r="E1456" t="s">
        <v>168</v>
      </c>
      <c r="F1456" t="s">
        <v>204</v>
      </c>
      <c r="G1456" t="s">
        <v>147</v>
      </c>
      <c r="H1456" s="3">
        <v>0.5</v>
      </c>
      <c r="I1456">
        <v>5000</v>
      </c>
      <c r="J1456" s="4">
        <v>2500</v>
      </c>
      <c r="K1456" s="4">
        <v>750</v>
      </c>
      <c r="L1456" s="5">
        <v>0.3</v>
      </c>
      <c r="M1456" t="s">
        <v>126</v>
      </c>
      <c r="N1456" t="s">
        <v>361</v>
      </c>
    </row>
    <row r="1457" spans="1:14">
      <c r="A1457" t="s">
        <v>29</v>
      </c>
      <c r="B1457">
        <v>1185732</v>
      </c>
      <c r="C1457" s="2">
        <v>44239</v>
      </c>
      <c r="D1457" t="s">
        <v>137</v>
      </c>
      <c r="E1457" t="s">
        <v>168</v>
      </c>
      <c r="F1457" t="s">
        <v>204</v>
      </c>
      <c r="G1457" t="s">
        <v>144</v>
      </c>
      <c r="H1457" s="3">
        <v>0.4</v>
      </c>
      <c r="I1457">
        <v>6000</v>
      </c>
      <c r="J1457" s="4">
        <v>2400</v>
      </c>
      <c r="K1457" s="4">
        <v>600</v>
      </c>
      <c r="L1457" s="5">
        <v>0.25</v>
      </c>
      <c r="M1457" t="s">
        <v>126</v>
      </c>
      <c r="N1457" t="s">
        <v>361</v>
      </c>
    </row>
    <row r="1458" spans="1:14">
      <c r="A1458" t="s">
        <v>29</v>
      </c>
      <c r="B1458">
        <v>1185732</v>
      </c>
      <c r="C1458" s="2">
        <v>44265</v>
      </c>
      <c r="D1458" t="s">
        <v>137</v>
      </c>
      <c r="E1458" t="s">
        <v>168</v>
      </c>
      <c r="F1458" t="s">
        <v>204</v>
      </c>
      <c r="G1458" t="s">
        <v>27</v>
      </c>
      <c r="H1458" s="3">
        <v>0.4</v>
      </c>
      <c r="I1458">
        <v>8200</v>
      </c>
      <c r="J1458" s="4">
        <v>3280</v>
      </c>
      <c r="K1458" s="4">
        <v>1640</v>
      </c>
      <c r="L1458" s="5">
        <v>0.5</v>
      </c>
      <c r="M1458" t="s">
        <v>24</v>
      </c>
      <c r="N1458" t="s">
        <v>361</v>
      </c>
    </row>
    <row r="1459" spans="1:14">
      <c r="A1459" t="s">
        <v>29</v>
      </c>
      <c r="B1459">
        <v>1185732</v>
      </c>
      <c r="C1459" s="2">
        <v>44265</v>
      </c>
      <c r="D1459" t="s">
        <v>137</v>
      </c>
      <c r="E1459" t="s">
        <v>168</v>
      </c>
      <c r="F1459" t="s">
        <v>204</v>
      </c>
      <c r="G1459" t="s">
        <v>145</v>
      </c>
      <c r="H1459" s="3">
        <v>0.4</v>
      </c>
      <c r="I1459">
        <v>5250</v>
      </c>
      <c r="J1459" s="4">
        <v>2100</v>
      </c>
      <c r="K1459" s="4">
        <v>630</v>
      </c>
      <c r="L1459" s="5">
        <v>0.3</v>
      </c>
      <c r="M1459" t="s">
        <v>24</v>
      </c>
      <c r="N1459" t="s">
        <v>361</v>
      </c>
    </row>
    <row r="1460" spans="1:14">
      <c r="A1460" t="s">
        <v>29</v>
      </c>
      <c r="B1460">
        <v>1185732</v>
      </c>
      <c r="C1460" s="2">
        <v>44265</v>
      </c>
      <c r="D1460" t="s">
        <v>137</v>
      </c>
      <c r="E1460" t="s">
        <v>168</v>
      </c>
      <c r="F1460" t="s">
        <v>204</v>
      </c>
      <c r="G1460" t="s">
        <v>146</v>
      </c>
      <c r="H1460" s="3">
        <v>0.30000000000000004</v>
      </c>
      <c r="I1460">
        <v>5500</v>
      </c>
      <c r="J1460" s="4">
        <v>1650.0000000000002</v>
      </c>
      <c r="K1460" s="4">
        <v>577.5</v>
      </c>
      <c r="L1460" s="5">
        <v>0.35</v>
      </c>
      <c r="M1460" t="s">
        <v>24</v>
      </c>
      <c r="N1460" t="s">
        <v>361</v>
      </c>
    </row>
    <row r="1461" spans="1:14">
      <c r="A1461" t="s">
        <v>29</v>
      </c>
      <c r="B1461">
        <v>1185732</v>
      </c>
      <c r="C1461" s="2">
        <v>44265</v>
      </c>
      <c r="D1461" t="s">
        <v>137</v>
      </c>
      <c r="E1461" t="s">
        <v>168</v>
      </c>
      <c r="F1461" t="s">
        <v>204</v>
      </c>
      <c r="G1461" t="s">
        <v>148</v>
      </c>
      <c r="H1461" s="3">
        <v>0.35</v>
      </c>
      <c r="I1461">
        <v>4000</v>
      </c>
      <c r="J1461" s="4">
        <v>1400</v>
      </c>
      <c r="K1461" s="4">
        <v>489.99999999999994</v>
      </c>
      <c r="L1461" s="5">
        <v>0.35</v>
      </c>
      <c r="M1461" t="s">
        <v>24</v>
      </c>
      <c r="N1461" t="s">
        <v>361</v>
      </c>
    </row>
    <row r="1462" spans="1:14">
      <c r="A1462" t="s">
        <v>29</v>
      </c>
      <c r="B1462">
        <v>1185732</v>
      </c>
      <c r="C1462" s="2">
        <v>44265</v>
      </c>
      <c r="D1462" t="s">
        <v>137</v>
      </c>
      <c r="E1462" t="s">
        <v>168</v>
      </c>
      <c r="F1462" t="s">
        <v>204</v>
      </c>
      <c r="G1462" t="s">
        <v>147</v>
      </c>
      <c r="H1462" s="3">
        <v>0.5</v>
      </c>
      <c r="I1462">
        <v>4500</v>
      </c>
      <c r="J1462" s="4">
        <v>2250</v>
      </c>
      <c r="K1462" s="4">
        <v>675</v>
      </c>
      <c r="L1462" s="5">
        <v>0.3</v>
      </c>
      <c r="M1462" t="s">
        <v>24</v>
      </c>
      <c r="N1462" t="s">
        <v>361</v>
      </c>
    </row>
    <row r="1463" spans="1:14">
      <c r="A1463" t="s">
        <v>29</v>
      </c>
      <c r="B1463">
        <v>1185732</v>
      </c>
      <c r="C1463" s="2">
        <v>44265</v>
      </c>
      <c r="D1463" t="s">
        <v>137</v>
      </c>
      <c r="E1463" t="s">
        <v>168</v>
      </c>
      <c r="F1463" t="s">
        <v>204</v>
      </c>
      <c r="G1463" t="s">
        <v>144</v>
      </c>
      <c r="H1463" s="3">
        <v>0.4</v>
      </c>
      <c r="I1463">
        <v>5500</v>
      </c>
      <c r="J1463" s="4">
        <v>2200</v>
      </c>
      <c r="K1463" s="4">
        <v>550</v>
      </c>
      <c r="L1463" s="5">
        <v>0.25</v>
      </c>
      <c r="M1463" t="s">
        <v>24</v>
      </c>
      <c r="N1463" t="s">
        <v>361</v>
      </c>
    </row>
    <row r="1464" spans="1:14">
      <c r="A1464" t="s">
        <v>29</v>
      </c>
      <c r="B1464">
        <v>1185732</v>
      </c>
      <c r="C1464" s="2">
        <v>44297</v>
      </c>
      <c r="D1464" t="s">
        <v>137</v>
      </c>
      <c r="E1464" t="s">
        <v>168</v>
      </c>
      <c r="F1464" t="s">
        <v>204</v>
      </c>
      <c r="G1464" t="s">
        <v>27</v>
      </c>
      <c r="H1464" s="3">
        <v>0.4</v>
      </c>
      <c r="I1464">
        <v>8000</v>
      </c>
      <c r="J1464" s="4">
        <v>3200</v>
      </c>
      <c r="K1464" s="4">
        <v>1600</v>
      </c>
      <c r="L1464" s="5">
        <v>0.5</v>
      </c>
      <c r="M1464" t="s">
        <v>127</v>
      </c>
      <c r="N1464" t="s">
        <v>362</v>
      </c>
    </row>
    <row r="1465" spans="1:14">
      <c r="A1465" t="s">
        <v>29</v>
      </c>
      <c r="B1465">
        <v>1185732</v>
      </c>
      <c r="C1465" s="2">
        <v>44297</v>
      </c>
      <c r="D1465" t="s">
        <v>137</v>
      </c>
      <c r="E1465" t="s">
        <v>168</v>
      </c>
      <c r="F1465" t="s">
        <v>204</v>
      </c>
      <c r="G1465" t="s">
        <v>145</v>
      </c>
      <c r="H1465" s="3">
        <v>0.4</v>
      </c>
      <c r="I1465">
        <v>5000</v>
      </c>
      <c r="J1465" s="4">
        <v>2000</v>
      </c>
      <c r="K1465" s="4">
        <v>600</v>
      </c>
      <c r="L1465" s="5">
        <v>0.3</v>
      </c>
      <c r="M1465" t="s">
        <v>127</v>
      </c>
      <c r="N1465" t="s">
        <v>362</v>
      </c>
    </row>
    <row r="1466" spans="1:14">
      <c r="A1466" t="s">
        <v>29</v>
      </c>
      <c r="B1466">
        <v>1185732</v>
      </c>
      <c r="C1466" s="2">
        <v>44297</v>
      </c>
      <c r="D1466" t="s">
        <v>137</v>
      </c>
      <c r="E1466" t="s">
        <v>168</v>
      </c>
      <c r="F1466" t="s">
        <v>204</v>
      </c>
      <c r="G1466" t="s">
        <v>146</v>
      </c>
      <c r="H1466" s="3">
        <v>0.30000000000000004</v>
      </c>
      <c r="I1466">
        <v>5000</v>
      </c>
      <c r="J1466" s="4">
        <v>1500.0000000000002</v>
      </c>
      <c r="K1466" s="4">
        <v>525</v>
      </c>
      <c r="L1466" s="5">
        <v>0.35</v>
      </c>
      <c r="M1466" t="s">
        <v>127</v>
      </c>
      <c r="N1466" t="s">
        <v>362</v>
      </c>
    </row>
    <row r="1467" spans="1:14">
      <c r="A1467" t="s">
        <v>29</v>
      </c>
      <c r="B1467">
        <v>1185732</v>
      </c>
      <c r="C1467" s="2">
        <v>44297</v>
      </c>
      <c r="D1467" t="s">
        <v>137</v>
      </c>
      <c r="E1467" t="s">
        <v>168</v>
      </c>
      <c r="F1467" t="s">
        <v>204</v>
      </c>
      <c r="G1467" t="s">
        <v>148</v>
      </c>
      <c r="H1467" s="3">
        <v>0.35</v>
      </c>
      <c r="I1467">
        <v>4250</v>
      </c>
      <c r="J1467" s="4">
        <v>1487.5</v>
      </c>
      <c r="K1467" s="4">
        <v>520.625</v>
      </c>
      <c r="L1467" s="5">
        <v>0.35</v>
      </c>
      <c r="M1467" t="s">
        <v>127</v>
      </c>
      <c r="N1467" t="s">
        <v>362</v>
      </c>
    </row>
    <row r="1468" spans="1:14">
      <c r="A1468" t="s">
        <v>29</v>
      </c>
      <c r="B1468">
        <v>1185732</v>
      </c>
      <c r="C1468" s="2">
        <v>44297</v>
      </c>
      <c r="D1468" t="s">
        <v>137</v>
      </c>
      <c r="E1468" t="s">
        <v>168</v>
      </c>
      <c r="F1468" t="s">
        <v>204</v>
      </c>
      <c r="G1468" t="s">
        <v>147</v>
      </c>
      <c r="H1468" s="3">
        <v>0.5</v>
      </c>
      <c r="I1468">
        <v>4250</v>
      </c>
      <c r="J1468" s="4">
        <v>2125</v>
      </c>
      <c r="K1468" s="4">
        <v>637.5</v>
      </c>
      <c r="L1468" s="5">
        <v>0.3</v>
      </c>
      <c r="M1468" t="s">
        <v>127</v>
      </c>
      <c r="N1468" t="s">
        <v>362</v>
      </c>
    </row>
    <row r="1469" spans="1:14">
      <c r="A1469" t="s">
        <v>29</v>
      </c>
      <c r="B1469">
        <v>1185732</v>
      </c>
      <c r="C1469" s="2">
        <v>44297</v>
      </c>
      <c r="D1469" t="s">
        <v>137</v>
      </c>
      <c r="E1469" t="s">
        <v>168</v>
      </c>
      <c r="F1469" t="s">
        <v>204</v>
      </c>
      <c r="G1469" t="s">
        <v>144</v>
      </c>
      <c r="H1469" s="3">
        <v>0.4</v>
      </c>
      <c r="I1469">
        <v>5500</v>
      </c>
      <c r="J1469" s="4">
        <v>2200</v>
      </c>
      <c r="K1469" s="4">
        <v>550</v>
      </c>
      <c r="L1469" s="5">
        <v>0.25</v>
      </c>
      <c r="M1469" t="s">
        <v>127</v>
      </c>
      <c r="N1469" t="s">
        <v>362</v>
      </c>
    </row>
    <row r="1470" spans="1:14">
      <c r="A1470" t="s">
        <v>29</v>
      </c>
      <c r="B1470">
        <v>1185732</v>
      </c>
      <c r="C1470" s="2">
        <v>44326</v>
      </c>
      <c r="D1470" t="s">
        <v>137</v>
      </c>
      <c r="E1470" t="s">
        <v>168</v>
      </c>
      <c r="F1470" t="s">
        <v>204</v>
      </c>
      <c r="G1470" t="s">
        <v>27</v>
      </c>
      <c r="H1470" s="3">
        <v>0.5</v>
      </c>
      <c r="I1470">
        <v>8200</v>
      </c>
      <c r="J1470" s="4">
        <v>4100</v>
      </c>
      <c r="K1470" s="4">
        <v>2050</v>
      </c>
      <c r="L1470" s="5">
        <v>0.5</v>
      </c>
      <c r="M1470" t="s">
        <v>128</v>
      </c>
      <c r="N1470" t="s">
        <v>362</v>
      </c>
    </row>
    <row r="1471" spans="1:14">
      <c r="A1471" t="s">
        <v>29</v>
      </c>
      <c r="B1471">
        <v>1185732</v>
      </c>
      <c r="C1471" s="2">
        <v>44326</v>
      </c>
      <c r="D1471" t="s">
        <v>137</v>
      </c>
      <c r="E1471" t="s">
        <v>168</v>
      </c>
      <c r="F1471" t="s">
        <v>204</v>
      </c>
      <c r="G1471" t="s">
        <v>145</v>
      </c>
      <c r="H1471" s="3">
        <v>0.45000000000000007</v>
      </c>
      <c r="I1471">
        <v>5250</v>
      </c>
      <c r="J1471" s="4">
        <v>2362.5000000000005</v>
      </c>
      <c r="K1471" s="4">
        <v>708.75000000000011</v>
      </c>
      <c r="L1471" s="5">
        <v>0.3</v>
      </c>
      <c r="M1471" t="s">
        <v>128</v>
      </c>
      <c r="N1471" t="s">
        <v>362</v>
      </c>
    </row>
    <row r="1472" spans="1:14">
      <c r="A1472" t="s">
        <v>29</v>
      </c>
      <c r="B1472">
        <v>1185732</v>
      </c>
      <c r="C1472" s="2">
        <v>44326</v>
      </c>
      <c r="D1472" t="s">
        <v>137</v>
      </c>
      <c r="E1472" t="s">
        <v>168</v>
      </c>
      <c r="F1472" t="s">
        <v>204</v>
      </c>
      <c r="G1472" t="s">
        <v>146</v>
      </c>
      <c r="H1472" s="3">
        <v>0.4</v>
      </c>
      <c r="I1472">
        <v>5000</v>
      </c>
      <c r="J1472" s="4">
        <v>2000</v>
      </c>
      <c r="K1472" s="4">
        <v>700</v>
      </c>
      <c r="L1472" s="5">
        <v>0.35</v>
      </c>
      <c r="M1472" t="s">
        <v>128</v>
      </c>
      <c r="N1472" t="s">
        <v>362</v>
      </c>
    </row>
    <row r="1473" spans="1:14">
      <c r="A1473" t="s">
        <v>29</v>
      </c>
      <c r="B1473">
        <v>1185732</v>
      </c>
      <c r="C1473" s="2">
        <v>44326</v>
      </c>
      <c r="D1473" t="s">
        <v>137</v>
      </c>
      <c r="E1473" t="s">
        <v>168</v>
      </c>
      <c r="F1473" t="s">
        <v>204</v>
      </c>
      <c r="G1473" t="s">
        <v>148</v>
      </c>
      <c r="H1473" s="3">
        <v>0.4</v>
      </c>
      <c r="I1473">
        <v>4500</v>
      </c>
      <c r="J1473" s="4">
        <v>1800</v>
      </c>
      <c r="K1473" s="4">
        <v>630</v>
      </c>
      <c r="L1473" s="5">
        <v>0.35</v>
      </c>
      <c r="M1473" t="s">
        <v>128</v>
      </c>
      <c r="N1473" t="s">
        <v>362</v>
      </c>
    </row>
    <row r="1474" spans="1:14">
      <c r="A1474" t="s">
        <v>29</v>
      </c>
      <c r="B1474">
        <v>1185732</v>
      </c>
      <c r="C1474" s="2">
        <v>44326</v>
      </c>
      <c r="D1474" t="s">
        <v>137</v>
      </c>
      <c r="E1474" t="s">
        <v>168</v>
      </c>
      <c r="F1474" t="s">
        <v>204</v>
      </c>
      <c r="G1474" t="s">
        <v>147</v>
      </c>
      <c r="H1474" s="3">
        <v>0.5</v>
      </c>
      <c r="I1474">
        <v>4750</v>
      </c>
      <c r="J1474" s="4">
        <v>2375</v>
      </c>
      <c r="K1474" s="4">
        <v>712.5</v>
      </c>
      <c r="L1474" s="5">
        <v>0.3</v>
      </c>
      <c r="M1474" t="s">
        <v>128</v>
      </c>
      <c r="N1474" t="s">
        <v>362</v>
      </c>
    </row>
    <row r="1475" spans="1:14">
      <c r="A1475" t="s">
        <v>29</v>
      </c>
      <c r="B1475">
        <v>1185732</v>
      </c>
      <c r="C1475" s="2">
        <v>44326</v>
      </c>
      <c r="D1475" t="s">
        <v>137</v>
      </c>
      <c r="E1475" t="s">
        <v>168</v>
      </c>
      <c r="F1475" t="s">
        <v>204</v>
      </c>
      <c r="G1475" t="s">
        <v>144</v>
      </c>
      <c r="H1475" s="3">
        <v>0.55000000000000004</v>
      </c>
      <c r="I1475">
        <v>6000</v>
      </c>
      <c r="J1475" s="4">
        <v>3300.0000000000005</v>
      </c>
      <c r="K1475" s="4">
        <v>825.00000000000011</v>
      </c>
      <c r="L1475" s="5">
        <v>0.25</v>
      </c>
      <c r="M1475" t="s">
        <v>128</v>
      </c>
      <c r="N1475" t="s">
        <v>362</v>
      </c>
    </row>
    <row r="1476" spans="1:14">
      <c r="A1476" t="s">
        <v>29</v>
      </c>
      <c r="B1476">
        <v>1185732</v>
      </c>
      <c r="C1476" s="2">
        <v>44359</v>
      </c>
      <c r="D1476" t="s">
        <v>137</v>
      </c>
      <c r="E1476" t="s">
        <v>168</v>
      </c>
      <c r="F1476" t="s">
        <v>204</v>
      </c>
      <c r="G1476" t="s">
        <v>27</v>
      </c>
      <c r="H1476" s="3">
        <v>0.5</v>
      </c>
      <c r="I1476">
        <v>8500</v>
      </c>
      <c r="J1476" s="4">
        <v>4250</v>
      </c>
      <c r="K1476" s="4">
        <v>2125</v>
      </c>
      <c r="L1476" s="5">
        <v>0.5</v>
      </c>
      <c r="M1476" t="s">
        <v>129</v>
      </c>
      <c r="N1476" t="s">
        <v>362</v>
      </c>
    </row>
    <row r="1477" spans="1:14">
      <c r="A1477" t="s">
        <v>29</v>
      </c>
      <c r="B1477">
        <v>1185732</v>
      </c>
      <c r="C1477" s="2">
        <v>44359</v>
      </c>
      <c r="D1477" t="s">
        <v>137</v>
      </c>
      <c r="E1477" t="s">
        <v>168</v>
      </c>
      <c r="F1477" t="s">
        <v>204</v>
      </c>
      <c r="G1477" t="s">
        <v>145</v>
      </c>
      <c r="H1477" s="3">
        <v>0.45000000000000007</v>
      </c>
      <c r="I1477">
        <v>6000</v>
      </c>
      <c r="J1477" s="4">
        <v>2700.0000000000005</v>
      </c>
      <c r="K1477" s="4">
        <v>810.00000000000011</v>
      </c>
      <c r="L1477" s="5">
        <v>0.3</v>
      </c>
      <c r="M1477" t="s">
        <v>129</v>
      </c>
      <c r="N1477" t="s">
        <v>362</v>
      </c>
    </row>
    <row r="1478" spans="1:14">
      <c r="A1478" t="s">
        <v>29</v>
      </c>
      <c r="B1478">
        <v>1185732</v>
      </c>
      <c r="C1478" s="2">
        <v>44359</v>
      </c>
      <c r="D1478" t="s">
        <v>137</v>
      </c>
      <c r="E1478" t="s">
        <v>168</v>
      </c>
      <c r="F1478" t="s">
        <v>204</v>
      </c>
      <c r="G1478" t="s">
        <v>146</v>
      </c>
      <c r="H1478" s="3">
        <v>0.4</v>
      </c>
      <c r="I1478">
        <v>5250</v>
      </c>
      <c r="J1478" s="4">
        <v>2100</v>
      </c>
      <c r="K1478" s="4">
        <v>735</v>
      </c>
      <c r="L1478" s="5">
        <v>0.35</v>
      </c>
      <c r="M1478" t="s">
        <v>129</v>
      </c>
      <c r="N1478" t="s">
        <v>362</v>
      </c>
    </row>
    <row r="1479" spans="1:14">
      <c r="A1479" t="s">
        <v>29</v>
      </c>
      <c r="B1479">
        <v>1185732</v>
      </c>
      <c r="C1479" s="2">
        <v>44359</v>
      </c>
      <c r="D1479" t="s">
        <v>137</v>
      </c>
      <c r="E1479" t="s">
        <v>168</v>
      </c>
      <c r="F1479" t="s">
        <v>204</v>
      </c>
      <c r="G1479" t="s">
        <v>148</v>
      </c>
      <c r="H1479" s="3">
        <v>0.4</v>
      </c>
      <c r="I1479">
        <v>5000</v>
      </c>
      <c r="J1479" s="4">
        <v>2000</v>
      </c>
      <c r="K1479" s="4">
        <v>700</v>
      </c>
      <c r="L1479" s="5">
        <v>0.35</v>
      </c>
      <c r="M1479" t="s">
        <v>129</v>
      </c>
      <c r="N1479" t="s">
        <v>362</v>
      </c>
    </row>
    <row r="1480" spans="1:14">
      <c r="A1480" t="s">
        <v>29</v>
      </c>
      <c r="B1480">
        <v>1185732</v>
      </c>
      <c r="C1480" s="2">
        <v>44359</v>
      </c>
      <c r="D1480" t="s">
        <v>137</v>
      </c>
      <c r="E1480" t="s">
        <v>168</v>
      </c>
      <c r="F1480" t="s">
        <v>204</v>
      </c>
      <c r="G1480" t="s">
        <v>147</v>
      </c>
      <c r="H1480" s="3">
        <v>0.5</v>
      </c>
      <c r="I1480">
        <v>5000</v>
      </c>
      <c r="J1480" s="4">
        <v>2500</v>
      </c>
      <c r="K1480" s="4">
        <v>750</v>
      </c>
      <c r="L1480" s="5">
        <v>0.3</v>
      </c>
      <c r="M1480" t="s">
        <v>129</v>
      </c>
      <c r="N1480" t="s">
        <v>362</v>
      </c>
    </row>
    <row r="1481" spans="1:14">
      <c r="A1481" t="s">
        <v>29</v>
      </c>
      <c r="B1481">
        <v>1185732</v>
      </c>
      <c r="C1481" s="2">
        <v>44359</v>
      </c>
      <c r="D1481" t="s">
        <v>137</v>
      </c>
      <c r="E1481" t="s">
        <v>168</v>
      </c>
      <c r="F1481" t="s">
        <v>204</v>
      </c>
      <c r="G1481" t="s">
        <v>144</v>
      </c>
      <c r="H1481" s="3">
        <v>0.55000000000000004</v>
      </c>
      <c r="I1481">
        <v>6500</v>
      </c>
      <c r="J1481" s="4">
        <v>3575.0000000000005</v>
      </c>
      <c r="K1481" s="4">
        <v>893.75000000000011</v>
      </c>
      <c r="L1481" s="5">
        <v>0.25</v>
      </c>
      <c r="M1481" t="s">
        <v>129</v>
      </c>
      <c r="N1481" t="s">
        <v>362</v>
      </c>
    </row>
    <row r="1482" spans="1:14">
      <c r="A1482" t="s">
        <v>29</v>
      </c>
      <c r="B1482">
        <v>1185732</v>
      </c>
      <c r="C1482" s="2">
        <v>44387</v>
      </c>
      <c r="D1482" t="s">
        <v>137</v>
      </c>
      <c r="E1482" t="s">
        <v>168</v>
      </c>
      <c r="F1482" t="s">
        <v>204</v>
      </c>
      <c r="G1482" t="s">
        <v>27</v>
      </c>
      <c r="H1482" s="3">
        <v>0.5</v>
      </c>
      <c r="I1482">
        <v>8750</v>
      </c>
      <c r="J1482" s="4">
        <v>4375</v>
      </c>
      <c r="K1482" s="4">
        <v>2187.5</v>
      </c>
      <c r="L1482" s="5">
        <v>0.5</v>
      </c>
      <c r="M1482" t="s">
        <v>130</v>
      </c>
      <c r="N1482" t="s">
        <v>363</v>
      </c>
    </row>
    <row r="1483" spans="1:14">
      <c r="A1483" t="s">
        <v>29</v>
      </c>
      <c r="B1483">
        <v>1185732</v>
      </c>
      <c r="C1483" s="2">
        <v>44387</v>
      </c>
      <c r="D1483" t="s">
        <v>137</v>
      </c>
      <c r="E1483" t="s">
        <v>168</v>
      </c>
      <c r="F1483" t="s">
        <v>204</v>
      </c>
      <c r="G1483" t="s">
        <v>145</v>
      </c>
      <c r="H1483" s="3">
        <v>0.45000000000000007</v>
      </c>
      <c r="I1483">
        <v>6250</v>
      </c>
      <c r="J1483" s="4">
        <v>2812.5000000000005</v>
      </c>
      <c r="K1483" s="4">
        <v>843.75000000000011</v>
      </c>
      <c r="L1483" s="5">
        <v>0.3</v>
      </c>
      <c r="M1483" t="s">
        <v>130</v>
      </c>
      <c r="N1483" t="s">
        <v>363</v>
      </c>
    </row>
    <row r="1484" spans="1:14">
      <c r="A1484" t="s">
        <v>29</v>
      </c>
      <c r="B1484">
        <v>1185732</v>
      </c>
      <c r="C1484" s="2">
        <v>44387</v>
      </c>
      <c r="D1484" t="s">
        <v>137</v>
      </c>
      <c r="E1484" t="s">
        <v>168</v>
      </c>
      <c r="F1484" t="s">
        <v>204</v>
      </c>
      <c r="G1484" t="s">
        <v>146</v>
      </c>
      <c r="H1484" s="3">
        <v>0.4</v>
      </c>
      <c r="I1484">
        <v>5500</v>
      </c>
      <c r="J1484" s="4">
        <v>2200</v>
      </c>
      <c r="K1484" s="4">
        <v>770</v>
      </c>
      <c r="L1484" s="5">
        <v>0.35</v>
      </c>
      <c r="M1484" t="s">
        <v>130</v>
      </c>
      <c r="N1484" t="s">
        <v>363</v>
      </c>
    </row>
    <row r="1485" spans="1:14">
      <c r="A1485" t="s">
        <v>29</v>
      </c>
      <c r="B1485">
        <v>1185732</v>
      </c>
      <c r="C1485" s="2">
        <v>44387</v>
      </c>
      <c r="D1485" t="s">
        <v>137</v>
      </c>
      <c r="E1485" t="s">
        <v>168</v>
      </c>
      <c r="F1485" t="s">
        <v>204</v>
      </c>
      <c r="G1485" t="s">
        <v>148</v>
      </c>
      <c r="H1485" s="3">
        <v>0.4</v>
      </c>
      <c r="I1485">
        <v>5000</v>
      </c>
      <c r="J1485" s="4">
        <v>2000</v>
      </c>
      <c r="K1485" s="4">
        <v>700</v>
      </c>
      <c r="L1485" s="5">
        <v>0.35</v>
      </c>
      <c r="M1485" t="s">
        <v>130</v>
      </c>
      <c r="N1485" t="s">
        <v>363</v>
      </c>
    </row>
    <row r="1486" spans="1:14">
      <c r="A1486" t="s">
        <v>29</v>
      </c>
      <c r="B1486">
        <v>1185732</v>
      </c>
      <c r="C1486" s="2">
        <v>44387</v>
      </c>
      <c r="D1486" t="s">
        <v>137</v>
      </c>
      <c r="E1486" t="s">
        <v>168</v>
      </c>
      <c r="F1486" t="s">
        <v>204</v>
      </c>
      <c r="G1486" t="s">
        <v>147</v>
      </c>
      <c r="H1486" s="3">
        <v>0.5</v>
      </c>
      <c r="I1486">
        <v>5250</v>
      </c>
      <c r="J1486" s="4">
        <v>2625</v>
      </c>
      <c r="K1486" s="4">
        <v>787.5</v>
      </c>
      <c r="L1486" s="5">
        <v>0.3</v>
      </c>
      <c r="M1486" t="s">
        <v>130</v>
      </c>
      <c r="N1486" t="s">
        <v>363</v>
      </c>
    </row>
    <row r="1487" spans="1:14">
      <c r="A1487" t="s">
        <v>29</v>
      </c>
      <c r="B1487">
        <v>1185732</v>
      </c>
      <c r="C1487" s="2">
        <v>44387</v>
      </c>
      <c r="D1487" t="s">
        <v>137</v>
      </c>
      <c r="E1487" t="s">
        <v>168</v>
      </c>
      <c r="F1487" t="s">
        <v>204</v>
      </c>
      <c r="G1487" t="s">
        <v>144</v>
      </c>
      <c r="H1487" s="3">
        <v>0.55000000000000004</v>
      </c>
      <c r="I1487">
        <v>7000</v>
      </c>
      <c r="J1487" s="4">
        <v>3850.0000000000005</v>
      </c>
      <c r="K1487" s="4">
        <v>962.50000000000011</v>
      </c>
      <c r="L1487" s="5">
        <v>0.25</v>
      </c>
      <c r="M1487" t="s">
        <v>130</v>
      </c>
      <c r="N1487" t="s">
        <v>363</v>
      </c>
    </row>
    <row r="1488" spans="1:14">
      <c r="A1488" t="s">
        <v>29</v>
      </c>
      <c r="B1488">
        <v>1185732</v>
      </c>
      <c r="C1488" s="2">
        <v>44419</v>
      </c>
      <c r="D1488" t="s">
        <v>137</v>
      </c>
      <c r="E1488" t="s">
        <v>168</v>
      </c>
      <c r="F1488" t="s">
        <v>204</v>
      </c>
      <c r="G1488" t="s">
        <v>27</v>
      </c>
      <c r="H1488" s="3">
        <v>0.5</v>
      </c>
      <c r="I1488">
        <v>8500</v>
      </c>
      <c r="J1488" s="4">
        <v>4250</v>
      </c>
      <c r="K1488" s="4">
        <v>2125</v>
      </c>
      <c r="L1488" s="5">
        <v>0.5</v>
      </c>
      <c r="M1488" t="s">
        <v>131</v>
      </c>
      <c r="N1488" t="s">
        <v>363</v>
      </c>
    </row>
    <row r="1489" spans="1:14">
      <c r="A1489" t="s">
        <v>29</v>
      </c>
      <c r="B1489">
        <v>1185732</v>
      </c>
      <c r="C1489" s="2">
        <v>44419</v>
      </c>
      <c r="D1489" t="s">
        <v>137</v>
      </c>
      <c r="E1489" t="s">
        <v>168</v>
      </c>
      <c r="F1489" t="s">
        <v>204</v>
      </c>
      <c r="G1489" t="s">
        <v>145</v>
      </c>
      <c r="H1489" s="3">
        <v>0.45000000000000007</v>
      </c>
      <c r="I1489">
        <v>6250</v>
      </c>
      <c r="J1489" s="4">
        <v>2812.5000000000005</v>
      </c>
      <c r="K1489" s="4">
        <v>843.75000000000011</v>
      </c>
      <c r="L1489" s="5">
        <v>0.3</v>
      </c>
      <c r="M1489" t="s">
        <v>131</v>
      </c>
      <c r="N1489" t="s">
        <v>363</v>
      </c>
    </row>
    <row r="1490" spans="1:14">
      <c r="A1490" t="s">
        <v>29</v>
      </c>
      <c r="B1490">
        <v>1185732</v>
      </c>
      <c r="C1490" s="2">
        <v>44419</v>
      </c>
      <c r="D1490" t="s">
        <v>137</v>
      </c>
      <c r="E1490" t="s">
        <v>168</v>
      </c>
      <c r="F1490" t="s">
        <v>204</v>
      </c>
      <c r="G1490" t="s">
        <v>146</v>
      </c>
      <c r="H1490" s="3">
        <v>0.4</v>
      </c>
      <c r="I1490">
        <v>5500</v>
      </c>
      <c r="J1490" s="4">
        <v>2200</v>
      </c>
      <c r="K1490" s="4">
        <v>770</v>
      </c>
      <c r="L1490" s="5">
        <v>0.35</v>
      </c>
      <c r="M1490" t="s">
        <v>131</v>
      </c>
      <c r="N1490" t="s">
        <v>363</v>
      </c>
    </row>
    <row r="1491" spans="1:14">
      <c r="A1491" t="s">
        <v>29</v>
      </c>
      <c r="B1491">
        <v>1185732</v>
      </c>
      <c r="C1491" s="2">
        <v>44419</v>
      </c>
      <c r="D1491" t="s">
        <v>137</v>
      </c>
      <c r="E1491" t="s">
        <v>168</v>
      </c>
      <c r="F1491" t="s">
        <v>204</v>
      </c>
      <c r="G1491" t="s">
        <v>148</v>
      </c>
      <c r="H1491" s="3">
        <v>0.4</v>
      </c>
      <c r="I1491">
        <v>5250</v>
      </c>
      <c r="J1491" s="4">
        <v>2100</v>
      </c>
      <c r="K1491" s="4">
        <v>735</v>
      </c>
      <c r="L1491" s="5">
        <v>0.35</v>
      </c>
      <c r="M1491" t="s">
        <v>131</v>
      </c>
      <c r="N1491" t="s">
        <v>363</v>
      </c>
    </row>
    <row r="1492" spans="1:14">
      <c r="A1492" t="s">
        <v>29</v>
      </c>
      <c r="B1492">
        <v>1185732</v>
      </c>
      <c r="C1492" s="2">
        <v>44419</v>
      </c>
      <c r="D1492" t="s">
        <v>137</v>
      </c>
      <c r="E1492" t="s">
        <v>168</v>
      </c>
      <c r="F1492" t="s">
        <v>204</v>
      </c>
      <c r="G1492" t="s">
        <v>147</v>
      </c>
      <c r="H1492" s="3">
        <v>0.5</v>
      </c>
      <c r="I1492">
        <v>5000</v>
      </c>
      <c r="J1492" s="4">
        <v>2500</v>
      </c>
      <c r="K1492" s="4">
        <v>750</v>
      </c>
      <c r="L1492" s="5">
        <v>0.3</v>
      </c>
      <c r="M1492" t="s">
        <v>131</v>
      </c>
      <c r="N1492" t="s">
        <v>363</v>
      </c>
    </row>
    <row r="1493" spans="1:14">
      <c r="A1493" t="s">
        <v>29</v>
      </c>
      <c r="B1493">
        <v>1185732</v>
      </c>
      <c r="C1493" s="2">
        <v>44419</v>
      </c>
      <c r="D1493" t="s">
        <v>137</v>
      </c>
      <c r="E1493" t="s">
        <v>168</v>
      </c>
      <c r="F1493" t="s">
        <v>204</v>
      </c>
      <c r="G1493" t="s">
        <v>144</v>
      </c>
      <c r="H1493" s="3">
        <v>0.55000000000000004</v>
      </c>
      <c r="I1493">
        <v>6750</v>
      </c>
      <c r="J1493" s="4">
        <v>3712.5000000000005</v>
      </c>
      <c r="K1493" s="4">
        <v>928.12500000000011</v>
      </c>
      <c r="L1493" s="5">
        <v>0.25</v>
      </c>
      <c r="M1493" t="s">
        <v>131</v>
      </c>
      <c r="N1493" t="s">
        <v>363</v>
      </c>
    </row>
    <row r="1494" spans="1:14">
      <c r="A1494" t="s">
        <v>29</v>
      </c>
      <c r="B1494">
        <v>1185732</v>
      </c>
      <c r="C1494" s="2">
        <v>44449</v>
      </c>
      <c r="D1494" t="s">
        <v>137</v>
      </c>
      <c r="E1494" t="s">
        <v>168</v>
      </c>
      <c r="F1494" t="s">
        <v>204</v>
      </c>
      <c r="G1494" t="s">
        <v>27</v>
      </c>
      <c r="H1494" s="3">
        <v>0.5</v>
      </c>
      <c r="I1494">
        <v>8000</v>
      </c>
      <c r="J1494" s="4">
        <v>4000</v>
      </c>
      <c r="K1494" s="4">
        <v>2000</v>
      </c>
      <c r="L1494" s="5">
        <v>0.5</v>
      </c>
      <c r="M1494" t="s">
        <v>132</v>
      </c>
      <c r="N1494" t="s">
        <v>363</v>
      </c>
    </row>
    <row r="1495" spans="1:14">
      <c r="A1495" t="s">
        <v>29</v>
      </c>
      <c r="B1495">
        <v>1185732</v>
      </c>
      <c r="C1495" s="2">
        <v>44449</v>
      </c>
      <c r="D1495" t="s">
        <v>137</v>
      </c>
      <c r="E1495" t="s">
        <v>168</v>
      </c>
      <c r="F1495" t="s">
        <v>204</v>
      </c>
      <c r="G1495" t="s">
        <v>145</v>
      </c>
      <c r="H1495" s="3">
        <v>0.45000000000000007</v>
      </c>
      <c r="I1495">
        <v>6000</v>
      </c>
      <c r="J1495" s="4">
        <v>2700.0000000000005</v>
      </c>
      <c r="K1495" s="4">
        <v>810.00000000000011</v>
      </c>
      <c r="L1495" s="5">
        <v>0.3</v>
      </c>
      <c r="M1495" t="s">
        <v>132</v>
      </c>
      <c r="N1495" t="s">
        <v>363</v>
      </c>
    </row>
    <row r="1496" spans="1:14">
      <c r="A1496" t="s">
        <v>29</v>
      </c>
      <c r="B1496">
        <v>1185732</v>
      </c>
      <c r="C1496" s="2">
        <v>44449</v>
      </c>
      <c r="D1496" t="s">
        <v>137</v>
      </c>
      <c r="E1496" t="s">
        <v>168</v>
      </c>
      <c r="F1496" t="s">
        <v>204</v>
      </c>
      <c r="G1496" t="s">
        <v>146</v>
      </c>
      <c r="H1496" s="3">
        <v>0.4</v>
      </c>
      <c r="I1496">
        <v>5250</v>
      </c>
      <c r="J1496" s="4">
        <v>2100</v>
      </c>
      <c r="K1496" s="4">
        <v>735</v>
      </c>
      <c r="L1496" s="5">
        <v>0.35</v>
      </c>
      <c r="M1496" t="s">
        <v>132</v>
      </c>
      <c r="N1496" t="s">
        <v>363</v>
      </c>
    </row>
    <row r="1497" spans="1:14">
      <c r="A1497" t="s">
        <v>29</v>
      </c>
      <c r="B1497">
        <v>1185732</v>
      </c>
      <c r="C1497" s="2">
        <v>44449</v>
      </c>
      <c r="D1497" t="s">
        <v>137</v>
      </c>
      <c r="E1497" t="s">
        <v>168</v>
      </c>
      <c r="F1497" t="s">
        <v>204</v>
      </c>
      <c r="G1497" t="s">
        <v>148</v>
      </c>
      <c r="H1497" s="3">
        <v>0.4</v>
      </c>
      <c r="I1497">
        <v>5000</v>
      </c>
      <c r="J1497" s="4">
        <v>2000</v>
      </c>
      <c r="K1497" s="4">
        <v>700</v>
      </c>
      <c r="L1497" s="5">
        <v>0.35</v>
      </c>
      <c r="M1497" t="s">
        <v>132</v>
      </c>
      <c r="N1497" t="s">
        <v>363</v>
      </c>
    </row>
    <row r="1498" spans="1:14">
      <c r="A1498" t="s">
        <v>29</v>
      </c>
      <c r="B1498">
        <v>1185732</v>
      </c>
      <c r="C1498" s="2">
        <v>44449</v>
      </c>
      <c r="D1498" t="s">
        <v>137</v>
      </c>
      <c r="E1498" t="s">
        <v>168</v>
      </c>
      <c r="F1498" t="s">
        <v>204</v>
      </c>
      <c r="G1498" t="s">
        <v>147</v>
      </c>
      <c r="H1498" s="3">
        <v>0.5</v>
      </c>
      <c r="I1498">
        <v>5000</v>
      </c>
      <c r="J1498" s="4">
        <v>2500</v>
      </c>
      <c r="K1498" s="4">
        <v>750</v>
      </c>
      <c r="L1498" s="5">
        <v>0.3</v>
      </c>
      <c r="M1498" t="s">
        <v>132</v>
      </c>
      <c r="N1498" t="s">
        <v>363</v>
      </c>
    </row>
    <row r="1499" spans="1:14">
      <c r="A1499" t="s">
        <v>29</v>
      </c>
      <c r="B1499">
        <v>1185732</v>
      </c>
      <c r="C1499" s="2">
        <v>44449</v>
      </c>
      <c r="D1499" t="s">
        <v>137</v>
      </c>
      <c r="E1499" t="s">
        <v>168</v>
      </c>
      <c r="F1499" t="s">
        <v>204</v>
      </c>
      <c r="G1499" t="s">
        <v>144</v>
      </c>
      <c r="H1499" s="3">
        <v>0.55000000000000004</v>
      </c>
      <c r="I1499">
        <v>6000</v>
      </c>
      <c r="J1499" s="4">
        <v>3300.0000000000005</v>
      </c>
      <c r="K1499" s="4">
        <v>825.00000000000011</v>
      </c>
      <c r="L1499" s="5">
        <v>0.25</v>
      </c>
      <c r="M1499" t="s">
        <v>132</v>
      </c>
      <c r="N1499" t="s">
        <v>363</v>
      </c>
    </row>
    <row r="1500" spans="1:14">
      <c r="A1500" t="s">
        <v>29</v>
      </c>
      <c r="B1500">
        <v>1185732</v>
      </c>
      <c r="C1500" s="2">
        <v>44481</v>
      </c>
      <c r="D1500" t="s">
        <v>137</v>
      </c>
      <c r="E1500" t="s">
        <v>168</v>
      </c>
      <c r="F1500" t="s">
        <v>204</v>
      </c>
      <c r="G1500" t="s">
        <v>27</v>
      </c>
      <c r="H1500" s="3">
        <v>0.55000000000000004</v>
      </c>
      <c r="I1500">
        <v>7750</v>
      </c>
      <c r="J1500" s="4">
        <v>4262.5</v>
      </c>
      <c r="K1500" s="4">
        <v>2131.25</v>
      </c>
      <c r="L1500" s="5">
        <v>0.5</v>
      </c>
      <c r="M1500" t="s">
        <v>133</v>
      </c>
      <c r="N1500" t="s">
        <v>364</v>
      </c>
    </row>
    <row r="1501" spans="1:14">
      <c r="A1501" t="s">
        <v>29</v>
      </c>
      <c r="B1501">
        <v>1185732</v>
      </c>
      <c r="C1501" s="2">
        <v>44481</v>
      </c>
      <c r="D1501" t="s">
        <v>137</v>
      </c>
      <c r="E1501" t="s">
        <v>168</v>
      </c>
      <c r="F1501" t="s">
        <v>204</v>
      </c>
      <c r="G1501" t="s">
        <v>145</v>
      </c>
      <c r="H1501" s="3">
        <v>0.45000000000000007</v>
      </c>
      <c r="I1501">
        <v>6000</v>
      </c>
      <c r="J1501" s="4">
        <v>2700.0000000000005</v>
      </c>
      <c r="K1501" s="4">
        <v>810.00000000000011</v>
      </c>
      <c r="L1501" s="5">
        <v>0.3</v>
      </c>
      <c r="M1501" t="s">
        <v>133</v>
      </c>
      <c r="N1501" t="s">
        <v>364</v>
      </c>
    </row>
    <row r="1502" spans="1:14">
      <c r="A1502" t="s">
        <v>29</v>
      </c>
      <c r="B1502">
        <v>1185732</v>
      </c>
      <c r="C1502" s="2">
        <v>44481</v>
      </c>
      <c r="D1502" t="s">
        <v>137</v>
      </c>
      <c r="E1502" t="s">
        <v>168</v>
      </c>
      <c r="F1502" t="s">
        <v>204</v>
      </c>
      <c r="G1502" t="s">
        <v>146</v>
      </c>
      <c r="H1502" s="3">
        <v>0.45000000000000007</v>
      </c>
      <c r="I1502">
        <v>5000</v>
      </c>
      <c r="J1502" s="4">
        <v>2250.0000000000005</v>
      </c>
      <c r="K1502" s="4">
        <v>787.50000000000011</v>
      </c>
      <c r="L1502" s="5">
        <v>0.35</v>
      </c>
      <c r="M1502" t="s">
        <v>133</v>
      </c>
      <c r="N1502" t="s">
        <v>364</v>
      </c>
    </row>
    <row r="1503" spans="1:14">
      <c r="A1503" t="s">
        <v>29</v>
      </c>
      <c r="B1503">
        <v>1185732</v>
      </c>
      <c r="C1503" s="2">
        <v>44481</v>
      </c>
      <c r="D1503" t="s">
        <v>137</v>
      </c>
      <c r="E1503" t="s">
        <v>168</v>
      </c>
      <c r="F1503" t="s">
        <v>204</v>
      </c>
      <c r="G1503" t="s">
        <v>148</v>
      </c>
      <c r="H1503" s="3">
        <v>0.45000000000000007</v>
      </c>
      <c r="I1503">
        <v>4750</v>
      </c>
      <c r="J1503" s="4">
        <v>2137.5000000000005</v>
      </c>
      <c r="K1503" s="4">
        <v>748.12500000000011</v>
      </c>
      <c r="L1503" s="5">
        <v>0.35</v>
      </c>
      <c r="M1503" t="s">
        <v>133</v>
      </c>
      <c r="N1503" t="s">
        <v>364</v>
      </c>
    </row>
    <row r="1504" spans="1:14">
      <c r="A1504" t="s">
        <v>29</v>
      </c>
      <c r="B1504">
        <v>1185732</v>
      </c>
      <c r="C1504" s="2">
        <v>44481</v>
      </c>
      <c r="D1504" t="s">
        <v>137</v>
      </c>
      <c r="E1504" t="s">
        <v>168</v>
      </c>
      <c r="F1504" t="s">
        <v>204</v>
      </c>
      <c r="G1504" t="s">
        <v>147</v>
      </c>
      <c r="H1504" s="3">
        <v>0.55000000000000004</v>
      </c>
      <c r="I1504">
        <v>4750</v>
      </c>
      <c r="J1504" s="4">
        <v>2612.5</v>
      </c>
      <c r="K1504" s="4">
        <v>783.75</v>
      </c>
      <c r="L1504" s="5">
        <v>0.3</v>
      </c>
      <c r="M1504" t="s">
        <v>133</v>
      </c>
      <c r="N1504" t="s">
        <v>364</v>
      </c>
    </row>
    <row r="1505" spans="1:14">
      <c r="A1505" t="s">
        <v>29</v>
      </c>
      <c r="B1505">
        <v>1185732</v>
      </c>
      <c r="C1505" s="2">
        <v>44481</v>
      </c>
      <c r="D1505" t="s">
        <v>137</v>
      </c>
      <c r="E1505" t="s">
        <v>168</v>
      </c>
      <c r="F1505" t="s">
        <v>204</v>
      </c>
      <c r="G1505" t="s">
        <v>144</v>
      </c>
      <c r="H1505" s="3">
        <v>0.6</v>
      </c>
      <c r="I1505">
        <v>6000</v>
      </c>
      <c r="J1505" s="4">
        <v>3600</v>
      </c>
      <c r="K1505" s="4">
        <v>900</v>
      </c>
      <c r="L1505" s="5">
        <v>0.25</v>
      </c>
      <c r="M1505" t="s">
        <v>133</v>
      </c>
      <c r="N1505" t="s">
        <v>364</v>
      </c>
    </row>
    <row r="1506" spans="1:14">
      <c r="A1506" t="s">
        <v>29</v>
      </c>
      <c r="B1506">
        <v>1185732</v>
      </c>
      <c r="C1506" s="2">
        <v>44511</v>
      </c>
      <c r="D1506" t="s">
        <v>137</v>
      </c>
      <c r="E1506" t="s">
        <v>168</v>
      </c>
      <c r="F1506" t="s">
        <v>204</v>
      </c>
      <c r="G1506" t="s">
        <v>27</v>
      </c>
      <c r="H1506" s="3">
        <v>0.55000000000000004</v>
      </c>
      <c r="I1506">
        <v>7500</v>
      </c>
      <c r="J1506" s="4">
        <v>4125</v>
      </c>
      <c r="K1506" s="4">
        <v>2062.5</v>
      </c>
      <c r="L1506" s="5">
        <v>0.5</v>
      </c>
      <c r="M1506" t="s">
        <v>134</v>
      </c>
      <c r="N1506" t="s">
        <v>364</v>
      </c>
    </row>
    <row r="1507" spans="1:14">
      <c r="A1507" t="s">
        <v>29</v>
      </c>
      <c r="B1507">
        <v>1185732</v>
      </c>
      <c r="C1507" s="2">
        <v>44511</v>
      </c>
      <c r="D1507" t="s">
        <v>137</v>
      </c>
      <c r="E1507" t="s">
        <v>168</v>
      </c>
      <c r="F1507" t="s">
        <v>204</v>
      </c>
      <c r="G1507" t="s">
        <v>145</v>
      </c>
      <c r="H1507" s="3">
        <v>0.45000000000000007</v>
      </c>
      <c r="I1507">
        <v>5750</v>
      </c>
      <c r="J1507" s="4">
        <v>2587.5000000000005</v>
      </c>
      <c r="K1507" s="4">
        <v>776.25000000000011</v>
      </c>
      <c r="L1507" s="5">
        <v>0.3</v>
      </c>
      <c r="M1507" t="s">
        <v>134</v>
      </c>
      <c r="N1507" t="s">
        <v>364</v>
      </c>
    </row>
    <row r="1508" spans="1:14">
      <c r="A1508" t="s">
        <v>29</v>
      </c>
      <c r="B1508">
        <v>1185732</v>
      </c>
      <c r="C1508" s="2">
        <v>44511</v>
      </c>
      <c r="D1508" t="s">
        <v>137</v>
      </c>
      <c r="E1508" t="s">
        <v>168</v>
      </c>
      <c r="F1508" t="s">
        <v>204</v>
      </c>
      <c r="G1508" t="s">
        <v>146</v>
      </c>
      <c r="H1508" s="3">
        <v>0.45000000000000007</v>
      </c>
      <c r="I1508">
        <v>5200</v>
      </c>
      <c r="J1508" s="4">
        <v>2340.0000000000005</v>
      </c>
      <c r="K1508" s="4">
        <v>819.00000000000011</v>
      </c>
      <c r="L1508" s="5">
        <v>0.35</v>
      </c>
      <c r="M1508" t="s">
        <v>134</v>
      </c>
      <c r="N1508" t="s">
        <v>364</v>
      </c>
    </row>
    <row r="1509" spans="1:14">
      <c r="A1509" t="s">
        <v>29</v>
      </c>
      <c r="B1509">
        <v>1185732</v>
      </c>
      <c r="C1509" s="2">
        <v>44511</v>
      </c>
      <c r="D1509" t="s">
        <v>137</v>
      </c>
      <c r="E1509" t="s">
        <v>168</v>
      </c>
      <c r="F1509" t="s">
        <v>204</v>
      </c>
      <c r="G1509" t="s">
        <v>148</v>
      </c>
      <c r="H1509" s="3">
        <v>0.45000000000000007</v>
      </c>
      <c r="I1509">
        <v>5000</v>
      </c>
      <c r="J1509" s="4">
        <v>2250.0000000000005</v>
      </c>
      <c r="K1509" s="4">
        <v>787.50000000000011</v>
      </c>
      <c r="L1509" s="5">
        <v>0.35</v>
      </c>
      <c r="M1509" t="s">
        <v>134</v>
      </c>
      <c r="N1509" t="s">
        <v>364</v>
      </c>
    </row>
    <row r="1510" spans="1:14">
      <c r="A1510" t="s">
        <v>29</v>
      </c>
      <c r="B1510">
        <v>1185732</v>
      </c>
      <c r="C1510" s="2">
        <v>44511</v>
      </c>
      <c r="D1510" t="s">
        <v>137</v>
      </c>
      <c r="E1510" t="s">
        <v>168</v>
      </c>
      <c r="F1510" t="s">
        <v>204</v>
      </c>
      <c r="G1510" t="s">
        <v>147</v>
      </c>
      <c r="H1510" s="3">
        <v>0.55000000000000004</v>
      </c>
      <c r="I1510">
        <v>4750</v>
      </c>
      <c r="J1510" s="4">
        <v>2612.5</v>
      </c>
      <c r="K1510" s="4">
        <v>783.75</v>
      </c>
      <c r="L1510" s="5">
        <v>0.3</v>
      </c>
      <c r="M1510" t="s">
        <v>134</v>
      </c>
      <c r="N1510" t="s">
        <v>364</v>
      </c>
    </row>
    <row r="1511" spans="1:14">
      <c r="A1511" t="s">
        <v>29</v>
      </c>
      <c r="B1511">
        <v>1185732</v>
      </c>
      <c r="C1511" s="2">
        <v>44511</v>
      </c>
      <c r="D1511" t="s">
        <v>137</v>
      </c>
      <c r="E1511" t="s">
        <v>168</v>
      </c>
      <c r="F1511" t="s">
        <v>204</v>
      </c>
      <c r="G1511" t="s">
        <v>144</v>
      </c>
      <c r="H1511" s="3">
        <v>0.6</v>
      </c>
      <c r="I1511">
        <v>5750</v>
      </c>
      <c r="J1511" s="4">
        <v>3450</v>
      </c>
      <c r="K1511" s="4">
        <v>862.5</v>
      </c>
      <c r="L1511" s="5">
        <v>0.25</v>
      </c>
      <c r="M1511" t="s">
        <v>134</v>
      </c>
      <c r="N1511" t="s">
        <v>364</v>
      </c>
    </row>
    <row r="1512" spans="1:14">
      <c r="A1512" t="s">
        <v>29</v>
      </c>
      <c r="B1512">
        <v>1185732</v>
      </c>
      <c r="C1512" s="2">
        <v>44540</v>
      </c>
      <c r="D1512" t="s">
        <v>137</v>
      </c>
      <c r="E1512" t="s">
        <v>168</v>
      </c>
      <c r="F1512" t="s">
        <v>204</v>
      </c>
      <c r="G1512" t="s">
        <v>27</v>
      </c>
      <c r="H1512" s="3">
        <v>0.55000000000000004</v>
      </c>
      <c r="I1512">
        <v>8000</v>
      </c>
      <c r="J1512" s="4">
        <v>4400</v>
      </c>
      <c r="K1512" s="4">
        <v>2200</v>
      </c>
      <c r="L1512" s="5">
        <v>0.5</v>
      </c>
      <c r="M1512" t="s">
        <v>23</v>
      </c>
      <c r="N1512" t="s">
        <v>364</v>
      </c>
    </row>
    <row r="1513" spans="1:14">
      <c r="A1513" t="s">
        <v>29</v>
      </c>
      <c r="B1513">
        <v>1185732</v>
      </c>
      <c r="C1513" s="2">
        <v>44540</v>
      </c>
      <c r="D1513" t="s">
        <v>137</v>
      </c>
      <c r="E1513" t="s">
        <v>168</v>
      </c>
      <c r="F1513" t="s">
        <v>204</v>
      </c>
      <c r="G1513" t="s">
        <v>145</v>
      </c>
      <c r="H1513" s="3">
        <v>0.45000000000000007</v>
      </c>
      <c r="I1513">
        <v>6000</v>
      </c>
      <c r="J1513" s="4">
        <v>2700.0000000000005</v>
      </c>
      <c r="K1513" s="4">
        <v>810.00000000000011</v>
      </c>
      <c r="L1513" s="5">
        <v>0.3</v>
      </c>
      <c r="M1513" t="s">
        <v>23</v>
      </c>
      <c r="N1513" t="s">
        <v>364</v>
      </c>
    </row>
    <row r="1514" spans="1:14">
      <c r="A1514" t="s">
        <v>29</v>
      </c>
      <c r="B1514">
        <v>1185732</v>
      </c>
      <c r="C1514" s="2">
        <v>44540</v>
      </c>
      <c r="D1514" t="s">
        <v>137</v>
      </c>
      <c r="E1514" t="s">
        <v>168</v>
      </c>
      <c r="F1514" t="s">
        <v>204</v>
      </c>
      <c r="G1514" t="s">
        <v>146</v>
      </c>
      <c r="H1514" s="3">
        <v>0.45000000000000007</v>
      </c>
      <c r="I1514">
        <v>5500</v>
      </c>
      <c r="J1514" s="4">
        <v>2475.0000000000005</v>
      </c>
      <c r="K1514" s="4">
        <v>866.25000000000011</v>
      </c>
      <c r="L1514" s="5">
        <v>0.35</v>
      </c>
      <c r="M1514" t="s">
        <v>23</v>
      </c>
      <c r="N1514" t="s">
        <v>364</v>
      </c>
    </row>
    <row r="1515" spans="1:14">
      <c r="A1515" t="s">
        <v>29</v>
      </c>
      <c r="B1515">
        <v>1185732</v>
      </c>
      <c r="C1515" s="2">
        <v>44540</v>
      </c>
      <c r="D1515" t="s">
        <v>137</v>
      </c>
      <c r="E1515" t="s">
        <v>168</v>
      </c>
      <c r="F1515" t="s">
        <v>204</v>
      </c>
      <c r="G1515" t="s">
        <v>148</v>
      </c>
      <c r="H1515" s="3">
        <v>0.45000000000000007</v>
      </c>
      <c r="I1515">
        <v>5000</v>
      </c>
      <c r="J1515" s="4">
        <v>2250.0000000000005</v>
      </c>
      <c r="K1515" s="4">
        <v>787.50000000000011</v>
      </c>
      <c r="L1515" s="5">
        <v>0.35</v>
      </c>
      <c r="M1515" t="s">
        <v>23</v>
      </c>
      <c r="N1515" t="s">
        <v>364</v>
      </c>
    </row>
    <row r="1516" spans="1:14">
      <c r="A1516" t="s">
        <v>29</v>
      </c>
      <c r="B1516">
        <v>1185732</v>
      </c>
      <c r="C1516" s="2">
        <v>44540</v>
      </c>
      <c r="D1516" t="s">
        <v>137</v>
      </c>
      <c r="E1516" t="s">
        <v>168</v>
      </c>
      <c r="F1516" t="s">
        <v>204</v>
      </c>
      <c r="G1516" t="s">
        <v>147</v>
      </c>
      <c r="H1516" s="3">
        <v>0.55000000000000004</v>
      </c>
      <c r="I1516">
        <v>5000</v>
      </c>
      <c r="J1516" s="4">
        <v>2750</v>
      </c>
      <c r="K1516" s="4">
        <v>825</v>
      </c>
      <c r="L1516" s="5">
        <v>0.3</v>
      </c>
      <c r="M1516" t="s">
        <v>23</v>
      </c>
      <c r="N1516" t="s">
        <v>364</v>
      </c>
    </row>
    <row r="1517" spans="1:14">
      <c r="A1517" t="s">
        <v>29</v>
      </c>
      <c r="B1517">
        <v>1185732</v>
      </c>
      <c r="C1517" s="2">
        <v>44540</v>
      </c>
      <c r="D1517" t="s">
        <v>137</v>
      </c>
      <c r="E1517" t="s">
        <v>168</v>
      </c>
      <c r="F1517" t="s">
        <v>204</v>
      </c>
      <c r="G1517" t="s">
        <v>144</v>
      </c>
      <c r="H1517" s="3">
        <v>0.6</v>
      </c>
      <c r="I1517">
        <v>6000</v>
      </c>
      <c r="J1517" s="4">
        <v>3600</v>
      </c>
      <c r="K1517" s="4">
        <v>900</v>
      </c>
      <c r="L1517" s="5">
        <v>0.25</v>
      </c>
      <c r="M1517" t="s">
        <v>23</v>
      </c>
      <c r="N1517" t="s">
        <v>364</v>
      </c>
    </row>
    <row r="1518" spans="1:14">
      <c r="A1518" t="s">
        <v>151</v>
      </c>
      <c r="B1518">
        <v>1128299</v>
      </c>
      <c r="C1518" s="2">
        <v>44220</v>
      </c>
      <c r="D1518" t="s">
        <v>28</v>
      </c>
      <c r="E1518" t="s">
        <v>189</v>
      </c>
      <c r="F1518" t="s">
        <v>196</v>
      </c>
      <c r="G1518" t="s">
        <v>27</v>
      </c>
      <c r="H1518" s="3">
        <v>0.30000000000000004</v>
      </c>
      <c r="I1518">
        <v>3500</v>
      </c>
      <c r="J1518" s="4">
        <v>1050.0000000000002</v>
      </c>
      <c r="K1518" s="4">
        <v>367.50000000000006</v>
      </c>
      <c r="L1518" s="5">
        <v>0.35</v>
      </c>
      <c r="M1518" t="s">
        <v>125</v>
      </c>
      <c r="N1518" t="s">
        <v>361</v>
      </c>
    </row>
    <row r="1519" spans="1:14">
      <c r="A1519" t="s">
        <v>151</v>
      </c>
      <c r="B1519">
        <v>1128299</v>
      </c>
      <c r="C1519" s="2">
        <v>44220</v>
      </c>
      <c r="D1519" t="s">
        <v>28</v>
      </c>
      <c r="E1519" t="s">
        <v>189</v>
      </c>
      <c r="F1519" t="s">
        <v>196</v>
      </c>
      <c r="G1519" t="s">
        <v>145</v>
      </c>
      <c r="H1519" s="3">
        <v>0.4</v>
      </c>
      <c r="I1519">
        <v>3500</v>
      </c>
      <c r="J1519" s="4">
        <v>1400</v>
      </c>
      <c r="K1519" s="4">
        <v>489.99999999999994</v>
      </c>
      <c r="L1519" s="5">
        <v>0.35</v>
      </c>
      <c r="M1519" t="s">
        <v>125</v>
      </c>
      <c r="N1519" t="s">
        <v>361</v>
      </c>
    </row>
    <row r="1520" spans="1:14">
      <c r="A1520" t="s">
        <v>151</v>
      </c>
      <c r="B1520">
        <v>1128299</v>
      </c>
      <c r="C1520" s="2">
        <v>44220</v>
      </c>
      <c r="D1520" t="s">
        <v>28</v>
      </c>
      <c r="E1520" t="s">
        <v>189</v>
      </c>
      <c r="F1520" t="s">
        <v>196</v>
      </c>
      <c r="G1520" t="s">
        <v>146</v>
      </c>
      <c r="H1520" s="3">
        <v>0.4</v>
      </c>
      <c r="I1520">
        <v>3500</v>
      </c>
      <c r="J1520" s="4">
        <v>1400</v>
      </c>
      <c r="K1520" s="4">
        <v>489.99999999999994</v>
      </c>
      <c r="L1520" s="5">
        <v>0.35</v>
      </c>
      <c r="M1520" t="s">
        <v>125</v>
      </c>
      <c r="N1520" t="s">
        <v>361</v>
      </c>
    </row>
    <row r="1521" spans="1:14">
      <c r="A1521" t="s">
        <v>151</v>
      </c>
      <c r="B1521">
        <v>1128299</v>
      </c>
      <c r="C1521" s="2">
        <v>44220</v>
      </c>
      <c r="D1521" t="s">
        <v>28</v>
      </c>
      <c r="E1521" t="s">
        <v>189</v>
      </c>
      <c r="F1521" t="s">
        <v>196</v>
      </c>
      <c r="G1521" t="s">
        <v>148</v>
      </c>
      <c r="H1521" s="3">
        <v>0.4</v>
      </c>
      <c r="I1521">
        <v>2000</v>
      </c>
      <c r="J1521" s="4">
        <v>800</v>
      </c>
      <c r="K1521" s="4">
        <v>280</v>
      </c>
      <c r="L1521" s="5">
        <v>0.35</v>
      </c>
      <c r="M1521" t="s">
        <v>125</v>
      </c>
      <c r="N1521" t="s">
        <v>361</v>
      </c>
    </row>
    <row r="1522" spans="1:14">
      <c r="A1522" t="s">
        <v>151</v>
      </c>
      <c r="B1522">
        <v>1128299</v>
      </c>
      <c r="C1522" s="2">
        <v>44220</v>
      </c>
      <c r="D1522" t="s">
        <v>28</v>
      </c>
      <c r="E1522" t="s">
        <v>189</v>
      </c>
      <c r="F1522" t="s">
        <v>196</v>
      </c>
      <c r="G1522" t="s">
        <v>147</v>
      </c>
      <c r="H1522" s="3">
        <v>0.45000000000000007</v>
      </c>
      <c r="I1522">
        <v>1500</v>
      </c>
      <c r="J1522" s="4">
        <v>675.00000000000011</v>
      </c>
      <c r="K1522" s="4">
        <v>270.00000000000006</v>
      </c>
      <c r="L1522" s="5">
        <v>0.4</v>
      </c>
      <c r="M1522" t="s">
        <v>125</v>
      </c>
      <c r="N1522" t="s">
        <v>361</v>
      </c>
    </row>
    <row r="1523" spans="1:14">
      <c r="A1523" t="s">
        <v>151</v>
      </c>
      <c r="B1523">
        <v>1128299</v>
      </c>
      <c r="C1523" s="2">
        <v>44220</v>
      </c>
      <c r="D1523" t="s">
        <v>28</v>
      </c>
      <c r="E1523" t="s">
        <v>189</v>
      </c>
      <c r="F1523" t="s">
        <v>196</v>
      </c>
      <c r="G1523" t="s">
        <v>144</v>
      </c>
      <c r="H1523" s="3">
        <v>0.4</v>
      </c>
      <c r="I1523">
        <v>4000</v>
      </c>
      <c r="J1523" s="4">
        <v>1600</v>
      </c>
      <c r="K1523" s="4">
        <v>480</v>
      </c>
      <c r="L1523" s="5">
        <v>0.3</v>
      </c>
      <c r="M1523" t="s">
        <v>125</v>
      </c>
      <c r="N1523" t="s">
        <v>361</v>
      </c>
    </row>
    <row r="1524" spans="1:14">
      <c r="A1524" t="s">
        <v>151</v>
      </c>
      <c r="B1524">
        <v>1128299</v>
      </c>
      <c r="C1524" s="2">
        <v>44251</v>
      </c>
      <c r="D1524" t="s">
        <v>28</v>
      </c>
      <c r="E1524" t="s">
        <v>189</v>
      </c>
      <c r="F1524" t="s">
        <v>196</v>
      </c>
      <c r="G1524" t="s">
        <v>27</v>
      </c>
      <c r="H1524" s="3">
        <v>0.30000000000000004</v>
      </c>
      <c r="I1524">
        <v>4500</v>
      </c>
      <c r="J1524" s="4">
        <v>1350.0000000000002</v>
      </c>
      <c r="K1524" s="4">
        <v>472.50000000000006</v>
      </c>
      <c r="L1524" s="5">
        <v>0.35</v>
      </c>
      <c r="M1524" t="s">
        <v>126</v>
      </c>
      <c r="N1524" t="s">
        <v>361</v>
      </c>
    </row>
    <row r="1525" spans="1:14">
      <c r="A1525" t="s">
        <v>151</v>
      </c>
      <c r="B1525">
        <v>1128299</v>
      </c>
      <c r="C1525" s="2">
        <v>44251</v>
      </c>
      <c r="D1525" t="s">
        <v>28</v>
      </c>
      <c r="E1525" t="s">
        <v>189</v>
      </c>
      <c r="F1525" t="s">
        <v>196</v>
      </c>
      <c r="G1525" t="s">
        <v>145</v>
      </c>
      <c r="H1525" s="3">
        <v>0.4</v>
      </c>
      <c r="I1525">
        <v>3500</v>
      </c>
      <c r="J1525" s="4">
        <v>1400</v>
      </c>
      <c r="K1525" s="4">
        <v>489.99999999999994</v>
      </c>
      <c r="L1525" s="5">
        <v>0.35</v>
      </c>
      <c r="M1525" t="s">
        <v>126</v>
      </c>
      <c r="N1525" t="s">
        <v>361</v>
      </c>
    </row>
    <row r="1526" spans="1:14">
      <c r="A1526" t="s">
        <v>151</v>
      </c>
      <c r="B1526">
        <v>1128299</v>
      </c>
      <c r="C1526" s="2">
        <v>44251</v>
      </c>
      <c r="D1526" t="s">
        <v>28</v>
      </c>
      <c r="E1526" t="s">
        <v>189</v>
      </c>
      <c r="F1526" t="s">
        <v>196</v>
      </c>
      <c r="G1526" t="s">
        <v>146</v>
      </c>
      <c r="H1526" s="3">
        <v>0.4</v>
      </c>
      <c r="I1526">
        <v>3500</v>
      </c>
      <c r="J1526" s="4">
        <v>1400</v>
      </c>
      <c r="K1526" s="4">
        <v>489.99999999999994</v>
      </c>
      <c r="L1526" s="5">
        <v>0.35</v>
      </c>
      <c r="M1526" t="s">
        <v>126</v>
      </c>
      <c r="N1526" t="s">
        <v>361</v>
      </c>
    </row>
    <row r="1527" spans="1:14">
      <c r="A1527" t="s">
        <v>151</v>
      </c>
      <c r="B1527">
        <v>1128299</v>
      </c>
      <c r="C1527" s="2">
        <v>44251</v>
      </c>
      <c r="D1527" t="s">
        <v>28</v>
      </c>
      <c r="E1527" t="s">
        <v>189</v>
      </c>
      <c r="F1527" t="s">
        <v>196</v>
      </c>
      <c r="G1527" t="s">
        <v>148</v>
      </c>
      <c r="H1527" s="3">
        <v>0.4</v>
      </c>
      <c r="I1527">
        <v>2000</v>
      </c>
      <c r="J1527" s="4">
        <v>800</v>
      </c>
      <c r="K1527" s="4">
        <v>280</v>
      </c>
      <c r="L1527" s="5">
        <v>0.35</v>
      </c>
      <c r="M1527" t="s">
        <v>126</v>
      </c>
      <c r="N1527" t="s">
        <v>361</v>
      </c>
    </row>
    <row r="1528" spans="1:14">
      <c r="A1528" t="s">
        <v>151</v>
      </c>
      <c r="B1528">
        <v>1128299</v>
      </c>
      <c r="C1528" s="2">
        <v>44251</v>
      </c>
      <c r="D1528" t="s">
        <v>28</v>
      </c>
      <c r="E1528" t="s">
        <v>189</v>
      </c>
      <c r="F1528" t="s">
        <v>196</v>
      </c>
      <c r="G1528" t="s">
        <v>147</v>
      </c>
      <c r="H1528" s="3">
        <v>0.45000000000000007</v>
      </c>
      <c r="I1528">
        <v>1250</v>
      </c>
      <c r="J1528" s="4">
        <v>562.50000000000011</v>
      </c>
      <c r="K1528" s="4">
        <v>225.00000000000006</v>
      </c>
      <c r="L1528" s="5">
        <v>0.4</v>
      </c>
      <c r="M1528" t="s">
        <v>126</v>
      </c>
      <c r="N1528" t="s">
        <v>361</v>
      </c>
    </row>
    <row r="1529" spans="1:14">
      <c r="A1529" t="s">
        <v>151</v>
      </c>
      <c r="B1529">
        <v>1128299</v>
      </c>
      <c r="C1529" s="2">
        <v>44251</v>
      </c>
      <c r="D1529" t="s">
        <v>28</v>
      </c>
      <c r="E1529" t="s">
        <v>189</v>
      </c>
      <c r="F1529" t="s">
        <v>196</v>
      </c>
      <c r="G1529" t="s">
        <v>144</v>
      </c>
      <c r="H1529" s="3">
        <v>0.4</v>
      </c>
      <c r="I1529">
        <v>3250</v>
      </c>
      <c r="J1529" s="4">
        <v>1300</v>
      </c>
      <c r="K1529" s="4">
        <v>390</v>
      </c>
      <c r="L1529" s="5">
        <v>0.3</v>
      </c>
      <c r="M1529" t="s">
        <v>126</v>
      </c>
      <c r="N1529" t="s">
        <v>361</v>
      </c>
    </row>
    <row r="1530" spans="1:14">
      <c r="A1530" t="s">
        <v>151</v>
      </c>
      <c r="B1530">
        <v>1128299</v>
      </c>
      <c r="C1530" s="2">
        <v>44278</v>
      </c>
      <c r="D1530" t="s">
        <v>28</v>
      </c>
      <c r="E1530" t="s">
        <v>189</v>
      </c>
      <c r="F1530" t="s">
        <v>196</v>
      </c>
      <c r="G1530" t="s">
        <v>27</v>
      </c>
      <c r="H1530" s="3">
        <v>0.4</v>
      </c>
      <c r="I1530">
        <v>4750</v>
      </c>
      <c r="J1530" s="4">
        <v>1900</v>
      </c>
      <c r="K1530" s="4">
        <v>665</v>
      </c>
      <c r="L1530" s="5">
        <v>0.35</v>
      </c>
      <c r="M1530" t="s">
        <v>24</v>
      </c>
      <c r="N1530" t="s">
        <v>361</v>
      </c>
    </row>
    <row r="1531" spans="1:14">
      <c r="A1531" t="s">
        <v>151</v>
      </c>
      <c r="B1531">
        <v>1128299</v>
      </c>
      <c r="C1531" s="2">
        <v>44278</v>
      </c>
      <c r="D1531" t="s">
        <v>28</v>
      </c>
      <c r="E1531" t="s">
        <v>189</v>
      </c>
      <c r="F1531" t="s">
        <v>196</v>
      </c>
      <c r="G1531" t="s">
        <v>145</v>
      </c>
      <c r="H1531" s="3">
        <v>0.5</v>
      </c>
      <c r="I1531">
        <v>3250</v>
      </c>
      <c r="J1531" s="4">
        <v>1625</v>
      </c>
      <c r="K1531" s="4">
        <v>568.75</v>
      </c>
      <c r="L1531" s="5">
        <v>0.35</v>
      </c>
      <c r="M1531" t="s">
        <v>24</v>
      </c>
      <c r="N1531" t="s">
        <v>361</v>
      </c>
    </row>
    <row r="1532" spans="1:14">
      <c r="A1532" t="s">
        <v>151</v>
      </c>
      <c r="B1532">
        <v>1128299</v>
      </c>
      <c r="C1532" s="2">
        <v>44278</v>
      </c>
      <c r="D1532" t="s">
        <v>28</v>
      </c>
      <c r="E1532" t="s">
        <v>189</v>
      </c>
      <c r="F1532" t="s">
        <v>196</v>
      </c>
      <c r="G1532" t="s">
        <v>146</v>
      </c>
      <c r="H1532" s="3">
        <v>0.54999999999999993</v>
      </c>
      <c r="I1532">
        <v>3500</v>
      </c>
      <c r="J1532" s="4">
        <v>1924.9999999999998</v>
      </c>
      <c r="K1532" s="4">
        <v>673.74999999999989</v>
      </c>
      <c r="L1532" s="5">
        <v>0.35</v>
      </c>
      <c r="M1532" t="s">
        <v>24</v>
      </c>
      <c r="N1532" t="s">
        <v>361</v>
      </c>
    </row>
    <row r="1533" spans="1:14">
      <c r="A1533" t="s">
        <v>151</v>
      </c>
      <c r="B1533">
        <v>1128299</v>
      </c>
      <c r="C1533" s="2">
        <v>44278</v>
      </c>
      <c r="D1533" t="s">
        <v>28</v>
      </c>
      <c r="E1533" t="s">
        <v>189</v>
      </c>
      <c r="F1533" t="s">
        <v>196</v>
      </c>
      <c r="G1533" t="s">
        <v>148</v>
      </c>
      <c r="H1533" s="3">
        <v>0.5</v>
      </c>
      <c r="I1533">
        <v>2500</v>
      </c>
      <c r="J1533" s="4">
        <v>1250</v>
      </c>
      <c r="K1533" s="4">
        <v>437.5</v>
      </c>
      <c r="L1533" s="5">
        <v>0.35</v>
      </c>
      <c r="M1533" t="s">
        <v>24</v>
      </c>
      <c r="N1533" t="s">
        <v>361</v>
      </c>
    </row>
    <row r="1534" spans="1:14">
      <c r="A1534" t="s">
        <v>151</v>
      </c>
      <c r="B1534">
        <v>1128299</v>
      </c>
      <c r="C1534" s="2">
        <v>44278</v>
      </c>
      <c r="D1534" t="s">
        <v>28</v>
      </c>
      <c r="E1534" t="s">
        <v>189</v>
      </c>
      <c r="F1534" t="s">
        <v>196</v>
      </c>
      <c r="G1534" t="s">
        <v>147</v>
      </c>
      <c r="H1534" s="3">
        <v>0.55000000000000004</v>
      </c>
      <c r="I1534">
        <v>1000</v>
      </c>
      <c r="J1534" s="4">
        <v>550</v>
      </c>
      <c r="K1534" s="4">
        <v>220</v>
      </c>
      <c r="L1534" s="5">
        <v>0.4</v>
      </c>
      <c r="M1534" t="s">
        <v>24</v>
      </c>
      <c r="N1534" t="s">
        <v>361</v>
      </c>
    </row>
    <row r="1535" spans="1:14">
      <c r="A1535" t="s">
        <v>151</v>
      </c>
      <c r="B1535">
        <v>1128299</v>
      </c>
      <c r="C1535" s="2">
        <v>44278</v>
      </c>
      <c r="D1535" t="s">
        <v>28</v>
      </c>
      <c r="E1535" t="s">
        <v>189</v>
      </c>
      <c r="F1535" t="s">
        <v>196</v>
      </c>
      <c r="G1535" t="s">
        <v>144</v>
      </c>
      <c r="H1535" s="3">
        <v>0.5</v>
      </c>
      <c r="I1535">
        <v>3000</v>
      </c>
      <c r="J1535" s="4">
        <v>1500</v>
      </c>
      <c r="K1535" s="4">
        <v>450</v>
      </c>
      <c r="L1535" s="5">
        <v>0.3</v>
      </c>
      <c r="M1535" t="s">
        <v>24</v>
      </c>
      <c r="N1535" t="s">
        <v>361</v>
      </c>
    </row>
    <row r="1536" spans="1:14">
      <c r="A1536" t="s">
        <v>151</v>
      </c>
      <c r="B1536">
        <v>1128299</v>
      </c>
      <c r="C1536" s="2">
        <v>44310</v>
      </c>
      <c r="D1536" t="s">
        <v>28</v>
      </c>
      <c r="E1536" t="s">
        <v>189</v>
      </c>
      <c r="F1536" t="s">
        <v>196</v>
      </c>
      <c r="G1536" t="s">
        <v>27</v>
      </c>
      <c r="H1536" s="3">
        <v>0.55000000000000004</v>
      </c>
      <c r="I1536">
        <v>4750</v>
      </c>
      <c r="J1536" s="4">
        <v>2612.5</v>
      </c>
      <c r="K1536" s="4">
        <v>914.37499999999989</v>
      </c>
      <c r="L1536" s="5">
        <v>0.35</v>
      </c>
      <c r="M1536" t="s">
        <v>127</v>
      </c>
      <c r="N1536" t="s">
        <v>362</v>
      </c>
    </row>
    <row r="1537" spans="1:14">
      <c r="A1537" t="s">
        <v>151</v>
      </c>
      <c r="B1537">
        <v>1128299</v>
      </c>
      <c r="C1537" s="2">
        <v>44310</v>
      </c>
      <c r="D1537" t="s">
        <v>28</v>
      </c>
      <c r="E1537" t="s">
        <v>189</v>
      </c>
      <c r="F1537" t="s">
        <v>196</v>
      </c>
      <c r="G1537" t="s">
        <v>145</v>
      </c>
      <c r="H1537" s="3">
        <v>0.60000000000000009</v>
      </c>
      <c r="I1537">
        <v>2750</v>
      </c>
      <c r="J1537" s="4">
        <v>1650.0000000000002</v>
      </c>
      <c r="K1537" s="4">
        <v>577.5</v>
      </c>
      <c r="L1537" s="5">
        <v>0.35</v>
      </c>
      <c r="M1537" t="s">
        <v>127</v>
      </c>
      <c r="N1537" t="s">
        <v>362</v>
      </c>
    </row>
    <row r="1538" spans="1:14">
      <c r="A1538" t="s">
        <v>151</v>
      </c>
      <c r="B1538">
        <v>1128299</v>
      </c>
      <c r="C1538" s="2">
        <v>44310</v>
      </c>
      <c r="D1538" t="s">
        <v>28</v>
      </c>
      <c r="E1538" t="s">
        <v>189</v>
      </c>
      <c r="F1538" t="s">
        <v>196</v>
      </c>
      <c r="G1538" t="s">
        <v>146</v>
      </c>
      <c r="H1538" s="3">
        <v>0.60000000000000009</v>
      </c>
      <c r="I1538">
        <v>3250</v>
      </c>
      <c r="J1538" s="4">
        <v>1950.0000000000002</v>
      </c>
      <c r="K1538" s="4">
        <v>682.5</v>
      </c>
      <c r="L1538" s="5">
        <v>0.35</v>
      </c>
      <c r="M1538" t="s">
        <v>127</v>
      </c>
      <c r="N1538" t="s">
        <v>362</v>
      </c>
    </row>
    <row r="1539" spans="1:14">
      <c r="A1539" t="s">
        <v>151</v>
      </c>
      <c r="B1539">
        <v>1128299</v>
      </c>
      <c r="C1539" s="2">
        <v>44310</v>
      </c>
      <c r="D1539" t="s">
        <v>28</v>
      </c>
      <c r="E1539" t="s">
        <v>189</v>
      </c>
      <c r="F1539" t="s">
        <v>196</v>
      </c>
      <c r="G1539" t="s">
        <v>148</v>
      </c>
      <c r="H1539" s="3">
        <v>0.45000000000000007</v>
      </c>
      <c r="I1539">
        <v>2250</v>
      </c>
      <c r="J1539" s="4">
        <v>1012.5000000000001</v>
      </c>
      <c r="K1539" s="4">
        <v>354.375</v>
      </c>
      <c r="L1539" s="5">
        <v>0.35</v>
      </c>
      <c r="M1539" t="s">
        <v>127</v>
      </c>
      <c r="N1539" t="s">
        <v>362</v>
      </c>
    </row>
    <row r="1540" spans="1:14">
      <c r="A1540" t="s">
        <v>151</v>
      </c>
      <c r="B1540">
        <v>1128299</v>
      </c>
      <c r="C1540" s="2">
        <v>44310</v>
      </c>
      <c r="D1540" t="s">
        <v>28</v>
      </c>
      <c r="E1540" t="s">
        <v>189</v>
      </c>
      <c r="F1540" t="s">
        <v>196</v>
      </c>
      <c r="G1540" t="s">
        <v>147</v>
      </c>
      <c r="H1540" s="3">
        <v>0.50000000000000011</v>
      </c>
      <c r="I1540">
        <v>1250</v>
      </c>
      <c r="J1540" s="4">
        <v>625.00000000000011</v>
      </c>
      <c r="K1540" s="4">
        <v>250.00000000000006</v>
      </c>
      <c r="L1540" s="5">
        <v>0.4</v>
      </c>
      <c r="M1540" t="s">
        <v>127</v>
      </c>
      <c r="N1540" t="s">
        <v>362</v>
      </c>
    </row>
    <row r="1541" spans="1:14">
      <c r="A1541" t="s">
        <v>151</v>
      </c>
      <c r="B1541">
        <v>1128299</v>
      </c>
      <c r="C1541" s="2">
        <v>44310</v>
      </c>
      <c r="D1541" t="s">
        <v>28</v>
      </c>
      <c r="E1541" t="s">
        <v>189</v>
      </c>
      <c r="F1541" t="s">
        <v>196</v>
      </c>
      <c r="G1541" t="s">
        <v>144</v>
      </c>
      <c r="H1541" s="3">
        <v>0.65000000000000013</v>
      </c>
      <c r="I1541">
        <v>3000</v>
      </c>
      <c r="J1541" s="4">
        <v>1950.0000000000005</v>
      </c>
      <c r="K1541" s="4">
        <v>585.00000000000011</v>
      </c>
      <c r="L1541" s="5">
        <v>0.3</v>
      </c>
      <c r="M1541" t="s">
        <v>127</v>
      </c>
      <c r="N1541" t="s">
        <v>362</v>
      </c>
    </row>
    <row r="1542" spans="1:14">
      <c r="A1542" t="s">
        <v>151</v>
      </c>
      <c r="B1542">
        <v>1128299</v>
      </c>
      <c r="C1542" s="2">
        <v>44341</v>
      </c>
      <c r="D1542" t="s">
        <v>28</v>
      </c>
      <c r="E1542" t="s">
        <v>189</v>
      </c>
      <c r="F1542" t="s">
        <v>196</v>
      </c>
      <c r="G1542" t="s">
        <v>27</v>
      </c>
      <c r="H1542" s="3">
        <v>0.5</v>
      </c>
      <c r="I1542">
        <v>5000</v>
      </c>
      <c r="J1542" s="4">
        <v>2500</v>
      </c>
      <c r="K1542" s="4">
        <v>875</v>
      </c>
      <c r="L1542" s="5">
        <v>0.35</v>
      </c>
      <c r="M1542" t="s">
        <v>128</v>
      </c>
      <c r="N1542" t="s">
        <v>362</v>
      </c>
    </row>
    <row r="1543" spans="1:14">
      <c r="A1543" t="s">
        <v>151</v>
      </c>
      <c r="B1543">
        <v>1128299</v>
      </c>
      <c r="C1543" s="2">
        <v>44341</v>
      </c>
      <c r="D1543" t="s">
        <v>28</v>
      </c>
      <c r="E1543" t="s">
        <v>189</v>
      </c>
      <c r="F1543" t="s">
        <v>196</v>
      </c>
      <c r="G1543" t="s">
        <v>145</v>
      </c>
      <c r="H1543" s="3">
        <v>0.55000000000000004</v>
      </c>
      <c r="I1543">
        <v>3500</v>
      </c>
      <c r="J1543" s="4">
        <v>1925.0000000000002</v>
      </c>
      <c r="K1543" s="4">
        <v>673.75</v>
      </c>
      <c r="L1543" s="5">
        <v>0.35</v>
      </c>
      <c r="M1543" t="s">
        <v>128</v>
      </c>
      <c r="N1543" t="s">
        <v>362</v>
      </c>
    </row>
    <row r="1544" spans="1:14">
      <c r="A1544" t="s">
        <v>151</v>
      </c>
      <c r="B1544">
        <v>1128299</v>
      </c>
      <c r="C1544" s="2">
        <v>44341</v>
      </c>
      <c r="D1544" t="s">
        <v>28</v>
      </c>
      <c r="E1544" t="s">
        <v>189</v>
      </c>
      <c r="F1544" t="s">
        <v>196</v>
      </c>
      <c r="G1544" t="s">
        <v>146</v>
      </c>
      <c r="H1544" s="3">
        <v>0.55000000000000004</v>
      </c>
      <c r="I1544">
        <v>3500</v>
      </c>
      <c r="J1544" s="4">
        <v>1925.0000000000002</v>
      </c>
      <c r="K1544" s="4">
        <v>673.75</v>
      </c>
      <c r="L1544" s="5">
        <v>0.35</v>
      </c>
      <c r="M1544" t="s">
        <v>128</v>
      </c>
      <c r="N1544" t="s">
        <v>362</v>
      </c>
    </row>
    <row r="1545" spans="1:14">
      <c r="A1545" t="s">
        <v>151</v>
      </c>
      <c r="B1545">
        <v>1128299</v>
      </c>
      <c r="C1545" s="2">
        <v>44341</v>
      </c>
      <c r="D1545" t="s">
        <v>28</v>
      </c>
      <c r="E1545" t="s">
        <v>189</v>
      </c>
      <c r="F1545" t="s">
        <v>196</v>
      </c>
      <c r="G1545" t="s">
        <v>148</v>
      </c>
      <c r="H1545" s="3">
        <v>0.5</v>
      </c>
      <c r="I1545">
        <v>2750</v>
      </c>
      <c r="J1545" s="4">
        <v>1375</v>
      </c>
      <c r="K1545" s="4">
        <v>481.24999999999994</v>
      </c>
      <c r="L1545" s="5">
        <v>0.35</v>
      </c>
      <c r="M1545" t="s">
        <v>128</v>
      </c>
      <c r="N1545" t="s">
        <v>362</v>
      </c>
    </row>
    <row r="1546" spans="1:14">
      <c r="A1546" t="s">
        <v>151</v>
      </c>
      <c r="B1546">
        <v>1128299</v>
      </c>
      <c r="C1546" s="2">
        <v>44341</v>
      </c>
      <c r="D1546" t="s">
        <v>28</v>
      </c>
      <c r="E1546" t="s">
        <v>189</v>
      </c>
      <c r="F1546" t="s">
        <v>196</v>
      </c>
      <c r="G1546" t="s">
        <v>147</v>
      </c>
      <c r="H1546" s="3">
        <v>0.44999999999999996</v>
      </c>
      <c r="I1546">
        <v>1750</v>
      </c>
      <c r="J1546" s="4">
        <v>787.49999999999989</v>
      </c>
      <c r="K1546" s="4">
        <v>315</v>
      </c>
      <c r="L1546" s="5">
        <v>0.4</v>
      </c>
      <c r="M1546" t="s">
        <v>128</v>
      </c>
      <c r="N1546" t="s">
        <v>362</v>
      </c>
    </row>
    <row r="1547" spans="1:14">
      <c r="A1547" t="s">
        <v>151</v>
      </c>
      <c r="B1547">
        <v>1128299</v>
      </c>
      <c r="C1547" s="2">
        <v>44341</v>
      </c>
      <c r="D1547" t="s">
        <v>28</v>
      </c>
      <c r="E1547" t="s">
        <v>189</v>
      </c>
      <c r="F1547" t="s">
        <v>196</v>
      </c>
      <c r="G1547" t="s">
        <v>144</v>
      </c>
      <c r="H1547" s="3">
        <v>0.6</v>
      </c>
      <c r="I1547">
        <v>5250</v>
      </c>
      <c r="J1547" s="4">
        <v>3150</v>
      </c>
      <c r="K1547" s="4">
        <v>945</v>
      </c>
      <c r="L1547" s="5">
        <v>0.3</v>
      </c>
      <c r="M1547" t="s">
        <v>128</v>
      </c>
      <c r="N1547" t="s">
        <v>362</v>
      </c>
    </row>
    <row r="1548" spans="1:14">
      <c r="A1548" t="s">
        <v>151</v>
      </c>
      <c r="B1548">
        <v>1128299</v>
      </c>
      <c r="C1548" s="2">
        <v>44371</v>
      </c>
      <c r="D1548" t="s">
        <v>28</v>
      </c>
      <c r="E1548" t="s">
        <v>189</v>
      </c>
      <c r="F1548" t="s">
        <v>196</v>
      </c>
      <c r="G1548" t="s">
        <v>27</v>
      </c>
      <c r="H1548" s="3">
        <v>0.54999999999999993</v>
      </c>
      <c r="I1548">
        <v>7750</v>
      </c>
      <c r="J1548" s="4">
        <v>4262.4999999999991</v>
      </c>
      <c r="K1548" s="4">
        <v>1491.8749999999995</v>
      </c>
      <c r="L1548" s="5">
        <v>0.35</v>
      </c>
      <c r="M1548" t="s">
        <v>129</v>
      </c>
      <c r="N1548" t="s">
        <v>362</v>
      </c>
    </row>
    <row r="1549" spans="1:14">
      <c r="A1549" t="s">
        <v>151</v>
      </c>
      <c r="B1549">
        <v>1128299</v>
      </c>
      <c r="C1549" s="2">
        <v>44371</v>
      </c>
      <c r="D1549" t="s">
        <v>28</v>
      </c>
      <c r="E1549" t="s">
        <v>189</v>
      </c>
      <c r="F1549" t="s">
        <v>196</v>
      </c>
      <c r="G1549" t="s">
        <v>145</v>
      </c>
      <c r="H1549" s="3">
        <v>0.64999999999999991</v>
      </c>
      <c r="I1549">
        <v>6500</v>
      </c>
      <c r="J1549" s="4">
        <v>4224.9999999999991</v>
      </c>
      <c r="K1549" s="4">
        <v>1478.7499999999995</v>
      </c>
      <c r="L1549" s="5">
        <v>0.35</v>
      </c>
      <c r="M1549" t="s">
        <v>129</v>
      </c>
      <c r="N1549" t="s">
        <v>362</v>
      </c>
    </row>
    <row r="1550" spans="1:14">
      <c r="A1550" t="s">
        <v>151</v>
      </c>
      <c r="B1550">
        <v>1128299</v>
      </c>
      <c r="C1550" s="2">
        <v>44371</v>
      </c>
      <c r="D1550" t="s">
        <v>28</v>
      </c>
      <c r="E1550" t="s">
        <v>189</v>
      </c>
      <c r="F1550" t="s">
        <v>196</v>
      </c>
      <c r="G1550" t="s">
        <v>146</v>
      </c>
      <c r="H1550" s="3">
        <v>0.79999999999999993</v>
      </c>
      <c r="I1550">
        <v>6500</v>
      </c>
      <c r="J1550" s="4">
        <v>5200</v>
      </c>
      <c r="K1550" s="4">
        <v>1819.9999999999998</v>
      </c>
      <c r="L1550" s="5">
        <v>0.35</v>
      </c>
      <c r="M1550" t="s">
        <v>129</v>
      </c>
      <c r="N1550" t="s">
        <v>362</v>
      </c>
    </row>
    <row r="1551" spans="1:14">
      <c r="A1551" t="s">
        <v>151</v>
      </c>
      <c r="B1551">
        <v>1128299</v>
      </c>
      <c r="C1551" s="2">
        <v>44371</v>
      </c>
      <c r="D1551" t="s">
        <v>28</v>
      </c>
      <c r="E1551" t="s">
        <v>189</v>
      </c>
      <c r="F1551" t="s">
        <v>196</v>
      </c>
      <c r="G1551" t="s">
        <v>148</v>
      </c>
      <c r="H1551" s="3">
        <v>0.79999999999999993</v>
      </c>
      <c r="I1551">
        <v>5250</v>
      </c>
      <c r="J1551" s="4">
        <v>4200</v>
      </c>
      <c r="K1551" s="4">
        <v>1470</v>
      </c>
      <c r="L1551" s="5">
        <v>0.35</v>
      </c>
      <c r="M1551" t="s">
        <v>129</v>
      </c>
      <c r="N1551" t="s">
        <v>362</v>
      </c>
    </row>
    <row r="1552" spans="1:14">
      <c r="A1552" t="s">
        <v>151</v>
      </c>
      <c r="B1552">
        <v>1128299</v>
      </c>
      <c r="C1552" s="2">
        <v>44371</v>
      </c>
      <c r="D1552" t="s">
        <v>28</v>
      </c>
      <c r="E1552" t="s">
        <v>189</v>
      </c>
      <c r="F1552" t="s">
        <v>196</v>
      </c>
      <c r="G1552" t="s">
        <v>147</v>
      </c>
      <c r="H1552" s="3">
        <v>0.9</v>
      </c>
      <c r="I1552">
        <v>4000</v>
      </c>
      <c r="J1552" s="4">
        <v>3600</v>
      </c>
      <c r="K1552" s="4">
        <v>1440</v>
      </c>
      <c r="L1552" s="5">
        <v>0.4</v>
      </c>
      <c r="M1552" t="s">
        <v>129</v>
      </c>
      <c r="N1552" t="s">
        <v>362</v>
      </c>
    </row>
    <row r="1553" spans="1:14">
      <c r="A1553" t="s">
        <v>151</v>
      </c>
      <c r="B1553">
        <v>1128299</v>
      </c>
      <c r="C1553" s="2">
        <v>44371</v>
      </c>
      <c r="D1553" t="s">
        <v>28</v>
      </c>
      <c r="E1553" t="s">
        <v>189</v>
      </c>
      <c r="F1553" t="s">
        <v>196</v>
      </c>
      <c r="G1553" t="s">
        <v>144</v>
      </c>
      <c r="H1553" s="3">
        <v>1.05</v>
      </c>
      <c r="I1553">
        <v>7000</v>
      </c>
      <c r="J1553" s="4">
        <v>7350</v>
      </c>
      <c r="K1553" s="4">
        <v>2205</v>
      </c>
      <c r="L1553" s="5">
        <v>0.3</v>
      </c>
      <c r="M1553" t="s">
        <v>129</v>
      </c>
      <c r="N1553" t="s">
        <v>362</v>
      </c>
    </row>
    <row r="1554" spans="1:14">
      <c r="A1554" t="s">
        <v>151</v>
      </c>
      <c r="B1554">
        <v>1128299</v>
      </c>
      <c r="C1554" s="2">
        <v>44400</v>
      </c>
      <c r="D1554" t="s">
        <v>28</v>
      </c>
      <c r="E1554" t="s">
        <v>189</v>
      </c>
      <c r="F1554" t="s">
        <v>196</v>
      </c>
      <c r="G1554" t="s">
        <v>27</v>
      </c>
      <c r="H1554" s="3">
        <v>0.85</v>
      </c>
      <c r="I1554">
        <v>8500</v>
      </c>
      <c r="J1554" s="4">
        <v>7225</v>
      </c>
      <c r="K1554" s="4">
        <v>2528.75</v>
      </c>
      <c r="L1554" s="5">
        <v>0.35</v>
      </c>
      <c r="M1554" t="s">
        <v>130</v>
      </c>
      <c r="N1554" t="s">
        <v>363</v>
      </c>
    </row>
    <row r="1555" spans="1:14">
      <c r="A1555" t="s">
        <v>151</v>
      </c>
      <c r="B1555">
        <v>1128299</v>
      </c>
      <c r="C1555" s="2">
        <v>44400</v>
      </c>
      <c r="D1555" t="s">
        <v>28</v>
      </c>
      <c r="E1555" t="s">
        <v>189</v>
      </c>
      <c r="F1555" t="s">
        <v>196</v>
      </c>
      <c r="G1555" t="s">
        <v>145</v>
      </c>
      <c r="H1555" s="3">
        <v>0.9</v>
      </c>
      <c r="I1555">
        <v>7000</v>
      </c>
      <c r="J1555" s="4">
        <v>6300</v>
      </c>
      <c r="K1555" s="4">
        <v>2205</v>
      </c>
      <c r="L1555" s="5">
        <v>0.35</v>
      </c>
      <c r="M1555" t="s">
        <v>130</v>
      </c>
      <c r="N1555" t="s">
        <v>363</v>
      </c>
    </row>
    <row r="1556" spans="1:14">
      <c r="A1556" t="s">
        <v>151</v>
      </c>
      <c r="B1556">
        <v>1128299</v>
      </c>
      <c r="C1556" s="2">
        <v>44400</v>
      </c>
      <c r="D1556" t="s">
        <v>28</v>
      </c>
      <c r="E1556" t="s">
        <v>189</v>
      </c>
      <c r="F1556" t="s">
        <v>196</v>
      </c>
      <c r="G1556" t="s">
        <v>146</v>
      </c>
      <c r="H1556" s="3">
        <v>0.9</v>
      </c>
      <c r="I1556">
        <v>6500</v>
      </c>
      <c r="J1556" s="4">
        <v>5850</v>
      </c>
      <c r="K1556" s="4">
        <v>2047.4999999999998</v>
      </c>
      <c r="L1556" s="5">
        <v>0.35</v>
      </c>
      <c r="M1556" t="s">
        <v>130</v>
      </c>
      <c r="N1556" t="s">
        <v>363</v>
      </c>
    </row>
    <row r="1557" spans="1:14">
      <c r="A1557" t="s">
        <v>151</v>
      </c>
      <c r="B1557">
        <v>1128299</v>
      </c>
      <c r="C1557" s="2">
        <v>44400</v>
      </c>
      <c r="D1557" t="s">
        <v>28</v>
      </c>
      <c r="E1557" t="s">
        <v>189</v>
      </c>
      <c r="F1557" t="s">
        <v>196</v>
      </c>
      <c r="G1557" t="s">
        <v>148</v>
      </c>
      <c r="H1557" s="3">
        <v>0.85</v>
      </c>
      <c r="I1557">
        <v>5500</v>
      </c>
      <c r="J1557" s="4">
        <v>4675</v>
      </c>
      <c r="K1557" s="4">
        <v>1636.25</v>
      </c>
      <c r="L1557" s="5">
        <v>0.35</v>
      </c>
      <c r="M1557" t="s">
        <v>130</v>
      </c>
      <c r="N1557" t="s">
        <v>363</v>
      </c>
    </row>
    <row r="1558" spans="1:14">
      <c r="A1558" t="s">
        <v>151</v>
      </c>
      <c r="B1558">
        <v>1128299</v>
      </c>
      <c r="C1558" s="2">
        <v>44400</v>
      </c>
      <c r="D1558" t="s">
        <v>28</v>
      </c>
      <c r="E1558" t="s">
        <v>189</v>
      </c>
      <c r="F1558" t="s">
        <v>196</v>
      </c>
      <c r="G1558" t="s">
        <v>147</v>
      </c>
      <c r="H1558" s="3">
        <v>0.9</v>
      </c>
      <c r="I1558">
        <v>6000</v>
      </c>
      <c r="J1558" s="4">
        <v>5400</v>
      </c>
      <c r="K1558" s="4">
        <v>2160</v>
      </c>
      <c r="L1558" s="5">
        <v>0.4</v>
      </c>
      <c r="M1558" t="s">
        <v>130</v>
      </c>
      <c r="N1558" t="s">
        <v>363</v>
      </c>
    </row>
    <row r="1559" spans="1:14">
      <c r="A1559" t="s">
        <v>151</v>
      </c>
      <c r="B1559">
        <v>1128299</v>
      </c>
      <c r="C1559" s="2">
        <v>44400</v>
      </c>
      <c r="D1559" t="s">
        <v>28</v>
      </c>
      <c r="E1559" t="s">
        <v>189</v>
      </c>
      <c r="F1559" t="s">
        <v>196</v>
      </c>
      <c r="G1559" t="s">
        <v>144</v>
      </c>
      <c r="H1559" s="3">
        <v>1.05</v>
      </c>
      <c r="I1559">
        <v>6000</v>
      </c>
      <c r="J1559" s="4">
        <v>6300</v>
      </c>
      <c r="K1559" s="4">
        <v>1890</v>
      </c>
      <c r="L1559" s="5">
        <v>0.3</v>
      </c>
      <c r="M1559" t="s">
        <v>130</v>
      </c>
      <c r="N1559" t="s">
        <v>363</v>
      </c>
    </row>
    <row r="1560" spans="1:14">
      <c r="A1560" t="s">
        <v>151</v>
      </c>
      <c r="B1560">
        <v>1128299</v>
      </c>
      <c r="C1560" s="2">
        <v>44432</v>
      </c>
      <c r="D1560" t="s">
        <v>28</v>
      </c>
      <c r="E1560" t="s">
        <v>189</v>
      </c>
      <c r="F1560" t="s">
        <v>196</v>
      </c>
      <c r="G1560" t="s">
        <v>27</v>
      </c>
      <c r="H1560" s="3">
        <v>0.9</v>
      </c>
      <c r="I1560">
        <v>8000</v>
      </c>
      <c r="J1560" s="4">
        <v>7200</v>
      </c>
      <c r="K1560" s="4">
        <v>2520</v>
      </c>
      <c r="L1560" s="5">
        <v>0.35</v>
      </c>
      <c r="M1560" t="s">
        <v>131</v>
      </c>
      <c r="N1560" t="s">
        <v>363</v>
      </c>
    </row>
    <row r="1561" spans="1:14">
      <c r="A1561" t="s">
        <v>151</v>
      </c>
      <c r="B1561">
        <v>1128299</v>
      </c>
      <c r="C1561" s="2">
        <v>44432</v>
      </c>
      <c r="D1561" t="s">
        <v>28</v>
      </c>
      <c r="E1561" t="s">
        <v>189</v>
      </c>
      <c r="F1561" t="s">
        <v>196</v>
      </c>
      <c r="G1561" t="s">
        <v>145</v>
      </c>
      <c r="H1561" s="3">
        <v>0.8</v>
      </c>
      <c r="I1561">
        <v>7750</v>
      </c>
      <c r="J1561" s="4">
        <v>6200</v>
      </c>
      <c r="K1561" s="4">
        <v>2170</v>
      </c>
      <c r="L1561" s="5">
        <v>0.35</v>
      </c>
      <c r="M1561" t="s">
        <v>131</v>
      </c>
      <c r="N1561" t="s">
        <v>363</v>
      </c>
    </row>
    <row r="1562" spans="1:14">
      <c r="A1562" t="s">
        <v>151</v>
      </c>
      <c r="B1562">
        <v>1128299</v>
      </c>
      <c r="C1562" s="2">
        <v>44432</v>
      </c>
      <c r="D1562" t="s">
        <v>28</v>
      </c>
      <c r="E1562" t="s">
        <v>189</v>
      </c>
      <c r="F1562" t="s">
        <v>196</v>
      </c>
      <c r="G1562" t="s">
        <v>146</v>
      </c>
      <c r="H1562" s="3">
        <v>0.70000000000000007</v>
      </c>
      <c r="I1562">
        <v>6500</v>
      </c>
      <c r="J1562" s="4">
        <v>4550</v>
      </c>
      <c r="K1562" s="4">
        <v>1592.5</v>
      </c>
      <c r="L1562" s="5">
        <v>0.35</v>
      </c>
      <c r="M1562" t="s">
        <v>131</v>
      </c>
      <c r="N1562" t="s">
        <v>363</v>
      </c>
    </row>
    <row r="1563" spans="1:14">
      <c r="A1563" t="s">
        <v>151</v>
      </c>
      <c r="B1563">
        <v>1128299</v>
      </c>
      <c r="C1563" s="2">
        <v>44432</v>
      </c>
      <c r="D1563" t="s">
        <v>28</v>
      </c>
      <c r="E1563" t="s">
        <v>189</v>
      </c>
      <c r="F1563" t="s">
        <v>196</v>
      </c>
      <c r="G1563" t="s">
        <v>148</v>
      </c>
      <c r="H1563" s="3">
        <v>0.70000000000000007</v>
      </c>
      <c r="I1563">
        <v>4250</v>
      </c>
      <c r="J1563" s="4">
        <v>2975.0000000000005</v>
      </c>
      <c r="K1563" s="4">
        <v>1041.25</v>
      </c>
      <c r="L1563" s="5">
        <v>0.35</v>
      </c>
      <c r="M1563" t="s">
        <v>131</v>
      </c>
      <c r="N1563" t="s">
        <v>363</v>
      </c>
    </row>
    <row r="1564" spans="1:14">
      <c r="A1564" t="s">
        <v>151</v>
      </c>
      <c r="B1564">
        <v>1128299</v>
      </c>
      <c r="C1564" s="2">
        <v>44432</v>
      </c>
      <c r="D1564" t="s">
        <v>28</v>
      </c>
      <c r="E1564" t="s">
        <v>189</v>
      </c>
      <c r="F1564" t="s">
        <v>196</v>
      </c>
      <c r="G1564" t="s">
        <v>147</v>
      </c>
      <c r="H1564" s="3">
        <v>0.7</v>
      </c>
      <c r="I1564">
        <v>4250</v>
      </c>
      <c r="J1564" s="4">
        <v>2975</v>
      </c>
      <c r="K1564" s="4">
        <v>1190</v>
      </c>
      <c r="L1564" s="5">
        <v>0.4</v>
      </c>
      <c r="M1564" t="s">
        <v>131</v>
      </c>
      <c r="N1564" t="s">
        <v>363</v>
      </c>
    </row>
    <row r="1565" spans="1:14">
      <c r="A1565" t="s">
        <v>151</v>
      </c>
      <c r="B1565">
        <v>1128299</v>
      </c>
      <c r="C1565" s="2">
        <v>44432</v>
      </c>
      <c r="D1565" t="s">
        <v>28</v>
      </c>
      <c r="E1565" t="s">
        <v>189</v>
      </c>
      <c r="F1565" t="s">
        <v>196</v>
      </c>
      <c r="G1565" t="s">
        <v>144</v>
      </c>
      <c r="H1565" s="3">
        <v>0.75</v>
      </c>
      <c r="I1565">
        <v>2500</v>
      </c>
      <c r="J1565" s="4">
        <v>1875</v>
      </c>
      <c r="K1565" s="4">
        <v>562.5</v>
      </c>
      <c r="L1565" s="5">
        <v>0.3</v>
      </c>
      <c r="M1565" t="s">
        <v>131</v>
      </c>
      <c r="N1565" t="s">
        <v>363</v>
      </c>
    </row>
    <row r="1566" spans="1:14">
      <c r="A1566" t="s">
        <v>151</v>
      </c>
      <c r="B1566">
        <v>1128299</v>
      </c>
      <c r="C1566" s="2">
        <v>44464</v>
      </c>
      <c r="D1566" t="s">
        <v>28</v>
      </c>
      <c r="E1566" t="s">
        <v>189</v>
      </c>
      <c r="F1566" t="s">
        <v>196</v>
      </c>
      <c r="G1566" t="s">
        <v>27</v>
      </c>
      <c r="H1566" s="3">
        <v>0.50000000000000011</v>
      </c>
      <c r="I1566">
        <v>4500</v>
      </c>
      <c r="J1566" s="4">
        <v>2250.0000000000005</v>
      </c>
      <c r="K1566" s="4">
        <v>787.50000000000011</v>
      </c>
      <c r="L1566" s="5">
        <v>0.35</v>
      </c>
      <c r="M1566" t="s">
        <v>132</v>
      </c>
      <c r="N1566" t="s">
        <v>363</v>
      </c>
    </row>
    <row r="1567" spans="1:14">
      <c r="A1567" t="s">
        <v>151</v>
      </c>
      <c r="B1567">
        <v>1128299</v>
      </c>
      <c r="C1567" s="2">
        <v>44464</v>
      </c>
      <c r="D1567" t="s">
        <v>28</v>
      </c>
      <c r="E1567" t="s">
        <v>189</v>
      </c>
      <c r="F1567" t="s">
        <v>196</v>
      </c>
      <c r="G1567" t="s">
        <v>145</v>
      </c>
      <c r="H1567" s="3">
        <v>0.55000000000000016</v>
      </c>
      <c r="I1567">
        <v>4500</v>
      </c>
      <c r="J1567" s="4">
        <v>2475.0000000000009</v>
      </c>
      <c r="K1567" s="4">
        <v>866.25000000000023</v>
      </c>
      <c r="L1567" s="5">
        <v>0.35</v>
      </c>
      <c r="M1567" t="s">
        <v>132</v>
      </c>
      <c r="N1567" t="s">
        <v>363</v>
      </c>
    </row>
    <row r="1568" spans="1:14">
      <c r="A1568" t="s">
        <v>151</v>
      </c>
      <c r="B1568">
        <v>1128299</v>
      </c>
      <c r="C1568" s="2">
        <v>44464</v>
      </c>
      <c r="D1568" t="s">
        <v>28</v>
      </c>
      <c r="E1568" t="s">
        <v>189</v>
      </c>
      <c r="F1568" t="s">
        <v>196</v>
      </c>
      <c r="G1568" t="s">
        <v>146</v>
      </c>
      <c r="H1568" s="3">
        <v>0.50000000000000011</v>
      </c>
      <c r="I1568">
        <v>2500</v>
      </c>
      <c r="J1568" s="4">
        <v>1250.0000000000002</v>
      </c>
      <c r="K1568" s="4">
        <v>437.50000000000006</v>
      </c>
      <c r="L1568" s="5">
        <v>0.35</v>
      </c>
      <c r="M1568" t="s">
        <v>132</v>
      </c>
      <c r="N1568" t="s">
        <v>363</v>
      </c>
    </row>
    <row r="1569" spans="1:14">
      <c r="A1569" t="s">
        <v>151</v>
      </c>
      <c r="B1569">
        <v>1128299</v>
      </c>
      <c r="C1569" s="2">
        <v>44464</v>
      </c>
      <c r="D1569" t="s">
        <v>28</v>
      </c>
      <c r="E1569" t="s">
        <v>189</v>
      </c>
      <c r="F1569" t="s">
        <v>196</v>
      </c>
      <c r="G1569" t="s">
        <v>148</v>
      </c>
      <c r="H1569" s="3">
        <v>0.50000000000000011</v>
      </c>
      <c r="I1569">
        <v>2000</v>
      </c>
      <c r="J1569" s="4">
        <v>1000.0000000000002</v>
      </c>
      <c r="K1569" s="4">
        <v>350.00000000000006</v>
      </c>
      <c r="L1569" s="5">
        <v>0.35</v>
      </c>
      <c r="M1569" t="s">
        <v>132</v>
      </c>
      <c r="N1569" t="s">
        <v>363</v>
      </c>
    </row>
    <row r="1570" spans="1:14">
      <c r="A1570" t="s">
        <v>151</v>
      </c>
      <c r="B1570">
        <v>1128299</v>
      </c>
      <c r="C1570" s="2">
        <v>44464</v>
      </c>
      <c r="D1570" t="s">
        <v>28</v>
      </c>
      <c r="E1570" t="s">
        <v>189</v>
      </c>
      <c r="F1570" t="s">
        <v>196</v>
      </c>
      <c r="G1570" t="s">
        <v>147</v>
      </c>
      <c r="H1570" s="3">
        <v>0.60000000000000009</v>
      </c>
      <c r="I1570">
        <v>2250</v>
      </c>
      <c r="J1570" s="4">
        <v>1350.0000000000002</v>
      </c>
      <c r="K1570" s="4">
        <v>540.00000000000011</v>
      </c>
      <c r="L1570" s="5">
        <v>0.4</v>
      </c>
      <c r="M1570" t="s">
        <v>132</v>
      </c>
      <c r="N1570" t="s">
        <v>363</v>
      </c>
    </row>
    <row r="1571" spans="1:14">
      <c r="A1571" t="s">
        <v>151</v>
      </c>
      <c r="B1571">
        <v>1128299</v>
      </c>
      <c r="C1571" s="2">
        <v>44464</v>
      </c>
      <c r="D1571" t="s">
        <v>28</v>
      </c>
      <c r="E1571" t="s">
        <v>189</v>
      </c>
      <c r="F1571" t="s">
        <v>196</v>
      </c>
      <c r="G1571" t="s">
        <v>144</v>
      </c>
      <c r="H1571" s="3">
        <v>0.44999999999999996</v>
      </c>
      <c r="I1571">
        <v>2500</v>
      </c>
      <c r="J1571" s="4">
        <v>1125</v>
      </c>
      <c r="K1571" s="4">
        <v>337.5</v>
      </c>
      <c r="L1571" s="5">
        <v>0.3</v>
      </c>
      <c r="M1571" t="s">
        <v>132</v>
      </c>
      <c r="N1571" t="s">
        <v>363</v>
      </c>
    </row>
    <row r="1572" spans="1:14">
      <c r="A1572" t="s">
        <v>151</v>
      </c>
      <c r="B1572">
        <v>1128299</v>
      </c>
      <c r="C1572" s="2">
        <v>44493</v>
      </c>
      <c r="D1572" t="s">
        <v>28</v>
      </c>
      <c r="E1572" t="s">
        <v>189</v>
      </c>
      <c r="F1572" t="s">
        <v>196</v>
      </c>
      <c r="G1572" t="s">
        <v>27</v>
      </c>
      <c r="H1572" s="3">
        <v>0.4</v>
      </c>
      <c r="I1572">
        <v>3500</v>
      </c>
      <c r="J1572" s="4">
        <v>1400</v>
      </c>
      <c r="K1572" s="4">
        <v>489.99999999999994</v>
      </c>
      <c r="L1572" s="5">
        <v>0.35</v>
      </c>
      <c r="M1572" t="s">
        <v>133</v>
      </c>
      <c r="N1572" t="s">
        <v>364</v>
      </c>
    </row>
    <row r="1573" spans="1:14">
      <c r="A1573" t="s">
        <v>151</v>
      </c>
      <c r="B1573">
        <v>1128299</v>
      </c>
      <c r="C1573" s="2">
        <v>44493</v>
      </c>
      <c r="D1573" t="s">
        <v>28</v>
      </c>
      <c r="E1573" t="s">
        <v>189</v>
      </c>
      <c r="F1573" t="s">
        <v>196</v>
      </c>
      <c r="G1573" t="s">
        <v>145</v>
      </c>
      <c r="H1573" s="3">
        <v>0.55000000000000016</v>
      </c>
      <c r="I1573">
        <v>5250</v>
      </c>
      <c r="J1573" s="4">
        <v>2887.5000000000009</v>
      </c>
      <c r="K1573" s="4">
        <v>1010.6250000000002</v>
      </c>
      <c r="L1573" s="5">
        <v>0.35</v>
      </c>
      <c r="M1573" t="s">
        <v>133</v>
      </c>
      <c r="N1573" t="s">
        <v>364</v>
      </c>
    </row>
    <row r="1574" spans="1:14">
      <c r="A1574" t="s">
        <v>151</v>
      </c>
      <c r="B1574">
        <v>1128299</v>
      </c>
      <c r="C1574" s="2">
        <v>44493</v>
      </c>
      <c r="D1574" t="s">
        <v>28</v>
      </c>
      <c r="E1574" t="s">
        <v>189</v>
      </c>
      <c r="F1574" t="s">
        <v>196</v>
      </c>
      <c r="G1574" t="s">
        <v>146</v>
      </c>
      <c r="H1574" s="3">
        <v>0.50000000000000011</v>
      </c>
      <c r="I1574">
        <v>3500</v>
      </c>
      <c r="J1574" s="4">
        <v>1750.0000000000005</v>
      </c>
      <c r="K1574" s="4">
        <v>612.50000000000011</v>
      </c>
      <c r="L1574" s="5">
        <v>0.35</v>
      </c>
      <c r="M1574" t="s">
        <v>133</v>
      </c>
      <c r="N1574" t="s">
        <v>364</v>
      </c>
    </row>
    <row r="1575" spans="1:14">
      <c r="A1575" t="s">
        <v>151</v>
      </c>
      <c r="B1575">
        <v>1128299</v>
      </c>
      <c r="C1575" s="2">
        <v>44493</v>
      </c>
      <c r="D1575" t="s">
        <v>28</v>
      </c>
      <c r="E1575" t="s">
        <v>189</v>
      </c>
      <c r="F1575" t="s">
        <v>196</v>
      </c>
      <c r="G1575" t="s">
        <v>148</v>
      </c>
      <c r="H1575" s="3">
        <v>0.45000000000000007</v>
      </c>
      <c r="I1575">
        <v>3250</v>
      </c>
      <c r="J1575" s="4">
        <v>1462.5000000000002</v>
      </c>
      <c r="K1575" s="4">
        <v>511.87500000000006</v>
      </c>
      <c r="L1575" s="5">
        <v>0.35</v>
      </c>
      <c r="M1575" t="s">
        <v>133</v>
      </c>
      <c r="N1575" t="s">
        <v>364</v>
      </c>
    </row>
    <row r="1576" spans="1:14">
      <c r="A1576" t="s">
        <v>151</v>
      </c>
      <c r="B1576">
        <v>1128299</v>
      </c>
      <c r="C1576" s="2">
        <v>44493</v>
      </c>
      <c r="D1576" t="s">
        <v>28</v>
      </c>
      <c r="E1576" t="s">
        <v>189</v>
      </c>
      <c r="F1576" t="s">
        <v>196</v>
      </c>
      <c r="G1576" t="s">
        <v>147</v>
      </c>
      <c r="H1576" s="3">
        <v>0.55000000000000004</v>
      </c>
      <c r="I1576">
        <v>3000</v>
      </c>
      <c r="J1576" s="4">
        <v>1650.0000000000002</v>
      </c>
      <c r="K1576" s="4">
        <v>660.00000000000011</v>
      </c>
      <c r="L1576" s="5">
        <v>0.4</v>
      </c>
      <c r="M1576" t="s">
        <v>133</v>
      </c>
      <c r="N1576" t="s">
        <v>364</v>
      </c>
    </row>
    <row r="1577" spans="1:14">
      <c r="A1577" t="s">
        <v>151</v>
      </c>
      <c r="B1577">
        <v>1128299</v>
      </c>
      <c r="C1577" s="2">
        <v>44493</v>
      </c>
      <c r="D1577" t="s">
        <v>28</v>
      </c>
      <c r="E1577" t="s">
        <v>189</v>
      </c>
      <c r="F1577" t="s">
        <v>196</v>
      </c>
      <c r="G1577" t="s">
        <v>144</v>
      </c>
      <c r="H1577" s="3">
        <v>0.60000000000000009</v>
      </c>
      <c r="I1577">
        <v>3500</v>
      </c>
      <c r="J1577" s="4">
        <v>2100.0000000000005</v>
      </c>
      <c r="K1577" s="4">
        <v>630.00000000000011</v>
      </c>
      <c r="L1577" s="5">
        <v>0.3</v>
      </c>
      <c r="M1577" t="s">
        <v>133</v>
      </c>
      <c r="N1577" t="s">
        <v>364</v>
      </c>
    </row>
    <row r="1578" spans="1:14">
      <c r="A1578" t="s">
        <v>151</v>
      </c>
      <c r="B1578">
        <v>1128299</v>
      </c>
      <c r="C1578" s="2">
        <v>44524</v>
      </c>
      <c r="D1578" t="s">
        <v>28</v>
      </c>
      <c r="E1578" t="s">
        <v>189</v>
      </c>
      <c r="F1578" t="s">
        <v>196</v>
      </c>
      <c r="G1578" t="s">
        <v>27</v>
      </c>
      <c r="H1578" s="3">
        <v>0.45000000000000007</v>
      </c>
      <c r="I1578">
        <v>5750</v>
      </c>
      <c r="J1578" s="4">
        <v>2587.5000000000005</v>
      </c>
      <c r="K1578" s="4">
        <v>905.62500000000011</v>
      </c>
      <c r="L1578" s="5">
        <v>0.35</v>
      </c>
      <c r="M1578" t="s">
        <v>134</v>
      </c>
      <c r="N1578" t="s">
        <v>364</v>
      </c>
    </row>
    <row r="1579" spans="1:14">
      <c r="A1579" t="s">
        <v>151</v>
      </c>
      <c r="B1579">
        <v>1128299</v>
      </c>
      <c r="C1579" s="2">
        <v>44524</v>
      </c>
      <c r="D1579" t="s">
        <v>28</v>
      </c>
      <c r="E1579" t="s">
        <v>189</v>
      </c>
      <c r="F1579" t="s">
        <v>196</v>
      </c>
      <c r="G1579" t="s">
        <v>145</v>
      </c>
      <c r="H1579" s="3">
        <v>0.50000000000000011</v>
      </c>
      <c r="I1579">
        <v>6500</v>
      </c>
      <c r="J1579" s="4">
        <v>3250.0000000000009</v>
      </c>
      <c r="K1579" s="4">
        <v>1137.5000000000002</v>
      </c>
      <c r="L1579" s="5">
        <v>0.35</v>
      </c>
      <c r="M1579" t="s">
        <v>134</v>
      </c>
      <c r="N1579" t="s">
        <v>364</v>
      </c>
    </row>
    <row r="1580" spans="1:14">
      <c r="A1580" t="s">
        <v>151</v>
      </c>
      <c r="B1580">
        <v>1128299</v>
      </c>
      <c r="C1580" s="2">
        <v>44524</v>
      </c>
      <c r="D1580" t="s">
        <v>28</v>
      </c>
      <c r="E1580" t="s">
        <v>189</v>
      </c>
      <c r="F1580" t="s">
        <v>196</v>
      </c>
      <c r="G1580" t="s">
        <v>146</v>
      </c>
      <c r="H1580" s="3">
        <v>0.45000000000000007</v>
      </c>
      <c r="I1580">
        <v>4750</v>
      </c>
      <c r="J1580" s="4">
        <v>2137.5000000000005</v>
      </c>
      <c r="K1580" s="4">
        <v>748.12500000000011</v>
      </c>
      <c r="L1580" s="5">
        <v>0.35</v>
      </c>
      <c r="M1580" t="s">
        <v>134</v>
      </c>
      <c r="N1580" t="s">
        <v>364</v>
      </c>
    </row>
    <row r="1581" spans="1:14">
      <c r="A1581" t="s">
        <v>151</v>
      </c>
      <c r="B1581">
        <v>1128299</v>
      </c>
      <c r="C1581" s="2">
        <v>44524</v>
      </c>
      <c r="D1581" t="s">
        <v>28</v>
      </c>
      <c r="E1581" t="s">
        <v>189</v>
      </c>
      <c r="F1581" t="s">
        <v>196</v>
      </c>
      <c r="G1581" t="s">
        <v>148</v>
      </c>
      <c r="H1581" s="3">
        <v>0.55000000000000016</v>
      </c>
      <c r="I1581">
        <v>4500</v>
      </c>
      <c r="J1581" s="4">
        <v>2475.0000000000009</v>
      </c>
      <c r="K1581" s="4">
        <v>866.25000000000023</v>
      </c>
      <c r="L1581" s="5">
        <v>0.35</v>
      </c>
      <c r="M1581" t="s">
        <v>134</v>
      </c>
      <c r="N1581" t="s">
        <v>364</v>
      </c>
    </row>
    <row r="1582" spans="1:14">
      <c r="A1582" t="s">
        <v>151</v>
      </c>
      <c r="B1582">
        <v>1128299</v>
      </c>
      <c r="C1582" s="2">
        <v>44524</v>
      </c>
      <c r="D1582" t="s">
        <v>28</v>
      </c>
      <c r="E1582" t="s">
        <v>189</v>
      </c>
      <c r="F1582" t="s">
        <v>196</v>
      </c>
      <c r="G1582" t="s">
        <v>147</v>
      </c>
      <c r="H1582" s="3">
        <v>0.75000000000000011</v>
      </c>
      <c r="I1582">
        <v>4250</v>
      </c>
      <c r="J1582" s="4">
        <v>3187.5000000000005</v>
      </c>
      <c r="K1582" s="4">
        <v>1275.0000000000002</v>
      </c>
      <c r="L1582" s="5">
        <v>0.4</v>
      </c>
      <c r="M1582" t="s">
        <v>134</v>
      </c>
      <c r="N1582" t="s">
        <v>364</v>
      </c>
    </row>
    <row r="1583" spans="1:14">
      <c r="A1583" t="s">
        <v>151</v>
      </c>
      <c r="B1583">
        <v>1128299</v>
      </c>
      <c r="C1583" s="2">
        <v>44524</v>
      </c>
      <c r="D1583" t="s">
        <v>28</v>
      </c>
      <c r="E1583" t="s">
        <v>189</v>
      </c>
      <c r="F1583" t="s">
        <v>196</v>
      </c>
      <c r="G1583" t="s">
        <v>144</v>
      </c>
      <c r="H1583" s="3">
        <v>0.80000000000000016</v>
      </c>
      <c r="I1583">
        <v>5500</v>
      </c>
      <c r="J1583" s="4">
        <v>4400.0000000000009</v>
      </c>
      <c r="K1583" s="4">
        <v>1320.0000000000002</v>
      </c>
      <c r="L1583" s="5">
        <v>0.3</v>
      </c>
      <c r="M1583" t="s">
        <v>134</v>
      </c>
      <c r="N1583" t="s">
        <v>364</v>
      </c>
    </row>
    <row r="1584" spans="1:14">
      <c r="A1584" t="s">
        <v>151</v>
      </c>
      <c r="B1584">
        <v>1128299</v>
      </c>
      <c r="C1584" s="2">
        <v>44553</v>
      </c>
      <c r="D1584" t="s">
        <v>28</v>
      </c>
      <c r="E1584" t="s">
        <v>189</v>
      </c>
      <c r="F1584" t="s">
        <v>196</v>
      </c>
      <c r="G1584" t="s">
        <v>27</v>
      </c>
      <c r="H1584" s="3">
        <v>0.65000000000000013</v>
      </c>
      <c r="I1584">
        <v>7500</v>
      </c>
      <c r="J1584" s="4">
        <v>4875.0000000000009</v>
      </c>
      <c r="K1584" s="4">
        <v>1706.2500000000002</v>
      </c>
      <c r="L1584" s="5">
        <v>0.35</v>
      </c>
      <c r="M1584" t="s">
        <v>23</v>
      </c>
      <c r="N1584" t="s">
        <v>364</v>
      </c>
    </row>
    <row r="1585" spans="1:14">
      <c r="A1585" t="s">
        <v>151</v>
      </c>
      <c r="B1585">
        <v>1128299</v>
      </c>
      <c r="C1585" s="2">
        <v>44553</v>
      </c>
      <c r="D1585" t="s">
        <v>28</v>
      </c>
      <c r="E1585" t="s">
        <v>189</v>
      </c>
      <c r="F1585" t="s">
        <v>196</v>
      </c>
      <c r="G1585" t="s">
        <v>145</v>
      </c>
      <c r="H1585" s="3">
        <v>0.75000000000000022</v>
      </c>
      <c r="I1585">
        <v>7500</v>
      </c>
      <c r="J1585" s="4">
        <v>5625.0000000000018</v>
      </c>
      <c r="K1585" s="4">
        <v>1968.7500000000005</v>
      </c>
      <c r="L1585" s="5">
        <v>0.35</v>
      </c>
      <c r="M1585" t="s">
        <v>23</v>
      </c>
      <c r="N1585" t="s">
        <v>364</v>
      </c>
    </row>
    <row r="1586" spans="1:14">
      <c r="A1586" t="s">
        <v>151</v>
      </c>
      <c r="B1586">
        <v>1128299</v>
      </c>
      <c r="C1586" s="2">
        <v>44553</v>
      </c>
      <c r="D1586" t="s">
        <v>28</v>
      </c>
      <c r="E1586" t="s">
        <v>189</v>
      </c>
      <c r="F1586" t="s">
        <v>196</v>
      </c>
      <c r="G1586" t="s">
        <v>146</v>
      </c>
      <c r="H1586" s="3">
        <v>0.70000000000000018</v>
      </c>
      <c r="I1586">
        <v>5500</v>
      </c>
      <c r="J1586" s="4">
        <v>3850.0000000000009</v>
      </c>
      <c r="K1586" s="4">
        <v>1347.5000000000002</v>
      </c>
      <c r="L1586" s="5">
        <v>0.35</v>
      </c>
      <c r="M1586" t="s">
        <v>23</v>
      </c>
      <c r="N1586" t="s">
        <v>364</v>
      </c>
    </row>
    <row r="1587" spans="1:14">
      <c r="A1587" t="s">
        <v>151</v>
      </c>
      <c r="B1587">
        <v>1128299</v>
      </c>
      <c r="C1587" s="2">
        <v>44553</v>
      </c>
      <c r="D1587" t="s">
        <v>28</v>
      </c>
      <c r="E1587" t="s">
        <v>189</v>
      </c>
      <c r="F1587" t="s">
        <v>196</v>
      </c>
      <c r="G1587" t="s">
        <v>148</v>
      </c>
      <c r="H1587" s="3">
        <v>0.70000000000000018</v>
      </c>
      <c r="I1587">
        <v>5500</v>
      </c>
      <c r="J1587" s="4">
        <v>3850.0000000000009</v>
      </c>
      <c r="K1587" s="4">
        <v>1347.5000000000002</v>
      </c>
      <c r="L1587" s="5">
        <v>0.35</v>
      </c>
      <c r="M1587" t="s">
        <v>23</v>
      </c>
      <c r="N1587" t="s">
        <v>364</v>
      </c>
    </row>
    <row r="1588" spans="1:14">
      <c r="A1588" t="s">
        <v>151</v>
      </c>
      <c r="B1588">
        <v>1128299</v>
      </c>
      <c r="C1588" s="2">
        <v>44553</v>
      </c>
      <c r="D1588" t="s">
        <v>28</v>
      </c>
      <c r="E1588" t="s">
        <v>189</v>
      </c>
      <c r="F1588" t="s">
        <v>196</v>
      </c>
      <c r="G1588" t="s">
        <v>147</v>
      </c>
      <c r="H1588" s="3">
        <v>0.80000000000000016</v>
      </c>
      <c r="I1588">
        <v>4750</v>
      </c>
      <c r="J1588" s="4">
        <v>3800.0000000000009</v>
      </c>
      <c r="K1588" s="4">
        <v>1520.0000000000005</v>
      </c>
      <c r="L1588" s="5">
        <v>0.4</v>
      </c>
      <c r="M1588" t="s">
        <v>23</v>
      </c>
      <c r="N1588" t="s">
        <v>364</v>
      </c>
    </row>
    <row r="1589" spans="1:14">
      <c r="A1589" t="s">
        <v>151</v>
      </c>
      <c r="B1589">
        <v>1128299</v>
      </c>
      <c r="C1589" s="2">
        <v>44553</v>
      </c>
      <c r="D1589" t="s">
        <v>28</v>
      </c>
      <c r="E1589" t="s">
        <v>189</v>
      </c>
      <c r="F1589" t="s">
        <v>196</v>
      </c>
      <c r="G1589" t="s">
        <v>144</v>
      </c>
      <c r="H1589" s="3">
        <v>0.8500000000000002</v>
      </c>
      <c r="I1589">
        <v>5750</v>
      </c>
      <c r="J1589" s="4">
        <v>4887.5000000000009</v>
      </c>
      <c r="K1589" s="4">
        <v>1466.2500000000002</v>
      </c>
      <c r="L1589" s="5">
        <v>0.3</v>
      </c>
      <c r="M1589" t="s">
        <v>23</v>
      </c>
      <c r="N1589" t="s">
        <v>364</v>
      </c>
    </row>
    <row r="1590" spans="1:14">
      <c r="A1590" t="s">
        <v>29</v>
      </c>
      <c r="B1590">
        <v>1185732</v>
      </c>
      <c r="C1590" s="2">
        <v>44215</v>
      </c>
      <c r="D1590" t="s">
        <v>138</v>
      </c>
      <c r="E1590" t="s">
        <v>197</v>
      </c>
      <c r="F1590" t="s">
        <v>206</v>
      </c>
      <c r="G1590" t="s">
        <v>27</v>
      </c>
      <c r="H1590" s="3">
        <v>0.35</v>
      </c>
      <c r="I1590">
        <v>7500</v>
      </c>
      <c r="J1590" s="4">
        <v>2625</v>
      </c>
      <c r="K1590" s="4">
        <v>1312.5</v>
      </c>
      <c r="L1590" s="5">
        <v>0.5</v>
      </c>
      <c r="M1590" t="s">
        <v>125</v>
      </c>
      <c r="N1590" t="s">
        <v>361</v>
      </c>
    </row>
    <row r="1591" spans="1:14">
      <c r="A1591" t="s">
        <v>29</v>
      </c>
      <c r="B1591">
        <v>1185732</v>
      </c>
      <c r="C1591" s="2">
        <v>44215</v>
      </c>
      <c r="D1591" t="s">
        <v>138</v>
      </c>
      <c r="E1591" t="s">
        <v>197</v>
      </c>
      <c r="F1591" t="s">
        <v>206</v>
      </c>
      <c r="G1591" t="s">
        <v>145</v>
      </c>
      <c r="H1591" s="3">
        <v>0.35</v>
      </c>
      <c r="I1591">
        <v>5500</v>
      </c>
      <c r="J1591" s="4">
        <v>1924.9999999999998</v>
      </c>
      <c r="K1591" s="4">
        <v>769.99999999999989</v>
      </c>
      <c r="L1591" s="5">
        <v>0.39999999999999997</v>
      </c>
      <c r="M1591" t="s">
        <v>125</v>
      </c>
      <c r="N1591" t="s">
        <v>361</v>
      </c>
    </row>
    <row r="1592" spans="1:14">
      <c r="A1592" t="s">
        <v>29</v>
      </c>
      <c r="B1592">
        <v>1185732</v>
      </c>
      <c r="C1592" s="2">
        <v>44215</v>
      </c>
      <c r="D1592" t="s">
        <v>138</v>
      </c>
      <c r="E1592" t="s">
        <v>197</v>
      </c>
      <c r="F1592" t="s">
        <v>206</v>
      </c>
      <c r="G1592" t="s">
        <v>146</v>
      </c>
      <c r="H1592" s="3">
        <v>0.25</v>
      </c>
      <c r="I1592">
        <v>5500</v>
      </c>
      <c r="J1592" s="4">
        <v>1375</v>
      </c>
      <c r="K1592" s="4">
        <v>412.5</v>
      </c>
      <c r="L1592" s="5">
        <v>0.3</v>
      </c>
      <c r="M1592" t="s">
        <v>125</v>
      </c>
      <c r="N1592" t="s">
        <v>361</v>
      </c>
    </row>
    <row r="1593" spans="1:14">
      <c r="A1593" t="s">
        <v>29</v>
      </c>
      <c r="B1593">
        <v>1185732</v>
      </c>
      <c r="C1593" s="2">
        <v>44215</v>
      </c>
      <c r="D1593" t="s">
        <v>138</v>
      </c>
      <c r="E1593" t="s">
        <v>197</v>
      </c>
      <c r="F1593" t="s">
        <v>206</v>
      </c>
      <c r="G1593" t="s">
        <v>148</v>
      </c>
      <c r="H1593" s="3">
        <v>0.29999999999999993</v>
      </c>
      <c r="I1593">
        <v>4000</v>
      </c>
      <c r="J1593" s="4">
        <v>1199.9999999999998</v>
      </c>
      <c r="K1593" s="4">
        <v>419.99999999999989</v>
      </c>
      <c r="L1593" s="5">
        <v>0.35</v>
      </c>
      <c r="M1593" t="s">
        <v>125</v>
      </c>
      <c r="N1593" t="s">
        <v>361</v>
      </c>
    </row>
    <row r="1594" spans="1:14">
      <c r="A1594" t="s">
        <v>29</v>
      </c>
      <c r="B1594">
        <v>1185732</v>
      </c>
      <c r="C1594" s="2">
        <v>44215</v>
      </c>
      <c r="D1594" t="s">
        <v>138</v>
      </c>
      <c r="E1594" t="s">
        <v>197</v>
      </c>
      <c r="F1594" t="s">
        <v>206</v>
      </c>
      <c r="G1594" t="s">
        <v>147</v>
      </c>
      <c r="H1594" s="3">
        <v>0.45000000000000007</v>
      </c>
      <c r="I1594">
        <v>4500</v>
      </c>
      <c r="J1594" s="4">
        <v>2025.0000000000002</v>
      </c>
      <c r="K1594" s="4">
        <v>810</v>
      </c>
      <c r="L1594" s="5">
        <v>0.39999999999999997</v>
      </c>
      <c r="M1594" t="s">
        <v>125</v>
      </c>
      <c r="N1594" t="s">
        <v>361</v>
      </c>
    </row>
    <row r="1595" spans="1:14">
      <c r="A1595" t="s">
        <v>29</v>
      </c>
      <c r="B1595">
        <v>1185732</v>
      </c>
      <c r="C1595" s="2">
        <v>44215</v>
      </c>
      <c r="D1595" t="s">
        <v>138</v>
      </c>
      <c r="E1595" t="s">
        <v>197</v>
      </c>
      <c r="F1595" t="s">
        <v>206</v>
      </c>
      <c r="G1595" t="s">
        <v>144</v>
      </c>
      <c r="H1595" s="3">
        <v>0.35</v>
      </c>
      <c r="I1595">
        <v>5500</v>
      </c>
      <c r="J1595" s="4">
        <v>1924.9999999999998</v>
      </c>
      <c r="K1595" s="4">
        <v>1058.75</v>
      </c>
      <c r="L1595" s="5">
        <v>0.55000000000000004</v>
      </c>
      <c r="M1595" t="s">
        <v>125</v>
      </c>
      <c r="N1595" t="s">
        <v>361</v>
      </c>
    </row>
    <row r="1596" spans="1:14">
      <c r="A1596" t="s">
        <v>29</v>
      </c>
      <c r="B1596">
        <v>1185732</v>
      </c>
      <c r="C1596" s="2">
        <v>44244</v>
      </c>
      <c r="D1596" t="s">
        <v>138</v>
      </c>
      <c r="E1596" t="s">
        <v>197</v>
      </c>
      <c r="F1596" t="s">
        <v>206</v>
      </c>
      <c r="G1596" t="s">
        <v>27</v>
      </c>
      <c r="H1596" s="3">
        <v>0.35</v>
      </c>
      <c r="I1596">
        <v>8000</v>
      </c>
      <c r="J1596" s="4">
        <v>2800</v>
      </c>
      <c r="K1596" s="4">
        <v>1400</v>
      </c>
      <c r="L1596" s="5">
        <v>0.5</v>
      </c>
      <c r="M1596" t="s">
        <v>126</v>
      </c>
      <c r="N1596" t="s">
        <v>361</v>
      </c>
    </row>
    <row r="1597" spans="1:14">
      <c r="A1597" t="s">
        <v>29</v>
      </c>
      <c r="B1597">
        <v>1185732</v>
      </c>
      <c r="C1597" s="2">
        <v>44244</v>
      </c>
      <c r="D1597" t="s">
        <v>138</v>
      </c>
      <c r="E1597" t="s">
        <v>197</v>
      </c>
      <c r="F1597" t="s">
        <v>206</v>
      </c>
      <c r="G1597" t="s">
        <v>145</v>
      </c>
      <c r="H1597" s="3">
        <v>0.35</v>
      </c>
      <c r="I1597">
        <v>4500</v>
      </c>
      <c r="J1597" s="4">
        <v>1575</v>
      </c>
      <c r="K1597" s="4">
        <v>630</v>
      </c>
      <c r="L1597" s="5">
        <v>0.39999999999999997</v>
      </c>
      <c r="M1597" t="s">
        <v>126</v>
      </c>
      <c r="N1597" t="s">
        <v>361</v>
      </c>
    </row>
    <row r="1598" spans="1:14">
      <c r="A1598" t="s">
        <v>29</v>
      </c>
      <c r="B1598">
        <v>1185732</v>
      </c>
      <c r="C1598" s="2">
        <v>44244</v>
      </c>
      <c r="D1598" t="s">
        <v>138</v>
      </c>
      <c r="E1598" t="s">
        <v>197</v>
      </c>
      <c r="F1598" t="s">
        <v>206</v>
      </c>
      <c r="G1598" t="s">
        <v>146</v>
      </c>
      <c r="H1598" s="3">
        <v>0.25</v>
      </c>
      <c r="I1598">
        <v>5000</v>
      </c>
      <c r="J1598" s="4">
        <v>1250</v>
      </c>
      <c r="K1598" s="4">
        <v>375</v>
      </c>
      <c r="L1598" s="5">
        <v>0.3</v>
      </c>
      <c r="M1598" t="s">
        <v>126</v>
      </c>
      <c r="N1598" t="s">
        <v>361</v>
      </c>
    </row>
    <row r="1599" spans="1:14">
      <c r="A1599" t="s">
        <v>29</v>
      </c>
      <c r="B1599">
        <v>1185732</v>
      </c>
      <c r="C1599" s="2">
        <v>44244</v>
      </c>
      <c r="D1599" t="s">
        <v>138</v>
      </c>
      <c r="E1599" t="s">
        <v>197</v>
      </c>
      <c r="F1599" t="s">
        <v>206</v>
      </c>
      <c r="G1599" t="s">
        <v>148</v>
      </c>
      <c r="H1599" s="3">
        <v>0.29999999999999993</v>
      </c>
      <c r="I1599">
        <v>3750</v>
      </c>
      <c r="J1599" s="4">
        <v>1124.9999999999998</v>
      </c>
      <c r="K1599" s="4">
        <v>393.74999999999989</v>
      </c>
      <c r="L1599" s="5">
        <v>0.35</v>
      </c>
      <c r="M1599" t="s">
        <v>126</v>
      </c>
      <c r="N1599" t="s">
        <v>361</v>
      </c>
    </row>
    <row r="1600" spans="1:14">
      <c r="A1600" t="s">
        <v>29</v>
      </c>
      <c r="B1600">
        <v>1185732</v>
      </c>
      <c r="C1600" s="2">
        <v>44244</v>
      </c>
      <c r="D1600" t="s">
        <v>138</v>
      </c>
      <c r="E1600" t="s">
        <v>197</v>
      </c>
      <c r="F1600" t="s">
        <v>206</v>
      </c>
      <c r="G1600" t="s">
        <v>147</v>
      </c>
      <c r="H1600" s="3">
        <v>0.45000000000000007</v>
      </c>
      <c r="I1600">
        <v>4500</v>
      </c>
      <c r="J1600" s="4">
        <v>2025.0000000000002</v>
      </c>
      <c r="K1600" s="4">
        <v>810</v>
      </c>
      <c r="L1600" s="5">
        <v>0.39999999999999997</v>
      </c>
      <c r="M1600" t="s">
        <v>126</v>
      </c>
      <c r="N1600" t="s">
        <v>361</v>
      </c>
    </row>
    <row r="1601" spans="1:14">
      <c r="A1601" t="s">
        <v>29</v>
      </c>
      <c r="B1601">
        <v>1185732</v>
      </c>
      <c r="C1601" s="2">
        <v>44244</v>
      </c>
      <c r="D1601" t="s">
        <v>138</v>
      </c>
      <c r="E1601" t="s">
        <v>197</v>
      </c>
      <c r="F1601" t="s">
        <v>206</v>
      </c>
      <c r="G1601" t="s">
        <v>144</v>
      </c>
      <c r="H1601" s="3">
        <v>0.35</v>
      </c>
      <c r="I1601">
        <v>5500</v>
      </c>
      <c r="J1601" s="4">
        <v>1924.9999999999998</v>
      </c>
      <c r="K1601" s="4">
        <v>1058.75</v>
      </c>
      <c r="L1601" s="5">
        <v>0.55000000000000004</v>
      </c>
      <c r="M1601" t="s">
        <v>126</v>
      </c>
      <c r="N1601" t="s">
        <v>361</v>
      </c>
    </row>
    <row r="1602" spans="1:14">
      <c r="A1602" t="s">
        <v>29</v>
      </c>
      <c r="B1602">
        <v>1185732</v>
      </c>
      <c r="C1602" s="2">
        <v>44270</v>
      </c>
      <c r="D1602" t="s">
        <v>138</v>
      </c>
      <c r="E1602" t="s">
        <v>197</v>
      </c>
      <c r="F1602" t="s">
        <v>206</v>
      </c>
      <c r="G1602" t="s">
        <v>27</v>
      </c>
      <c r="H1602" s="3">
        <v>0.35</v>
      </c>
      <c r="I1602">
        <v>7700</v>
      </c>
      <c r="J1602" s="4">
        <v>2695</v>
      </c>
      <c r="K1602" s="4">
        <v>1347.5</v>
      </c>
      <c r="L1602" s="5">
        <v>0.5</v>
      </c>
      <c r="M1602" t="s">
        <v>24</v>
      </c>
      <c r="N1602" t="s">
        <v>361</v>
      </c>
    </row>
    <row r="1603" spans="1:14">
      <c r="A1603" t="s">
        <v>29</v>
      </c>
      <c r="B1603">
        <v>1185732</v>
      </c>
      <c r="C1603" s="2">
        <v>44270</v>
      </c>
      <c r="D1603" t="s">
        <v>138</v>
      </c>
      <c r="E1603" t="s">
        <v>197</v>
      </c>
      <c r="F1603" t="s">
        <v>206</v>
      </c>
      <c r="G1603" t="s">
        <v>145</v>
      </c>
      <c r="H1603" s="3">
        <v>0.35</v>
      </c>
      <c r="I1603">
        <v>4500</v>
      </c>
      <c r="J1603" s="4">
        <v>1575</v>
      </c>
      <c r="K1603" s="4">
        <v>630</v>
      </c>
      <c r="L1603" s="5">
        <v>0.39999999999999997</v>
      </c>
      <c r="M1603" t="s">
        <v>24</v>
      </c>
      <c r="N1603" t="s">
        <v>361</v>
      </c>
    </row>
    <row r="1604" spans="1:14">
      <c r="A1604" t="s">
        <v>29</v>
      </c>
      <c r="B1604">
        <v>1185732</v>
      </c>
      <c r="C1604" s="2">
        <v>44270</v>
      </c>
      <c r="D1604" t="s">
        <v>138</v>
      </c>
      <c r="E1604" t="s">
        <v>197</v>
      </c>
      <c r="F1604" t="s">
        <v>206</v>
      </c>
      <c r="G1604" t="s">
        <v>146</v>
      </c>
      <c r="H1604" s="3">
        <v>0.25</v>
      </c>
      <c r="I1604">
        <v>4750</v>
      </c>
      <c r="J1604" s="4">
        <v>1187.5</v>
      </c>
      <c r="K1604" s="4">
        <v>356.25</v>
      </c>
      <c r="L1604" s="5">
        <v>0.3</v>
      </c>
      <c r="M1604" t="s">
        <v>24</v>
      </c>
      <c r="N1604" t="s">
        <v>361</v>
      </c>
    </row>
    <row r="1605" spans="1:14">
      <c r="A1605" t="s">
        <v>29</v>
      </c>
      <c r="B1605">
        <v>1185732</v>
      </c>
      <c r="C1605" s="2">
        <v>44270</v>
      </c>
      <c r="D1605" t="s">
        <v>138</v>
      </c>
      <c r="E1605" t="s">
        <v>197</v>
      </c>
      <c r="F1605" t="s">
        <v>206</v>
      </c>
      <c r="G1605" t="s">
        <v>148</v>
      </c>
      <c r="H1605" s="3">
        <v>0.29999999999999993</v>
      </c>
      <c r="I1605">
        <v>3250</v>
      </c>
      <c r="J1605" s="4">
        <v>974.99999999999977</v>
      </c>
      <c r="K1605" s="4">
        <v>341.24999999999989</v>
      </c>
      <c r="L1605" s="5">
        <v>0.35</v>
      </c>
      <c r="M1605" t="s">
        <v>24</v>
      </c>
      <c r="N1605" t="s">
        <v>361</v>
      </c>
    </row>
    <row r="1606" spans="1:14">
      <c r="A1606" t="s">
        <v>29</v>
      </c>
      <c r="B1606">
        <v>1185732</v>
      </c>
      <c r="C1606" s="2">
        <v>44270</v>
      </c>
      <c r="D1606" t="s">
        <v>138</v>
      </c>
      <c r="E1606" t="s">
        <v>197</v>
      </c>
      <c r="F1606" t="s">
        <v>206</v>
      </c>
      <c r="G1606" t="s">
        <v>147</v>
      </c>
      <c r="H1606" s="3">
        <v>0.45000000000000007</v>
      </c>
      <c r="I1606">
        <v>3750</v>
      </c>
      <c r="J1606" s="4">
        <v>1687.5000000000002</v>
      </c>
      <c r="K1606" s="4">
        <v>675</v>
      </c>
      <c r="L1606" s="5">
        <v>0.39999999999999997</v>
      </c>
      <c r="M1606" t="s">
        <v>24</v>
      </c>
      <c r="N1606" t="s">
        <v>361</v>
      </c>
    </row>
    <row r="1607" spans="1:14">
      <c r="A1607" t="s">
        <v>29</v>
      </c>
      <c r="B1607">
        <v>1185732</v>
      </c>
      <c r="C1607" s="2">
        <v>44270</v>
      </c>
      <c r="D1607" t="s">
        <v>138</v>
      </c>
      <c r="E1607" t="s">
        <v>197</v>
      </c>
      <c r="F1607" t="s">
        <v>206</v>
      </c>
      <c r="G1607" t="s">
        <v>144</v>
      </c>
      <c r="H1607" s="3">
        <v>0.35</v>
      </c>
      <c r="I1607">
        <v>4750</v>
      </c>
      <c r="J1607" s="4">
        <v>1662.5</v>
      </c>
      <c r="K1607" s="4">
        <v>914.37500000000011</v>
      </c>
      <c r="L1607" s="5">
        <v>0.55000000000000004</v>
      </c>
      <c r="M1607" t="s">
        <v>24</v>
      </c>
      <c r="N1607" t="s">
        <v>361</v>
      </c>
    </row>
    <row r="1608" spans="1:14">
      <c r="A1608" t="s">
        <v>29</v>
      </c>
      <c r="B1608">
        <v>1185732</v>
      </c>
      <c r="C1608" s="2">
        <v>44302</v>
      </c>
      <c r="D1608" t="s">
        <v>138</v>
      </c>
      <c r="E1608" t="s">
        <v>197</v>
      </c>
      <c r="F1608" t="s">
        <v>206</v>
      </c>
      <c r="G1608" t="s">
        <v>27</v>
      </c>
      <c r="H1608" s="3">
        <v>0.35</v>
      </c>
      <c r="I1608">
        <v>7250</v>
      </c>
      <c r="J1608" s="4">
        <v>2537.5</v>
      </c>
      <c r="K1608" s="4">
        <v>1268.75</v>
      </c>
      <c r="L1608" s="5">
        <v>0.5</v>
      </c>
      <c r="M1608" t="s">
        <v>127</v>
      </c>
      <c r="N1608" t="s">
        <v>362</v>
      </c>
    </row>
    <row r="1609" spans="1:14">
      <c r="A1609" t="s">
        <v>29</v>
      </c>
      <c r="B1609">
        <v>1185732</v>
      </c>
      <c r="C1609" s="2">
        <v>44302</v>
      </c>
      <c r="D1609" t="s">
        <v>138</v>
      </c>
      <c r="E1609" t="s">
        <v>197</v>
      </c>
      <c r="F1609" t="s">
        <v>206</v>
      </c>
      <c r="G1609" t="s">
        <v>145</v>
      </c>
      <c r="H1609" s="3">
        <v>0.4</v>
      </c>
      <c r="I1609">
        <v>4250</v>
      </c>
      <c r="J1609" s="4">
        <v>1700</v>
      </c>
      <c r="K1609" s="4">
        <v>680</v>
      </c>
      <c r="L1609" s="5">
        <v>0.39999999999999997</v>
      </c>
      <c r="M1609" t="s">
        <v>127</v>
      </c>
      <c r="N1609" t="s">
        <v>362</v>
      </c>
    </row>
    <row r="1610" spans="1:14">
      <c r="A1610" t="s">
        <v>29</v>
      </c>
      <c r="B1610">
        <v>1185732</v>
      </c>
      <c r="C1610" s="2">
        <v>44302</v>
      </c>
      <c r="D1610" t="s">
        <v>138</v>
      </c>
      <c r="E1610" t="s">
        <v>197</v>
      </c>
      <c r="F1610" t="s">
        <v>206</v>
      </c>
      <c r="G1610" t="s">
        <v>146</v>
      </c>
      <c r="H1610" s="3">
        <v>0.30000000000000004</v>
      </c>
      <c r="I1610">
        <v>4500</v>
      </c>
      <c r="J1610" s="4">
        <v>1350.0000000000002</v>
      </c>
      <c r="K1610" s="4">
        <v>405.00000000000006</v>
      </c>
      <c r="L1610" s="5">
        <v>0.3</v>
      </c>
      <c r="M1610" t="s">
        <v>127</v>
      </c>
      <c r="N1610" t="s">
        <v>362</v>
      </c>
    </row>
    <row r="1611" spans="1:14">
      <c r="A1611" t="s">
        <v>29</v>
      </c>
      <c r="B1611">
        <v>1185732</v>
      </c>
      <c r="C1611" s="2">
        <v>44302</v>
      </c>
      <c r="D1611" t="s">
        <v>138</v>
      </c>
      <c r="E1611" t="s">
        <v>197</v>
      </c>
      <c r="F1611" t="s">
        <v>206</v>
      </c>
      <c r="G1611" t="s">
        <v>148</v>
      </c>
      <c r="H1611" s="3">
        <v>0.35</v>
      </c>
      <c r="I1611">
        <v>3750</v>
      </c>
      <c r="J1611" s="4">
        <v>1312.5</v>
      </c>
      <c r="K1611" s="4">
        <v>459.37499999999994</v>
      </c>
      <c r="L1611" s="5">
        <v>0.35</v>
      </c>
      <c r="M1611" t="s">
        <v>127</v>
      </c>
      <c r="N1611" t="s">
        <v>362</v>
      </c>
    </row>
    <row r="1612" spans="1:14">
      <c r="A1612" t="s">
        <v>29</v>
      </c>
      <c r="B1612">
        <v>1185732</v>
      </c>
      <c r="C1612" s="2">
        <v>44302</v>
      </c>
      <c r="D1612" t="s">
        <v>138</v>
      </c>
      <c r="E1612" t="s">
        <v>197</v>
      </c>
      <c r="F1612" t="s">
        <v>206</v>
      </c>
      <c r="G1612" t="s">
        <v>147</v>
      </c>
      <c r="H1612" s="3">
        <v>0.5</v>
      </c>
      <c r="I1612">
        <v>4000</v>
      </c>
      <c r="J1612" s="4">
        <v>2000</v>
      </c>
      <c r="K1612" s="4">
        <v>799.99999999999989</v>
      </c>
      <c r="L1612" s="5">
        <v>0.39999999999999997</v>
      </c>
      <c r="M1612" t="s">
        <v>127</v>
      </c>
      <c r="N1612" t="s">
        <v>362</v>
      </c>
    </row>
    <row r="1613" spans="1:14">
      <c r="A1613" t="s">
        <v>29</v>
      </c>
      <c r="B1613">
        <v>1185732</v>
      </c>
      <c r="C1613" s="2">
        <v>44302</v>
      </c>
      <c r="D1613" t="s">
        <v>138</v>
      </c>
      <c r="E1613" t="s">
        <v>197</v>
      </c>
      <c r="F1613" t="s">
        <v>206</v>
      </c>
      <c r="G1613" t="s">
        <v>144</v>
      </c>
      <c r="H1613" s="3">
        <v>0.4</v>
      </c>
      <c r="I1613">
        <v>5250</v>
      </c>
      <c r="J1613" s="4">
        <v>2100</v>
      </c>
      <c r="K1613" s="4">
        <v>1155</v>
      </c>
      <c r="L1613" s="5">
        <v>0.55000000000000004</v>
      </c>
      <c r="M1613" t="s">
        <v>127</v>
      </c>
      <c r="N1613" t="s">
        <v>362</v>
      </c>
    </row>
    <row r="1614" spans="1:14">
      <c r="A1614" t="s">
        <v>29</v>
      </c>
      <c r="B1614">
        <v>1185732</v>
      </c>
      <c r="C1614" s="2">
        <v>44331</v>
      </c>
      <c r="D1614" t="s">
        <v>138</v>
      </c>
      <c r="E1614" t="s">
        <v>197</v>
      </c>
      <c r="F1614" t="s">
        <v>206</v>
      </c>
      <c r="G1614" t="s">
        <v>27</v>
      </c>
      <c r="H1614" s="3">
        <v>0.5</v>
      </c>
      <c r="I1614">
        <v>7950</v>
      </c>
      <c r="J1614" s="4">
        <v>3975</v>
      </c>
      <c r="K1614" s="4">
        <v>1987.5</v>
      </c>
      <c r="L1614" s="5">
        <v>0.5</v>
      </c>
      <c r="M1614" t="s">
        <v>128</v>
      </c>
      <c r="N1614" t="s">
        <v>362</v>
      </c>
    </row>
    <row r="1615" spans="1:14">
      <c r="A1615" t="s">
        <v>29</v>
      </c>
      <c r="B1615">
        <v>1185732</v>
      </c>
      <c r="C1615" s="2">
        <v>44331</v>
      </c>
      <c r="D1615" t="s">
        <v>138</v>
      </c>
      <c r="E1615" t="s">
        <v>197</v>
      </c>
      <c r="F1615" t="s">
        <v>206</v>
      </c>
      <c r="G1615" t="s">
        <v>145</v>
      </c>
      <c r="H1615" s="3">
        <v>0.5</v>
      </c>
      <c r="I1615">
        <v>5000</v>
      </c>
      <c r="J1615" s="4">
        <v>2500</v>
      </c>
      <c r="K1615" s="4">
        <v>999.99999999999989</v>
      </c>
      <c r="L1615" s="5">
        <v>0.39999999999999997</v>
      </c>
      <c r="M1615" t="s">
        <v>128</v>
      </c>
      <c r="N1615" t="s">
        <v>362</v>
      </c>
    </row>
    <row r="1616" spans="1:14">
      <c r="A1616" t="s">
        <v>29</v>
      </c>
      <c r="B1616">
        <v>1185732</v>
      </c>
      <c r="C1616" s="2">
        <v>44331</v>
      </c>
      <c r="D1616" t="s">
        <v>138</v>
      </c>
      <c r="E1616" t="s">
        <v>197</v>
      </c>
      <c r="F1616" t="s">
        <v>206</v>
      </c>
      <c r="G1616" t="s">
        <v>146</v>
      </c>
      <c r="H1616" s="3">
        <v>0.45</v>
      </c>
      <c r="I1616">
        <v>4750</v>
      </c>
      <c r="J1616" s="4">
        <v>2137.5</v>
      </c>
      <c r="K1616" s="4">
        <v>641.25</v>
      </c>
      <c r="L1616" s="5">
        <v>0.3</v>
      </c>
      <c r="M1616" t="s">
        <v>128</v>
      </c>
      <c r="N1616" t="s">
        <v>362</v>
      </c>
    </row>
    <row r="1617" spans="1:14">
      <c r="A1617" t="s">
        <v>29</v>
      </c>
      <c r="B1617">
        <v>1185732</v>
      </c>
      <c r="C1617" s="2">
        <v>44331</v>
      </c>
      <c r="D1617" t="s">
        <v>138</v>
      </c>
      <c r="E1617" t="s">
        <v>197</v>
      </c>
      <c r="F1617" t="s">
        <v>206</v>
      </c>
      <c r="G1617" t="s">
        <v>148</v>
      </c>
      <c r="H1617" s="3">
        <v>0.45</v>
      </c>
      <c r="I1617">
        <v>4500</v>
      </c>
      <c r="J1617" s="4">
        <v>2025</v>
      </c>
      <c r="K1617" s="4">
        <v>708.75</v>
      </c>
      <c r="L1617" s="5">
        <v>0.35</v>
      </c>
      <c r="M1617" t="s">
        <v>128</v>
      </c>
      <c r="N1617" t="s">
        <v>362</v>
      </c>
    </row>
    <row r="1618" spans="1:14">
      <c r="A1618" t="s">
        <v>29</v>
      </c>
      <c r="B1618">
        <v>1185732</v>
      </c>
      <c r="C1618" s="2">
        <v>44331</v>
      </c>
      <c r="D1618" t="s">
        <v>138</v>
      </c>
      <c r="E1618" t="s">
        <v>197</v>
      </c>
      <c r="F1618" t="s">
        <v>206</v>
      </c>
      <c r="G1618" t="s">
        <v>147</v>
      </c>
      <c r="H1618" s="3">
        <v>0.54999999999999993</v>
      </c>
      <c r="I1618">
        <v>4750</v>
      </c>
      <c r="J1618" s="4">
        <v>2612.4999999999995</v>
      </c>
      <c r="K1618" s="4">
        <v>1044.9999999999998</v>
      </c>
      <c r="L1618" s="5">
        <v>0.39999999999999997</v>
      </c>
      <c r="M1618" t="s">
        <v>128</v>
      </c>
      <c r="N1618" t="s">
        <v>362</v>
      </c>
    </row>
    <row r="1619" spans="1:14">
      <c r="A1619" t="s">
        <v>29</v>
      </c>
      <c r="B1619">
        <v>1185732</v>
      </c>
      <c r="C1619" s="2">
        <v>44331</v>
      </c>
      <c r="D1619" t="s">
        <v>138</v>
      </c>
      <c r="E1619" t="s">
        <v>197</v>
      </c>
      <c r="F1619" t="s">
        <v>206</v>
      </c>
      <c r="G1619" t="s">
        <v>144</v>
      </c>
      <c r="H1619" s="3">
        <v>0.6</v>
      </c>
      <c r="I1619">
        <v>5750</v>
      </c>
      <c r="J1619" s="4">
        <v>3450</v>
      </c>
      <c r="K1619" s="4">
        <v>1897.5000000000002</v>
      </c>
      <c r="L1619" s="5">
        <v>0.55000000000000004</v>
      </c>
      <c r="M1619" t="s">
        <v>128</v>
      </c>
      <c r="N1619" t="s">
        <v>362</v>
      </c>
    </row>
    <row r="1620" spans="1:14">
      <c r="A1620" t="s">
        <v>29</v>
      </c>
      <c r="B1620">
        <v>1185732</v>
      </c>
      <c r="C1620" s="2">
        <v>44364</v>
      </c>
      <c r="D1620" t="s">
        <v>138</v>
      </c>
      <c r="E1620" t="s">
        <v>197</v>
      </c>
      <c r="F1620" t="s">
        <v>206</v>
      </c>
      <c r="G1620" t="s">
        <v>27</v>
      </c>
      <c r="H1620" s="3">
        <v>0.54999999999999993</v>
      </c>
      <c r="I1620">
        <v>8250</v>
      </c>
      <c r="J1620" s="4">
        <v>4537.4999999999991</v>
      </c>
      <c r="K1620" s="4">
        <v>2268.7499999999995</v>
      </c>
      <c r="L1620" s="5">
        <v>0.5</v>
      </c>
      <c r="M1620" t="s">
        <v>129</v>
      </c>
      <c r="N1620" t="s">
        <v>362</v>
      </c>
    </row>
    <row r="1621" spans="1:14">
      <c r="A1621" t="s">
        <v>29</v>
      </c>
      <c r="B1621">
        <v>1185732</v>
      </c>
      <c r="C1621" s="2">
        <v>44364</v>
      </c>
      <c r="D1621" t="s">
        <v>138</v>
      </c>
      <c r="E1621" t="s">
        <v>197</v>
      </c>
      <c r="F1621" t="s">
        <v>206</v>
      </c>
      <c r="G1621" t="s">
        <v>145</v>
      </c>
      <c r="H1621" s="3">
        <v>0.5</v>
      </c>
      <c r="I1621">
        <v>5750</v>
      </c>
      <c r="J1621" s="4">
        <v>2875</v>
      </c>
      <c r="K1621" s="4">
        <v>1150</v>
      </c>
      <c r="L1621" s="5">
        <v>0.39999999999999997</v>
      </c>
      <c r="M1621" t="s">
        <v>129</v>
      </c>
      <c r="N1621" t="s">
        <v>362</v>
      </c>
    </row>
    <row r="1622" spans="1:14">
      <c r="A1622" t="s">
        <v>29</v>
      </c>
      <c r="B1622">
        <v>1185732</v>
      </c>
      <c r="C1622" s="2">
        <v>44364</v>
      </c>
      <c r="D1622" t="s">
        <v>138</v>
      </c>
      <c r="E1622" t="s">
        <v>197</v>
      </c>
      <c r="F1622" t="s">
        <v>206</v>
      </c>
      <c r="G1622" t="s">
        <v>146</v>
      </c>
      <c r="H1622" s="3">
        <v>0.45</v>
      </c>
      <c r="I1622">
        <v>5500</v>
      </c>
      <c r="J1622" s="4">
        <v>2475</v>
      </c>
      <c r="K1622" s="4">
        <v>742.5</v>
      </c>
      <c r="L1622" s="5">
        <v>0.3</v>
      </c>
      <c r="M1622" t="s">
        <v>129</v>
      </c>
      <c r="N1622" t="s">
        <v>362</v>
      </c>
    </row>
    <row r="1623" spans="1:14">
      <c r="A1623" t="s">
        <v>29</v>
      </c>
      <c r="B1623">
        <v>1185732</v>
      </c>
      <c r="C1623" s="2">
        <v>44364</v>
      </c>
      <c r="D1623" t="s">
        <v>138</v>
      </c>
      <c r="E1623" t="s">
        <v>197</v>
      </c>
      <c r="F1623" t="s">
        <v>206</v>
      </c>
      <c r="G1623" t="s">
        <v>148</v>
      </c>
      <c r="H1623" s="3">
        <v>0.45</v>
      </c>
      <c r="I1623">
        <v>5250</v>
      </c>
      <c r="J1623" s="4">
        <v>2362.5</v>
      </c>
      <c r="K1623" s="4">
        <v>826.875</v>
      </c>
      <c r="L1623" s="5">
        <v>0.35</v>
      </c>
      <c r="M1623" t="s">
        <v>129</v>
      </c>
      <c r="N1623" t="s">
        <v>362</v>
      </c>
    </row>
    <row r="1624" spans="1:14">
      <c r="A1624" t="s">
        <v>29</v>
      </c>
      <c r="B1624">
        <v>1185732</v>
      </c>
      <c r="C1624" s="2">
        <v>44364</v>
      </c>
      <c r="D1624" t="s">
        <v>138</v>
      </c>
      <c r="E1624" t="s">
        <v>197</v>
      </c>
      <c r="F1624" t="s">
        <v>206</v>
      </c>
      <c r="G1624" t="s">
        <v>147</v>
      </c>
      <c r="H1624" s="3">
        <v>0.6</v>
      </c>
      <c r="I1624">
        <v>5250</v>
      </c>
      <c r="J1624" s="4">
        <v>3150</v>
      </c>
      <c r="K1624" s="4">
        <v>1260</v>
      </c>
      <c r="L1624" s="5">
        <v>0.39999999999999997</v>
      </c>
      <c r="M1624" t="s">
        <v>129</v>
      </c>
      <c r="N1624" t="s">
        <v>362</v>
      </c>
    </row>
    <row r="1625" spans="1:14">
      <c r="A1625" t="s">
        <v>29</v>
      </c>
      <c r="B1625">
        <v>1185732</v>
      </c>
      <c r="C1625" s="2">
        <v>44364</v>
      </c>
      <c r="D1625" t="s">
        <v>138</v>
      </c>
      <c r="E1625" t="s">
        <v>197</v>
      </c>
      <c r="F1625" t="s">
        <v>206</v>
      </c>
      <c r="G1625" t="s">
        <v>144</v>
      </c>
      <c r="H1625" s="3">
        <v>0.65</v>
      </c>
      <c r="I1625">
        <v>6750</v>
      </c>
      <c r="J1625" s="4">
        <v>4387.5</v>
      </c>
      <c r="K1625" s="4">
        <v>2413.125</v>
      </c>
      <c r="L1625" s="5">
        <v>0.55000000000000004</v>
      </c>
      <c r="M1625" t="s">
        <v>129</v>
      </c>
      <c r="N1625" t="s">
        <v>362</v>
      </c>
    </row>
    <row r="1626" spans="1:14">
      <c r="A1626" t="s">
        <v>29</v>
      </c>
      <c r="B1626">
        <v>1185732</v>
      </c>
      <c r="C1626" s="2">
        <v>44392</v>
      </c>
      <c r="D1626" t="s">
        <v>138</v>
      </c>
      <c r="E1626" t="s">
        <v>197</v>
      </c>
      <c r="F1626" t="s">
        <v>206</v>
      </c>
      <c r="G1626" t="s">
        <v>27</v>
      </c>
      <c r="H1626" s="3">
        <v>0.6</v>
      </c>
      <c r="I1626">
        <v>9000</v>
      </c>
      <c r="J1626" s="4">
        <v>5400</v>
      </c>
      <c r="K1626" s="4">
        <v>2700</v>
      </c>
      <c r="L1626" s="5">
        <v>0.5</v>
      </c>
      <c r="M1626" t="s">
        <v>130</v>
      </c>
      <c r="N1626" t="s">
        <v>363</v>
      </c>
    </row>
    <row r="1627" spans="1:14">
      <c r="A1627" t="s">
        <v>29</v>
      </c>
      <c r="B1627">
        <v>1185732</v>
      </c>
      <c r="C1627" s="2">
        <v>44392</v>
      </c>
      <c r="D1627" t="s">
        <v>138</v>
      </c>
      <c r="E1627" t="s">
        <v>197</v>
      </c>
      <c r="F1627" t="s">
        <v>206</v>
      </c>
      <c r="G1627" t="s">
        <v>145</v>
      </c>
      <c r="H1627" s="3">
        <v>0.55000000000000004</v>
      </c>
      <c r="I1627">
        <v>6500</v>
      </c>
      <c r="J1627" s="4">
        <v>3575.0000000000005</v>
      </c>
      <c r="K1627" s="4">
        <v>1430</v>
      </c>
      <c r="L1627" s="5">
        <v>0.39999999999999997</v>
      </c>
      <c r="M1627" t="s">
        <v>130</v>
      </c>
      <c r="N1627" t="s">
        <v>363</v>
      </c>
    </row>
    <row r="1628" spans="1:14">
      <c r="A1628" t="s">
        <v>29</v>
      </c>
      <c r="B1628">
        <v>1185732</v>
      </c>
      <c r="C1628" s="2">
        <v>44392</v>
      </c>
      <c r="D1628" t="s">
        <v>138</v>
      </c>
      <c r="E1628" t="s">
        <v>197</v>
      </c>
      <c r="F1628" t="s">
        <v>206</v>
      </c>
      <c r="G1628" t="s">
        <v>146</v>
      </c>
      <c r="H1628" s="3">
        <v>0.5</v>
      </c>
      <c r="I1628">
        <v>5750</v>
      </c>
      <c r="J1628" s="4">
        <v>2875</v>
      </c>
      <c r="K1628" s="4">
        <v>862.5</v>
      </c>
      <c r="L1628" s="5">
        <v>0.3</v>
      </c>
      <c r="M1628" t="s">
        <v>130</v>
      </c>
      <c r="N1628" t="s">
        <v>363</v>
      </c>
    </row>
    <row r="1629" spans="1:14">
      <c r="A1629" t="s">
        <v>29</v>
      </c>
      <c r="B1629">
        <v>1185732</v>
      </c>
      <c r="C1629" s="2">
        <v>44392</v>
      </c>
      <c r="D1629" t="s">
        <v>138</v>
      </c>
      <c r="E1629" t="s">
        <v>197</v>
      </c>
      <c r="F1629" t="s">
        <v>206</v>
      </c>
      <c r="G1629" t="s">
        <v>148</v>
      </c>
      <c r="H1629" s="3">
        <v>0.5</v>
      </c>
      <c r="I1629">
        <v>5250</v>
      </c>
      <c r="J1629" s="4">
        <v>2625</v>
      </c>
      <c r="K1629" s="4">
        <v>918.74999999999989</v>
      </c>
      <c r="L1629" s="5">
        <v>0.35</v>
      </c>
      <c r="M1629" t="s">
        <v>130</v>
      </c>
      <c r="N1629" t="s">
        <v>363</v>
      </c>
    </row>
    <row r="1630" spans="1:14">
      <c r="A1630" t="s">
        <v>29</v>
      </c>
      <c r="B1630">
        <v>1185732</v>
      </c>
      <c r="C1630" s="2">
        <v>44392</v>
      </c>
      <c r="D1630" t="s">
        <v>138</v>
      </c>
      <c r="E1630" t="s">
        <v>197</v>
      </c>
      <c r="F1630" t="s">
        <v>206</v>
      </c>
      <c r="G1630" t="s">
        <v>147</v>
      </c>
      <c r="H1630" s="3">
        <v>0.6</v>
      </c>
      <c r="I1630">
        <v>5500</v>
      </c>
      <c r="J1630" s="4">
        <v>3300</v>
      </c>
      <c r="K1630" s="4">
        <v>1320</v>
      </c>
      <c r="L1630" s="5">
        <v>0.39999999999999997</v>
      </c>
      <c r="M1630" t="s">
        <v>130</v>
      </c>
      <c r="N1630" t="s">
        <v>363</v>
      </c>
    </row>
    <row r="1631" spans="1:14">
      <c r="A1631" t="s">
        <v>29</v>
      </c>
      <c r="B1631">
        <v>1185732</v>
      </c>
      <c r="C1631" s="2">
        <v>44392</v>
      </c>
      <c r="D1631" t="s">
        <v>138</v>
      </c>
      <c r="E1631" t="s">
        <v>197</v>
      </c>
      <c r="F1631" t="s">
        <v>206</v>
      </c>
      <c r="G1631" t="s">
        <v>144</v>
      </c>
      <c r="H1631" s="3">
        <v>0.65</v>
      </c>
      <c r="I1631">
        <v>7250</v>
      </c>
      <c r="J1631" s="4">
        <v>4712.5</v>
      </c>
      <c r="K1631" s="4">
        <v>2591.875</v>
      </c>
      <c r="L1631" s="5">
        <v>0.55000000000000004</v>
      </c>
      <c r="M1631" t="s">
        <v>130</v>
      </c>
      <c r="N1631" t="s">
        <v>363</v>
      </c>
    </row>
    <row r="1632" spans="1:14">
      <c r="A1632" t="s">
        <v>29</v>
      </c>
      <c r="B1632">
        <v>1185732</v>
      </c>
      <c r="C1632" s="2">
        <v>44424</v>
      </c>
      <c r="D1632" t="s">
        <v>138</v>
      </c>
      <c r="E1632" t="s">
        <v>197</v>
      </c>
      <c r="F1632" t="s">
        <v>206</v>
      </c>
      <c r="G1632" t="s">
        <v>27</v>
      </c>
      <c r="H1632" s="3">
        <v>0.6</v>
      </c>
      <c r="I1632">
        <v>8750</v>
      </c>
      <c r="J1632" s="4">
        <v>5250</v>
      </c>
      <c r="K1632" s="4">
        <v>2625</v>
      </c>
      <c r="L1632" s="5">
        <v>0.5</v>
      </c>
      <c r="M1632" t="s">
        <v>131</v>
      </c>
      <c r="N1632" t="s">
        <v>363</v>
      </c>
    </row>
    <row r="1633" spans="1:14">
      <c r="A1633" t="s">
        <v>29</v>
      </c>
      <c r="B1633">
        <v>1185732</v>
      </c>
      <c r="C1633" s="2">
        <v>44424</v>
      </c>
      <c r="D1633" t="s">
        <v>138</v>
      </c>
      <c r="E1633" t="s">
        <v>197</v>
      </c>
      <c r="F1633" t="s">
        <v>206</v>
      </c>
      <c r="G1633" t="s">
        <v>145</v>
      </c>
      <c r="H1633" s="3">
        <v>0.55000000000000004</v>
      </c>
      <c r="I1633">
        <v>6500</v>
      </c>
      <c r="J1633" s="4">
        <v>3575.0000000000005</v>
      </c>
      <c r="K1633" s="4">
        <v>1430</v>
      </c>
      <c r="L1633" s="5">
        <v>0.39999999999999997</v>
      </c>
      <c r="M1633" t="s">
        <v>131</v>
      </c>
      <c r="N1633" t="s">
        <v>363</v>
      </c>
    </row>
    <row r="1634" spans="1:14">
      <c r="A1634" t="s">
        <v>29</v>
      </c>
      <c r="B1634">
        <v>1185732</v>
      </c>
      <c r="C1634" s="2">
        <v>44424</v>
      </c>
      <c r="D1634" t="s">
        <v>138</v>
      </c>
      <c r="E1634" t="s">
        <v>197</v>
      </c>
      <c r="F1634" t="s">
        <v>206</v>
      </c>
      <c r="G1634" t="s">
        <v>146</v>
      </c>
      <c r="H1634" s="3">
        <v>0.45000000000000007</v>
      </c>
      <c r="I1634">
        <v>5750</v>
      </c>
      <c r="J1634" s="4">
        <v>2587.5000000000005</v>
      </c>
      <c r="K1634" s="4">
        <v>776.25000000000011</v>
      </c>
      <c r="L1634" s="5">
        <v>0.3</v>
      </c>
      <c r="M1634" t="s">
        <v>131</v>
      </c>
      <c r="N1634" t="s">
        <v>363</v>
      </c>
    </row>
    <row r="1635" spans="1:14">
      <c r="A1635" t="s">
        <v>29</v>
      </c>
      <c r="B1635">
        <v>1185732</v>
      </c>
      <c r="C1635" s="2">
        <v>44424</v>
      </c>
      <c r="D1635" t="s">
        <v>138</v>
      </c>
      <c r="E1635" t="s">
        <v>197</v>
      </c>
      <c r="F1635" t="s">
        <v>206</v>
      </c>
      <c r="G1635" t="s">
        <v>148</v>
      </c>
      <c r="H1635" s="3">
        <v>0.35</v>
      </c>
      <c r="I1635">
        <v>5250</v>
      </c>
      <c r="J1635" s="4">
        <v>1837.4999999999998</v>
      </c>
      <c r="K1635" s="4">
        <v>643.12499999999989</v>
      </c>
      <c r="L1635" s="5">
        <v>0.35</v>
      </c>
      <c r="M1635" t="s">
        <v>131</v>
      </c>
      <c r="N1635" t="s">
        <v>363</v>
      </c>
    </row>
    <row r="1636" spans="1:14">
      <c r="A1636" t="s">
        <v>29</v>
      </c>
      <c r="B1636">
        <v>1185732</v>
      </c>
      <c r="C1636" s="2">
        <v>44424</v>
      </c>
      <c r="D1636" t="s">
        <v>138</v>
      </c>
      <c r="E1636" t="s">
        <v>197</v>
      </c>
      <c r="F1636" t="s">
        <v>206</v>
      </c>
      <c r="G1636" t="s">
        <v>147</v>
      </c>
      <c r="H1636" s="3">
        <v>0.45000000000000007</v>
      </c>
      <c r="I1636">
        <v>5000</v>
      </c>
      <c r="J1636" s="4">
        <v>2250.0000000000005</v>
      </c>
      <c r="K1636" s="4">
        <v>900.00000000000011</v>
      </c>
      <c r="L1636" s="5">
        <v>0.39999999999999997</v>
      </c>
      <c r="M1636" t="s">
        <v>131</v>
      </c>
      <c r="N1636" t="s">
        <v>363</v>
      </c>
    </row>
    <row r="1637" spans="1:14">
      <c r="A1637" t="s">
        <v>29</v>
      </c>
      <c r="B1637">
        <v>1185732</v>
      </c>
      <c r="C1637" s="2">
        <v>44424</v>
      </c>
      <c r="D1637" t="s">
        <v>138</v>
      </c>
      <c r="E1637" t="s">
        <v>197</v>
      </c>
      <c r="F1637" t="s">
        <v>206</v>
      </c>
      <c r="G1637" t="s">
        <v>144</v>
      </c>
      <c r="H1637" s="3">
        <v>0.50000000000000011</v>
      </c>
      <c r="I1637">
        <v>6750</v>
      </c>
      <c r="J1637" s="4">
        <v>3375.0000000000009</v>
      </c>
      <c r="K1637" s="4">
        <v>1856.2500000000007</v>
      </c>
      <c r="L1637" s="5">
        <v>0.55000000000000004</v>
      </c>
      <c r="M1637" t="s">
        <v>131</v>
      </c>
      <c r="N1637" t="s">
        <v>363</v>
      </c>
    </row>
    <row r="1638" spans="1:14">
      <c r="A1638" t="s">
        <v>29</v>
      </c>
      <c r="B1638">
        <v>1185732</v>
      </c>
      <c r="C1638" s="2">
        <v>44454</v>
      </c>
      <c r="D1638" t="s">
        <v>138</v>
      </c>
      <c r="E1638" t="s">
        <v>197</v>
      </c>
      <c r="F1638" t="s">
        <v>206</v>
      </c>
      <c r="G1638" t="s">
        <v>27</v>
      </c>
      <c r="H1638" s="3">
        <v>0.45000000000000007</v>
      </c>
      <c r="I1638">
        <v>8000</v>
      </c>
      <c r="J1638" s="4">
        <v>3600.0000000000005</v>
      </c>
      <c r="K1638" s="4">
        <v>1800.0000000000002</v>
      </c>
      <c r="L1638" s="5">
        <v>0.5</v>
      </c>
      <c r="M1638" t="s">
        <v>132</v>
      </c>
      <c r="N1638" t="s">
        <v>363</v>
      </c>
    </row>
    <row r="1639" spans="1:14">
      <c r="A1639" t="s">
        <v>29</v>
      </c>
      <c r="B1639">
        <v>1185732</v>
      </c>
      <c r="C1639" s="2">
        <v>44454</v>
      </c>
      <c r="D1639" t="s">
        <v>138</v>
      </c>
      <c r="E1639" t="s">
        <v>197</v>
      </c>
      <c r="F1639" t="s">
        <v>206</v>
      </c>
      <c r="G1639" t="s">
        <v>145</v>
      </c>
      <c r="H1639" s="3">
        <v>0.40000000000000013</v>
      </c>
      <c r="I1639">
        <v>6000</v>
      </c>
      <c r="J1639" s="4">
        <v>2400.0000000000009</v>
      </c>
      <c r="K1639" s="4">
        <v>960.00000000000023</v>
      </c>
      <c r="L1639" s="5">
        <v>0.39999999999999997</v>
      </c>
      <c r="M1639" t="s">
        <v>132</v>
      </c>
      <c r="N1639" t="s">
        <v>363</v>
      </c>
    </row>
    <row r="1640" spans="1:14">
      <c r="A1640" t="s">
        <v>29</v>
      </c>
      <c r="B1640">
        <v>1185732</v>
      </c>
      <c r="C1640" s="2">
        <v>44454</v>
      </c>
      <c r="D1640" t="s">
        <v>138</v>
      </c>
      <c r="E1640" t="s">
        <v>197</v>
      </c>
      <c r="F1640" t="s">
        <v>206</v>
      </c>
      <c r="G1640" t="s">
        <v>146</v>
      </c>
      <c r="H1640" s="3">
        <v>0.35</v>
      </c>
      <c r="I1640">
        <v>5000</v>
      </c>
      <c r="J1640" s="4">
        <v>1750</v>
      </c>
      <c r="K1640" s="4">
        <v>525</v>
      </c>
      <c r="L1640" s="5">
        <v>0.3</v>
      </c>
      <c r="M1640" t="s">
        <v>132</v>
      </c>
      <c r="N1640" t="s">
        <v>363</v>
      </c>
    </row>
    <row r="1641" spans="1:14">
      <c r="A1641" t="s">
        <v>29</v>
      </c>
      <c r="B1641">
        <v>1185732</v>
      </c>
      <c r="C1641" s="2">
        <v>44454</v>
      </c>
      <c r="D1641" t="s">
        <v>138</v>
      </c>
      <c r="E1641" t="s">
        <v>197</v>
      </c>
      <c r="F1641" t="s">
        <v>206</v>
      </c>
      <c r="G1641" t="s">
        <v>148</v>
      </c>
      <c r="H1641" s="3">
        <v>0.35</v>
      </c>
      <c r="I1641">
        <v>4750</v>
      </c>
      <c r="J1641" s="4">
        <v>1662.5</v>
      </c>
      <c r="K1641" s="4">
        <v>581.875</v>
      </c>
      <c r="L1641" s="5">
        <v>0.35</v>
      </c>
      <c r="M1641" t="s">
        <v>132</v>
      </c>
      <c r="N1641" t="s">
        <v>363</v>
      </c>
    </row>
    <row r="1642" spans="1:14">
      <c r="A1642" t="s">
        <v>29</v>
      </c>
      <c r="B1642">
        <v>1185732</v>
      </c>
      <c r="C1642" s="2">
        <v>44454</v>
      </c>
      <c r="D1642" t="s">
        <v>138</v>
      </c>
      <c r="E1642" t="s">
        <v>197</v>
      </c>
      <c r="F1642" t="s">
        <v>206</v>
      </c>
      <c r="G1642" t="s">
        <v>147</v>
      </c>
      <c r="H1642" s="3">
        <v>0.45000000000000007</v>
      </c>
      <c r="I1642">
        <v>4750</v>
      </c>
      <c r="J1642" s="4">
        <v>2137.5000000000005</v>
      </c>
      <c r="K1642" s="4">
        <v>855.00000000000011</v>
      </c>
      <c r="L1642" s="5">
        <v>0.39999999999999997</v>
      </c>
      <c r="M1642" t="s">
        <v>132</v>
      </c>
      <c r="N1642" t="s">
        <v>363</v>
      </c>
    </row>
    <row r="1643" spans="1:14">
      <c r="A1643" t="s">
        <v>29</v>
      </c>
      <c r="B1643">
        <v>1185732</v>
      </c>
      <c r="C1643" s="2">
        <v>44454</v>
      </c>
      <c r="D1643" t="s">
        <v>138</v>
      </c>
      <c r="E1643" t="s">
        <v>197</v>
      </c>
      <c r="F1643" t="s">
        <v>206</v>
      </c>
      <c r="G1643" t="s">
        <v>144</v>
      </c>
      <c r="H1643" s="3">
        <v>0.50000000000000011</v>
      </c>
      <c r="I1643">
        <v>5750</v>
      </c>
      <c r="J1643" s="4">
        <v>2875.0000000000005</v>
      </c>
      <c r="K1643" s="4">
        <v>1581.2500000000005</v>
      </c>
      <c r="L1643" s="5">
        <v>0.55000000000000004</v>
      </c>
      <c r="M1643" t="s">
        <v>132</v>
      </c>
      <c r="N1643" t="s">
        <v>363</v>
      </c>
    </row>
    <row r="1644" spans="1:14">
      <c r="A1644" t="s">
        <v>29</v>
      </c>
      <c r="B1644">
        <v>1185732</v>
      </c>
      <c r="C1644" s="2">
        <v>44486</v>
      </c>
      <c r="D1644" t="s">
        <v>138</v>
      </c>
      <c r="E1644" t="s">
        <v>197</v>
      </c>
      <c r="F1644" t="s">
        <v>206</v>
      </c>
      <c r="G1644" t="s">
        <v>27</v>
      </c>
      <c r="H1644" s="3">
        <v>0.50000000000000011</v>
      </c>
      <c r="I1644">
        <v>7500</v>
      </c>
      <c r="J1644" s="4">
        <v>3750.0000000000009</v>
      </c>
      <c r="K1644" s="4">
        <v>1875.0000000000005</v>
      </c>
      <c r="L1644" s="5">
        <v>0.5</v>
      </c>
      <c r="M1644" t="s">
        <v>133</v>
      </c>
      <c r="N1644" t="s">
        <v>364</v>
      </c>
    </row>
    <row r="1645" spans="1:14">
      <c r="A1645" t="s">
        <v>29</v>
      </c>
      <c r="B1645">
        <v>1185732</v>
      </c>
      <c r="C1645" s="2">
        <v>44486</v>
      </c>
      <c r="D1645" t="s">
        <v>138</v>
      </c>
      <c r="E1645" t="s">
        <v>197</v>
      </c>
      <c r="F1645" t="s">
        <v>206</v>
      </c>
      <c r="G1645" t="s">
        <v>145</v>
      </c>
      <c r="H1645" s="3">
        <v>0.40000000000000013</v>
      </c>
      <c r="I1645">
        <v>5750</v>
      </c>
      <c r="J1645" s="4">
        <v>2300.0000000000009</v>
      </c>
      <c r="K1645" s="4">
        <v>920.00000000000034</v>
      </c>
      <c r="L1645" s="5">
        <v>0.39999999999999997</v>
      </c>
      <c r="M1645" t="s">
        <v>133</v>
      </c>
      <c r="N1645" t="s">
        <v>364</v>
      </c>
    </row>
    <row r="1646" spans="1:14">
      <c r="A1646" t="s">
        <v>29</v>
      </c>
      <c r="B1646">
        <v>1185732</v>
      </c>
      <c r="C1646" s="2">
        <v>44486</v>
      </c>
      <c r="D1646" t="s">
        <v>138</v>
      </c>
      <c r="E1646" t="s">
        <v>197</v>
      </c>
      <c r="F1646" t="s">
        <v>206</v>
      </c>
      <c r="G1646" t="s">
        <v>146</v>
      </c>
      <c r="H1646" s="3">
        <v>0.40000000000000013</v>
      </c>
      <c r="I1646">
        <v>4250</v>
      </c>
      <c r="J1646" s="4">
        <v>1700.0000000000005</v>
      </c>
      <c r="K1646" s="4">
        <v>510.00000000000011</v>
      </c>
      <c r="L1646" s="5">
        <v>0.3</v>
      </c>
      <c r="M1646" t="s">
        <v>133</v>
      </c>
      <c r="N1646" t="s">
        <v>364</v>
      </c>
    </row>
    <row r="1647" spans="1:14">
      <c r="A1647" t="s">
        <v>29</v>
      </c>
      <c r="B1647">
        <v>1185732</v>
      </c>
      <c r="C1647" s="2">
        <v>44486</v>
      </c>
      <c r="D1647" t="s">
        <v>138</v>
      </c>
      <c r="E1647" t="s">
        <v>197</v>
      </c>
      <c r="F1647" t="s">
        <v>206</v>
      </c>
      <c r="G1647" t="s">
        <v>148</v>
      </c>
      <c r="H1647" s="3">
        <v>0.40000000000000013</v>
      </c>
      <c r="I1647">
        <v>4000</v>
      </c>
      <c r="J1647" s="4">
        <v>1600.0000000000005</v>
      </c>
      <c r="K1647" s="4">
        <v>560.00000000000011</v>
      </c>
      <c r="L1647" s="5">
        <v>0.35</v>
      </c>
      <c r="M1647" t="s">
        <v>133</v>
      </c>
      <c r="N1647" t="s">
        <v>364</v>
      </c>
    </row>
    <row r="1648" spans="1:14">
      <c r="A1648" t="s">
        <v>29</v>
      </c>
      <c r="B1648">
        <v>1185732</v>
      </c>
      <c r="C1648" s="2">
        <v>44486</v>
      </c>
      <c r="D1648" t="s">
        <v>138</v>
      </c>
      <c r="E1648" t="s">
        <v>197</v>
      </c>
      <c r="F1648" t="s">
        <v>206</v>
      </c>
      <c r="G1648" t="s">
        <v>147</v>
      </c>
      <c r="H1648" s="3">
        <v>0.50000000000000011</v>
      </c>
      <c r="I1648">
        <v>4000</v>
      </c>
      <c r="J1648" s="4">
        <v>2000.0000000000005</v>
      </c>
      <c r="K1648" s="4">
        <v>800.00000000000011</v>
      </c>
      <c r="L1648" s="5">
        <v>0.39999999999999997</v>
      </c>
      <c r="M1648" t="s">
        <v>133</v>
      </c>
      <c r="N1648" t="s">
        <v>364</v>
      </c>
    </row>
    <row r="1649" spans="1:14">
      <c r="A1649" t="s">
        <v>29</v>
      </c>
      <c r="B1649">
        <v>1185732</v>
      </c>
      <c r="C1649" s="2">
        <v>44486</v>
      </c>
      <c r="D1649" t="s">
        <v>138</v>
      </c>
      <c r="E1649" t="s">
        <v>197</v>
      </c>
      <c r="F1649" t="s">
        <v>206</v>
      </c>
      <c r="G1649" t="s">
        <v>144</v>
      </c>
      <c r="H1649" s="3">
        <v>0.55000000000000004</v>
      </c>
      <c r="I1649">
        <v>5250</v>
      </c>
      <c r="J1649" s="4">
        <v>2887.5000000000005</v>
      </c>
      <c r="K1649" s="4">
        <v>1588.1250000000005</v>
      </c>
      <c r="L1649" s="5">
        <v>0.55000000000000004</v>
      </c>
      <c r="M1649" t="s">
        <v>133</v>
      </c>
      <c r="N1649" t="s">
        <v>364</v>
      </c>
    </row>
    <row r="1650" spans="1:14">
      <c r="A1650" t="s">
        <v>29</v>
      </c>
      <c r="B1650">
        <v>1185732</v>
      </c>
      <c r="C1650" s="2">
        <v>44516</v>
      </c>
      <c r="D1650" t="s">
        <v>138</v>
      </c>
      <c r="E1650" t="s">
        <v>197</v>
      </c>
      <c r="F1650" t="s">
        <v>206</v>
      </c>
      <c r="G1650" t="s">
        <v>27</v>
      </c>
      <c r="H1650" s="3">
        <v>0.50000000000000011</v>
      </c>
      <c r="I1650">
        <v>6750</v>
      </c>
      <c r="J1650" s="4">
        <v>3375.0000000000009</v>
      </c>
      <c r="K1650" s="4">
        <v>1687.5000000000005</v>
      </c>
      <c r="L1650" s="5">
        <v>0.5</v>
      </c>
      <c r="M1650" t="s">
        <v>134</v>
      </c>
      <c r="N1650" t="s">
        <v>364</v>
      </c>
    </row>
    <row r="1651" spans="1:14">
      <c r="A1651" t="s">
        <v>29</v>
      </c>
      <c r="B1651">
        <v>1185732</v>
      </c>
      <c r="C1651" s="2">
        <v>44516</v>
      </c>
      <c r="D1651" t="s">
        <v>138</v>
      </c>
      <c r="E1651" t="s">
        <v>197</v>
      </c>
      <c r="F1651" t="s">
        <v>206</v>
      </c>
      <c r="G1651" t="s">
        <v>145</v>
      </c>
      <c r="H1651" s="3">
        <v>0.45000000000000012</v>
      </c>
      <c r="I1651">
        <v>5000</v>
      </c>
      <c r="J1651" s="4">
        <v>2250.0000000000005</v>
      </c>
      <c r="K1651" s="4">
        <v>900.00000000000011</v>
      </c>
      <c r="L1651" s="5">
        <v>0.39999999999999997</v>
      </c>
      <c r="M1651" t="s">
        <v>134</v>
      </c>
      <c r="N1651" t="s">
        <v>364</v>
      </c>
    </row>
    <row r="1652" spans="1:14">
      <c r="A1652" t="s">
        <v>29</v>
      </c>
      <c r="B1652">
        <v>1185732</v>
      </c>
      <c r="C1652" s="2">
        <v>44516</v>
      </c>
      <c r="D1652" t="s">
        <v>138</v>
      </c>
      <c r="E1652" t="s">
        <v>197</v>
      </c>
      <c r="F1652" t="s">
        <v>206</v>
      </c>
      <c r="G1652" t="s">
        <v>146</v>
      </c>
      <c r="H1652" s="3">
        <v>0.45000000000000012</v>
      </c>
      <c r="I1652">
        <v>4450</v>
      </c>
      <c r="J1652" s="4">
        <v>2002.5000000000005</v>
      </c>
      <c r="K1652" s="4">
        <v>600.75000000000011</v>
      </c>
      <c r="L1652" s="5">
        <v>0.3</v>
      </c>
      <c r="M1652" t="s">
        <v>134</v>
      </c>
      <c r="N1652" t="s">
        <v>364</v>
      </c>
    </row>
    <row r="1653" spans="1:14">
      <c r="A1653" t="s">
        <v>29</v>
      </c>
      <c r="B1653">
        <v>1185732</v>
      </c>
      <c r="C1653" s="2">
        <v>44516</v>
      </c>
      <c r="D1653" t="s">
        <v>138</v>
      </c>
      <c r="E1653" t="s">
        <v>197</v>
      </c>
      <c r="F1653" t="s">
        <v>206</v>
      </c>
      <c r="G1653" t="s">
        <v>148</v>
      </c>
      <c r="H1653" s="3">
        <v>0.45000000000000012</v>
      </c>
      <c r="I1653">
        <v>4750</v>
      </c>
      <c r="J1653" s="4">
        <v>2137.5000000000005</v>
      </c>
      <c r="K1653" s="4">
        <v>748.12500000000011</v>
      </c>
      <c r="L1653" s="5">
        <v>0.35</v>
      </c>
      <c r="M1653" t="s">
        <v>134</v>
      </c>
      <c r="N1653" t="s">
        <v>364</v>
      </c>
    </row>
    <row r="1654" spans="1:14">
      <c r="A1654" t="s">
        <v>29</v>
      </c>
      <c r="B1654">
        <v>1185732</v>
      </c>
      <c r="C1654" s="2">
        <v>44516</v>
      </c>
      <c r="D1654" t="s">
        <v>138</v>
      </c>
      <c r="E1654" t="s">
        <v>197</v>
      </c>
      <c r="F1654" t="s">
        <v>206</v>
      </c>
      <c r="G1654" t="s">
        <v>147</v>
      </c>
      <c r="H1654" s="3">
        <v>0.6</v>
      </c>
      <c r="I1654">
        <v>4500</v>
      </c>
      <c r="J1654" s="4">
        <v>2700</v>
      </c>
      <c r="K1654" s="4">
        <v>1080</v>
      </c>
      <c r="L1654" s="5">
        <v>0.39999999999999997</v>
      </c>
      <c r="M1654" t="s">
        <v>134</v>
      </c>
      <c r="N1654" t="s">
        <v>364</v>
      </c>
    </row>
    <row r="1655" spans="1:14">
      <c r="A1655" t="s">
        <v>29</v>
      </c>
      <c r="B1655">
        <v>1185732</v>
      </c>
      <c r="C1655" s="2">
        <v>44516</v>
      </c>
      <c r="D1655" t="s">
        <v>138</v>
      </c>
      <c r="E1655" t="s">
        <v>197</v>
      </c>
      <c r="F1655" t="s">
        <v>206</v>
      </c>
      <c r="G1655" t="s">
        <v>144</v>
      </c>
      <c r="H1655" s="3">
        <v>0.64999999999999991</v>
      </c>
      <c r="I1655">
        <v>6250</v>
      </c>
      <c r="J1655" s="4">
        <v>4062.4999999999995</v>
      </c>
      <c r="K1655" s="4">
        <v>2234.375</v>
      </c>
      <c r="L1655" s="5">
        <v>0.55000000000000004</v>
      </c>
      <c r="M1655" t="s">
        <v>134</v>
      </c>
      <c r="N1655" t="s">
        <v>364</v>
      </c>
    </row>
    <row r="1656" spans="1:14">
      <c r="A1656" t="s">
        <v>29</v>
      </c>
      <c r="B1656">
        <v>1185732</v>
      </c>
      <c r="C1656" s="2">
        <v>44545</v>
      </c>
      <c r="D1656" t="s">
        <v>138</v>
      </c>
      <c r="E1656" t="s">
        <v>197</v>
      </c>
      <c r="F1656" t="s">
        <v>206</v>
      </c>
      <c r="G1656" t="s">
        <v>27</v>
      </c>
      <c r="H1656" s="3">
        <v>0.6</v>
      </c>
      <c r="I1656">
        <v>8500</v>
      </c>
      <c r="J1656" s="4">
        <v>5100</v>
      </c>
      <c r="K1656" s="4">
        <v>2550</v>
      </c>
      <c r="L1656" s="5">
        <v>0.5</v>
      </c>
      <c r="M1656" t="s">
        <v>23</v>
      </c>
      <c r="N1656" t="s">
        <v>364</v>
      </c>
    </row>
    <row r="1657" spans="1:14">
      <c r="A1657" t="s">
        <v>29</v>
      </c>
      <c r="B1657">
        <v>1185732</v>
      </c>
      <c r="C1657" s="2">
        <v>44545</v>
      </c>
      <c r="D1657" t="s">
        <v>138</v>
      </c>
      <c r="E1657" t="s">
        <v>197</v>
      </c>
      <c r="F1657" t="s">
        <v>206</v>
      </c>
      <c r="G1657" t="s">
        <v>145</v>
      </c>
      <c r="H1657" s="3">
        <v>0.5</v>
      </c>
      <c r="I1657">
        <v>6500</v>
      </c>
      <c r="J1657" s="4">
        <v>3250</v>
      </c>
      <c r="K1657" s="4">
        <v>1300</v>
      </c>
      <c r="L1657" s="5">
        <v>0.39999999999999997</v>
      </c>
      <c r="M1657" t="s">
        <v>23</v>
      </c>
      <c r="N1657" t="s">
        <v>364</v>
      </c>
    </row>
    <row r="1658" spans="1:14">
      <c r="A1658" t="s">
        <v>29</v>
      </c>
      <c r="B1658">
        <v>1185732</v>
      </c>
      <c r="C1658" s="2">
        <v>44545</v>
      </c>
      <c r="D1658" t="s">
        <v>138</v>
      </c>
      <c r="E1658" t="s">
        <v>197</v>
      </c>
      <c r="F1658" t="s">
        <v>206</v>
      </c>
      <c r="G1658" t="s">
        <v>146</v>
      </c>
      <c r="H1658" s="3">
        <v>0.5</v>
      </c>
      <c r="I1658">
        <v>6000</v>
      </c>
      <c r="J1658" s="4">
        <v>3000</v>
      </c>
      <c r="K1658" s="4">
        <v>900</v>
      </c>
      <c r="L1658" s="5">
        <v>0.3</v>
      </c>
      <c r="M1658" t="s">
        <v>23</v>
      </c>
      <c r="N1658" t="s">
        <v>364</v>
      </c>
    </row>
    <row r="1659" spans="1:14">
      <c r="A1659" t="s">
        <v>29</v>
      </c>
      <c r="B1659">
        <v>1185732</v>
      </c>
      <c r="C1659" s="2">
        <v>44545</v>
      </c>
      <c r="D1659" t="s">
        <v>138</v>
      </c>
      <c r="E1659" t="s">
        <v>197</v>
      </c>
      <c r="F1659" t="s">
        <v>206</v>
      </c>
      <c r="G1659" t="s">
        <v>148</v>
      </c>
      <c r="H1659" s="3">
        <v>0.5</v>
      </c>
      <c r="I1659">
        <v>5500</v>
      </c>
      <c r="J1659" s="4">
        <v>2750</v>
      </c>
      <c r="K1659" s="4">
        <v>962.49999999999989</v>
      </c>
      <c r="L1659" s="5">
        <v>0.35</v>
      </c>
      <c r="M1659" t="s">
        <v>23</v>
      </c>
      <c r="N1659" t="s">
        <v>364</v>
      </c>
    </row>
    <row r="1660" spans="1:14">
      <c r="A1660" t="s">
        <v>29</v>
      </c>
      <c r="B1660">
        <v>1185732</v>
      </c>
      <c r="C1660" s="2">
        <v>44545</v>
      </c>
      <c r="D1660" t="s">
        <v>138</v>
      </c>
      <c r="E1660" t="s">
        <v>197</v>
      </c>
      <c r="F1660" t="s">
        <v>206</v>
      </c>
      <c r="G1660" t="s">
        <v>147</v>
      </c>
      <c r="H1660" s="3">
        <v>0.6</v>
      </c>
      <c r="I1660">
        <v>5500</v>
      </c>
      <c r="J1660" s="4">
        <v>3300</v>
      </c>
      <c r="K1660" s="4">
        <v>1320</v>
      </c>
      <c r="L1660" s="5">
        <v>0.39999999999999997</v>
      </c>
      <c r="M1660" t="s">
        <v>23</v>
      </c>
      <c r="N1660" t="s">
        <v>364</v>
      </c>
    </row>
    <row r="1661" spans="1:14">
      <c r="A1661" t="s">
        <v>29</v>
      </c>
      <c r="B1661">
        <v>1185732</v>
      </c>
      <c r="C1661" s="2">
        <v>44545</v>
      </c>
      <c r="D1661" t="s">
        <v>138</v>
      </c>
      <c r="E1661" t="s">
        <v>197</v>
      </c>
      <c r="F1661" t="s">
        <v>206</v>
      </c>
      <c r="G1661" t="s">
        <v>144</v>
      </c>
      <c r="H1661" s="3">
        <v>0.64999999999999991</v>
      </c>
      <c r="I1661">
        <v>6500</v>
      </c>
      <c r="J1661" s="4">
        <v>4224.9999999999991</v>
      </c>
      <c r="K1661" s="4">
        <v>2323.7499999999995</v>
      </c>
      <c r="L1661" s="5">
        <v>0.55000000000000004</v>
      </c>
      <c r="M1661" t="s">
        <v>23</v>
      </c>
      <c r="N1661" t="s">
        <v>364</v>
      </c>
    </row>
    <row r="1662" spans="1:14">
      <c r="A1662" t="s">
        <v>29</v>
      </c>
      <c r="B1662">
        <v>1185732</v>
      </c>
      <c r="C1662" s="2">
        <v>44214</v>
      </c>
      <c r="D1662" t="s">
        <v>140</v>
      </c>
      <c r="E1662" t="s">
        <v>235</v>
      </c>
      <c r="F1662" t="s">
        <v>244</v>
      </c>
      <c r="G1662" t="s">
        <v>27</v>
      </c>
      <c r="H1662" s="3">
        <v>0.3</v>
      </c>
      <c r="I1662">
        <v>6250</v>
      </c>
      <c r="J1662" s="4">
        <v>1875</v>
      </c>
      <c r="K1662" s="4">
        <v>750</v>
      </c>
      <c r="L1662" s="5">
        <v>0.4</v>
      </c>
      <c r="M1662" t="s">
        <v>125</v>
      </c>
      <c r="N1662" t="s">
        <v>361</v>
      </c>
    </row>
    <row r="1663" spans="1:14">
      <c r="A1663" t="s">
        <v>29</v>
      </c>
      <c r="B1663">
        <v>1185732</v>
      </c>
      <c r="C1663" s="2">
        <v>44214</v>
      </c>
      <c r="D1663" t="s">
        <v>140</v>
      </c>
      <c r="E1663" t="s">
        <v>235</v>
      </c>
      <c r="F1663" t="s">
        <v>244</v>
      </c>
      <c r="G1663" t="s">
        <v>145</v>
      </c>
      <c r="H1663" s="3">
        <v>0.3</v>
      </c>
      <c r="I1663">
        <v>4250</v>
      </c>
      <c r="J1663" s="4">
        <v>1275</v>
      </c>
      <c r="K1663" s="4">
        <v>446.25</v>
      </c>
      <c r="L1663" s="5">
        <v>0.35</v>
      </c>
      <c r="M1663" t="s">
        <v>125</v>
      </c>
      <c r="N1663" t="s">
        <v>361</v>
      </c>
    </row>
    <row r="1664" spans="1:14">
      <c r="A1664" t="s">
        <v>29</v>
      </c>
      <c r="B1664">
        <v>1185732</v>
      </c>
      <c r="C1664" s="2">
        <v>44214</v>
      </c>
      <c r="D1664" t="s">
        <v>140</v>
      </c>
      <c r="E1664" t="s">
        <v>235</v>
      </c>
      <c r="F1664" t="s">
        <v>244</v>
      </c>
      <c r="G1664" t="s">
        <v>146</v>
      </c>
      <c r="H1664" s="3">
        <v>0.2</v>
      </c>
      <c r="I1664">
        <v>4250</v>
      </c>
      <c r="J1664" s="4">
        <v>850</v>
      </c>
      <c r="K1664" s="4">
        <v>297.5</v>
      </c>
      <c r="L1664" s="5">
        <v>0.35</v>
      </c>
      <c r="M1664" t="s">
        <v>125</v>
      </c>
      <c r="N1664" t="s">
        <v>361</v>
      </c>
    </row>
    <row r="1665" spans="1:14">
      <c r="A1665" t="s">
        <v>29</v>
      </c>
      <c r="B1665">
        <v>1185732</v>
      </c>
      <c r="C1665" s="2">
        <v>44214</v>
      </c>
      <c r="D1665" t="s">
        <v>140</v>
      </c>
      <c r="E1665" t="s">
        <v>235</v>
      </c>
      <c r="F1665" t="s">
        <v>244</v>
      </c>
      <c r="G1665" t="s">
        <v>148</v>
      </c>
      <c r="H1665" s="3">
        <v>0.25000000000000006</v>
      </c>
      <c r="I1665">
        <v>2750</v>
      </c>
      <c r="J1665" s="4">
        <v>687.50000000000011</v>
      </c>
      <c r="K1665" s="4">
        <v>275.00000000000006</v>
      </c>
      <c r="L1665" s="5">
        <v>0.4</v>
      </c>
      <c r="M1665" t="s">
        <v>125</v>
      </c>
      <c r="N1665" t="s">
        <v>361</v>
      </c>
    </row>
    <row r="1666" spans="1:14">
      <c r="A1666" t="s">
        <v>29</v>
      </c>
      <c r="B1666">
        <v>1185732</v>
      </c>
      <c r="C1666" s="2">
        <v>44214</v>
      </c>
      <c r="D1666" t="s">
        <v>140</v>
      </c>
      <c r="E1666" t="s">
        <v>235</v>
      </c>
      <c r="F1666" t="s">
        <v>244</v>
      </c>
      <c r="G1666" t="s">
        <v>147</v>
      </c>
      <c r="H1666" s="3">
        <v>0.39999999999999997</v>
      </c>
      <c r="I1666">
        <v>3250</v>
      </c>
      <c r="J1666" s="4">
        <v>1300</v>
      </c>
      <c r="K1666" s="4">
        <v>454.99999999999994</v>
      </c>
      <c r="L1666" s="5">
        <v>0.35</v>
      </c>
      <c r="M1666" t="s">
        <v>125</v>
      </c>
      <c r="N1666" t="s">
        <v>361</v>
      </c>
    </row>
    <row r="1667" spans="1:14">
      <c r="A1667" t="s">
        <v>29</v>
      </c>
      <c r="B1667">
        <v>1185732</v>
      </c>
      <c r="C1667" s="2">
        <v>44214</v>
      </c>
      <c r="D1667" t="s">
        <v>140</v>
      </c>
      <c r="E1667" t="s">
        <v>235</v>
      </c>
      <c r="F1667" t="s">
        <v>244</v>
      </c>
      <c r="G1667" t="s">
        <v>144</v>
      </c>
      <c r="H1667" s="3">
        <v>0.3</v>
      </c>
      <c r="I1667">
        <v>4250</v>
      </c>
      <c r="J1667" s="4">
        <v>1275</v>
      </c>
      <c r="K1667" s="4">
        <v>637.5</v>
      </c>
      <c r="L1667" s="5">
        <v>0.5</v>
      </c>
      <c r="M1667" t="s">
        <v>125</v>
      </c>
      <c r="N1667" t="s">
        <v>361</v>
      </c>
    </row>
    <row r="1668" spans="1:14">
      <c r="A1668" t="s">
        <v>29</v>
      </c>
      <c r="B1668">
        <v>1185732</v>
      </c>
      <c r="C1668" s="2">
        <v>44245</v>
      </c>
      <c r="D1668" t="s">
        <v>140</v>
      </c>
      <c r="E1668" t="s">
        <v>235</v>
      </c>
      <c r="F1668" t="s">
        <v>244</v>
      </c>
      <c r="G1668" t="s">
        <v>27</v>
      </c>
      <c r="H1668" s="3">
        <v>0.3</v>
      </c>
      <c r="I1668">
        <v>6750</v>
      </c>
      <c r="J1668" s="4">
        <v>2025</v>
      </c>
      <c r="K1668" s="4">
        <v>810</v>
      </c>
      <c r="L1668" s="5">
        <v>0.4</v>
      </c>
      <c r="M1668" t="s">
        <v>126</v>
      </c>
      <c r="N1668" t="s">
        <v>361</v>
      </c>
    </row>
    <row r="1669" spans="1:14">
      <c r="A1669" t="s">
        <v>29</v>
      </c>
      <c r="B1669">
        <v>1185732</v>
      </c>
      <c r="C1669" s="2">
        <v>44245</v>
      </c>
      <c r="D1669" t="s">
        <v>140</v>
      </c>
      <c r="E1669" t="s">
        <v>235</v>
      </c>
      <c r="F1669" t="s">
        <v>244</v>
      </c>
      <c r="G1669" t="s">
        <v>145</v>
      </c>
      <c r="H1669" s="3">
        <v>0.3</v>
      </c>
      <c r="I1669">
        <v>3250</v>
      </c>
      <c r="J1669" s="4">
        <v>975</v>
      </c>
      <c r="K1669" s="4">
        <v>341.25</v>
      </c>
      <c r="L1669" s="5">
        <v>0.35</v>
      </c>
      <c r="M1669" t="s">
        <v>126</v>
      </c>
      <c r="N1669" t="s">
        <v>361</v>
      </c>
    </row>
    <row r="1670" spans="1:14">
      <c r="A1670" t="s">
        <v>29</v>
      </c>
      <c r="B1670">
        <v>1185732</v>
      </c>
      <c r="C1670" s="2">
        <v>44245</v>
      </c>
      <c r="D1670" t="s">
        <v>140</v>
      </c>
      <c r="E1670" t="s">
        <v>235</v>
      </c>
      <c r="F1670" t="s">
        <v>244</v>
      </c>
      <c r="G1670" t="s">
        <v>146</v>
      </c>
      <c r="H1670" s="3">
        <v>0.2</v>
      </c>
      <c r="I1670">
        <v>3750</v>
      </c>
      <c r="J1670" s="4">
        <v>750</v>
      </c>
      <c r="K1670" s="4">
        <v>262.5</v>
      </c>
      <c r="L1670" s="5">
        <v>0.35</v>
      </c>
      <c r="M1670" t="s">
        <v>126</v>
      </c>
      <c r="N1670" t="s">
        <v>361</v>
      </c>
    </row>
    <row r="1671" spans="1:14">
      <c r="A1671" t="s">
        <v>29</v>
      </c>
      <c r="B1671">
        <v>1185732</v>
      </c>
      <c r="C1671" s="2">
        <v>44245</v>
      </c>
      <c r="D1671" t="s">
        <v>140</v>
      </c>
      <c r="E1671" t="s">
        <v>235</v>
      </c>
      <c r="F1671" t="s">
        <v>244</v>
      </c>
      <c r="G1671" t="s">
        <v>148</v>
      </c>
      <c r="H1671" s="3">
        <v>0.25000000000000006</v>
      </c>
      <c r="I1671">
        <v>2500</v>
      </c>
      <c r="J1671" s="4">
        <v>625.00000000000011</v>
      </c>
      <c r="K1671" s="4">
        <v>250.00000000000006</v>
      </c>
      <c r="L1671" s="5">
        <v>0.4</v>
      </c>
      <c r="M1671" t="s">
        <v>126</v>
      </c>
      <c r="N1671" t="s">
        <v>361</v>
      </c>
    </row>
    <row r="1672" spans="1:14">
      <c r="A1672" t="s">
        <v>29</v>
      </c>
      <c r="B1672">
        <v>1185732</v>
      </c>
      <c r="C1672" s="2">
        <v>44245</v>
      </c>
      <c r="D1672" t="s">
        <v>140</v>
      </c>
      <c r="E1672" t="s">
        <v>235</v>
      </c>
      <c r="F1672" t="s">
        <v>244</v>
      </c>
      <c r="G1672" t="s">
        <v>147</v>
      </c>
      <c r="H1672" s="3">
        <v>0.39999999999999997</v>
      </c>
      <c r="I1672">
        <v>3250</v>
      </c>
      <c r="J1672" s="4">
        <v>1300</v>
      </c>
      <c r="K1672" s="4">
        <v>454.99999999999994</v>
      </c>
      <c r="L1672" s="5">
        <v>0.35</v>
      </c>
      <c r="M1672" t="s">
        <v>126</v>
      </c>
      <c r="N1672" t="s">
        <v>361</v>
      </c>
    </row>
    <row r="1673" spans="1:14">
      <c r="A1673" t="s">
        <v>29</v>
      </c>
      <c r="B1673">
        <v>1185732</v>
      </c>
      <c r="C1673" s="2">
        <v>44245</v>
      </c>
      <c r="D1673" t="s">
        <v>140</v>
      </c>
      <c r="E1673" t="s">
        <v>235</v>
      </c>
      <c r="F1673" t="s">
        <v>244</v>
      </c>
      <c r="G1673" t="s">
        <v>144</v>
      </c>
      <c r="H1673" s="3">
        <v>0.3</v>
      </c>
      <c r="I1673">
        <v>4000</v>
      </c>
      <c r="J1673" s="4">
        <v>1200</v>
      </c>
      <c r="K1673" s="4">
        <v>600</v>
      </c>
      <c r="L1673" s="5">
        <v>0.5</v>
      </c>
      <c r="M1673" t="s">
        <v>126</v>
      </c>
      <c r="N1673" t="s">
        <v>361</v>
      </c>
    </row>
    <row r="1674" spans="1:14">
      <c r="A1674" t="s">
        <v>29</v>
      </c>
      <c r="B1674">
        <v>1185732</v>
      </c>
      <c r="C1674" s="2">
        <v>44272</v>
      </c>
      <c r="D1674" t="s">
        <v>140</v>
      </c>
      <c r="E1674" t="s">
        <v>235</v>
      </c>
      <c r="F1674" t="s">
        <v>244</v>
      </c>
      <c r="G1674" t="s">
        <v>27</v>
      </c>
      <c r="H1674" s="3">
        <v>0.35000000000000003</v>
      </c>
      <c r="I1674">
        <v>6200</v>
      </c>
      <c r="J1674" s="4">
        <v>2170</v>
      </c>
      <c r="K1674" s="4">
        <v>868</v>
      </c>
      <c r="L1674" s="5">
        <v>0.4</v>
      </c>
      <c r="M1674" t="s">
        <v>24</v>
      </c>
      <c r="N1674" t="s">
        <v>361</v>
      </c>
    </row>
    <row r="1675" spans="1:14">
      <c r="A1675" t="s">
        <v>29</v>
      </c>
      <c r="B1675">
        <v>1185732</v>
      </c>
      <c r="C1675" s="2">
        <v>44272</v>
      </c>
      <c r="D1675" t="s">
        <v>140</v>
      </c>
      <c r="E1675" t="s">
        <v>235</v>
      </c>
      <c r="F1675" t="s">
        <v>244</v>
      </c>
      <c r="G1675" t="s">
        <v>145</v>
      </c>
      <c r="H1675" s="3">
        <v>0.35000000000000003</v>
      </c>
      <c r="I1675">
        <v>3000</v>
      </c>
      <c r="J1675" s="4">
        <v>1050</v>
      </c>
      <c r="K1675" s="4">
        <v>367.5</v>
      </c>
      <c r="L1675" s="5">
        <v>0.35</v>
      </c>
      <c r="M1675" t="s">
        <v>24</v>
      </c>
      <c r="N1675" t="s">
        <v>361</v>
      </c>
    </row>
    <row r="1676" spans="1:14">
      <c r="A1676" t="s">
        <v>29</v>
      </c>
      <c r="B1676">
        <v>1185732</v>
      </c>
      <c r="C1676" s="2">
        <v>44272</v>
      </c>
      <c r="D1676" t="s">
        <v>140</v>
      </c>
      <c r="E1676" t="s">
        <v>235</v>
      </c>
      <c r="F1676" t="s">
        <v>244</v>
      </c>
      <c r="G1676" t="s">
        <v>146</v>
      </c>
      <c r="H1676" s="3">
        <v>0.25000000000000006</v>
      </c>
      <c r="I1676">
        <v>3500</v>
      </c>
      <c r="J1676" s="4">
        <v>875.00000000000023</v>
      </c>
      <c r="K1676" s="4">
        <v>306.25000000000006</v>
      </c>
      <c r="L1676" s="5">
        <v>0.35</v>
      </c>
      <c r="M1676" t="s">
        <v>24</v>
      </c>
      <c r="N1676" t="s">
        <v>361</v>
      </c>
    </row>
    <row r="1677" spans="1:14">
      <c r="A1677" t="s">
        <v>29</v>
      </c>
      <c r="B1677">
        <v>1185732</v>
      </c>
      <c r="C1677" s="2">
        <v>44272</v>
      </c>
      <c r="D1677" t="s">
        <v>140</v>
      </c>
      <c r="E1677" t="s">
        <v>235</v>
      </c>
      <c r="F1677" t="s">
        <v>244</v>
      </c>
      <c r="G1677" t="s">
        <v>148</v>
      </c>
      <c r="H1677" s="3">
        <v>0.3</v>
      </c>
      <c r="I1677">
        <v>2000</v>
      </c>
      <c r="J1677" s="4">
        <v>600</v>
      </c>
      <c r="K1677" s="4">
        <v>240</v>
      </c>
      <c r="L1677" s="5">
        <v>0.4</v>
      </c>
      <c r="M1677" t="s">
        <v>24</v>
      </c>
      <c r="N1677" t="s">
        <v>361</v>
      </c>
    </row>
    <row r="1678" spans="1:14">
      <c r="A1678" t="s">
        <v>29</v>
      </c>
      <c r="B1678">
        <v>1185732</v>
      </c>
      <c r="C1678" s="2">
        <v>44272</v>
      </c>
      <c r="D1678" t="s">
        <v>140</v>
      </c>
      <c r="E1678" t="s">
        <v>235</v>
      </c>
      <c r="F1678" t="s">
        <v>244</v>
      </c>
      <c r="G1678" t="s">
        <v>147</v>
      </c>
      <c r="H1678" s="3">
        <v>0.45</v>
      </c>
      <c r="I1678">
        <v>2500</v>
      </c>
      <c r="J1678" s="4">
        <v>1125</v>
      </c>
      <c r="K1678" s="4">
        <v>393.75</v>
      </c>
      <c r="L1678" s="5">
        <v>0.35</v>
      </c>
      <c r="M1678" t="s">
        <v>24</v>
      </c>
      <c r="N1678" t="s">
        <v>361</v>
      </c>
    </row>
    <row r="1679" spans="1:14">
      <c r="A1679" t="s">
        <v>29</v>
      </c>
      <c r="B1679">
        <v>1185732</v>
      </c>
      <c r="C1679" s="2">
        <v>44272</v>
      </c>
      <c r="D1679" t="s">
        <v>140</v>
      </c>
      <c r="E1679" t="s">
        <v>235</v>
      </c>
      <c r="F1679" t="s">
        <v>244</v>
      </c>
      <c r="G1679" t="s">
        <v>144</v>
      </c>
      <c r="H1679" s="3">
        <v>0.35000000000000003</v>
      </c>
      <c r="I1679">
        <v>3500</v>
      </c>
      <c r="J1679" s="4">
        <v>1225.0000000000002</v>
      </c>
      <c r="K1679" s="4">
        <v>612.50000000000011</v>
      </c>
      <c r="L1679" s="5">
        <v>0.5</v>
      </c>
      <c r="M1679" t="s">
        <v>24</v>
      </c>
      <c r="N1679" t="s">
        <v>361</v>
      </c>
    </row>
    <row r="1680" spans="1:14">
      <c r="A1680" t="s">
        <v>29</v>
      </c>
      <c r="B1680">
        <v>1185732</v>
      </c>
      <c r="C1680" s="2">
        <v>44304</v>
      </c>
      <c r="D1680" t="s">
        <v>140</v>
      </c>
      <c r="E1680" t="s">
        <v>235</v>
      </c>
      <c r="F1680" t="s">
        <v>244</v>
      </c>
      <c r="G1680" t="s">
        <v>27</v>
      </c>
      <c r="H1680" s="3">
        <v>0.35000000000000003</v>
      </c>
      <c r="I1680">
        <v>5750</v>
      </c>
      <c r="J1680" s="4">
        <v>2012.5000000000002</v>
      </c>
      <c r="K1680" s="4">
        <v>805.00000000000011</v>
      </c>
      <c r="L1680" s="5">
        <v>0.4</v>
      </c>
      <c r="M1680" t="s">
        <v>127</v>
      </c>
      <c r="N1680" t="s">
        <v>362</v>
      </c>
    </row>
    <row r="1681" spans="1:14">
      <c r="A1681" t="s">
        <v>29</v>
      </c>
      <c r="B1681">
        <v>1185732</v>
      </c>
      <c r="C1681" s="2">
        <v>44304</v>
      </c>
      <c r="D1681" t="s">
        <v>140</v>
      </c>
      <c r="E1681" t="s">
        <v>235</v>
      </c>
      <c r="F1681" t="s">
        <v>244</v>
      </c>
      <c r="G1681" t="s">
        <v>145</v>
      </c>
      <c r="H1681" s="3">
        <v>0.30000000000000004</v>
      </c>
      <c r="I1681">
        <v>2750</v>
      </c>
      <c r="J1681" s="4">
        <v>825.00000000000011</v>
      </c>
      <c r="K1681" s="4">
        <v>288.75</v>
      </c>
      <c r="L1681" s="5">
        <v>0.35</v>
      </c>
      <c r="M1681" t="s">
        <v>127</v>
      </c>
      <c r="N1681" t="s">
        <v>362</v>
      </c>
    </row>
    <row r="1682" spans="1:14">
      <c r="A1682" t="s">
        <v>29</v>
      </c>
      <c r="B1682">
        <v>1185732</v>
      </c>
      <c r="C1682" s="2">
        <v>44304</v>
      </c>
      <c r="D1682" t="s">
        <v>140</v>
      </c>
      <c r="E1682" t="s">
        <v>235</v>
      </c>
      <c r="F1682" t="s">
        <v>244</v>
      </c>
      <c r="G1682" t="s">
        <v>146</v>
      </c>
      <c r="H1682" s="3">
        <v>0.20000000000000007</v>
      </c>
      <c r="I1682">
        <v>2750</v>
      </c>
      <c r="J1682" s="4">
        <v>550.00000000000023</v>
      </c>
      <c r="K1682" s="4">
        <v>192.50000000000006</v>
      </c>
      <c r="L1682" s="5">
        <v>0.35</v>
      </c>
      <c r="M1682" t="s">
        <v>127</v>
      </c>
      <c r="N1682" t="s">
        <v>362</v>
      </c>
    </row>
    <row r="1683" spans="1:14">
      <c r="A1683" t="s">
        <v>29</v>
      </c>
      <c r="B1683">
        <v>1185732</v>
      </c>
      <c r="C1683" s="2">
        <v>44304</v>
      </c>
      <c r="D1683" t="s">
        <v>140</v>
      </c>
      <c r="E1683" t="s">
        <v>235</v>
      </c>
      <c r="F1683" t="s">
        <v>244</v>
      </c>
      <c r="G1683" t="s">
        <v>148</v>
      </c>
      <c r="H1683" s="3">
        <v>0.25</v>
      </c>
      <c r="I1683">
        <v>2000</v>
      </c>
      <c r="J1683" s="4">
        <v>500</v>
      </c>
      <c r="K1683" s="4">
        <v>200</v>
      </c>
      <c r="L1683" s="5">
        <v>0.4</v>
      </c>
      <c r="M1683" t="s">
        <v>127</v>
      </c>
      <c r="N1683" t="s">
        <v>362</v>
      </c>
    </row>
    <row r="1684" spans="1:14">
      <c r="A1684" t="s">
        <v>29</v>
      </c>
      <c r="B1684">
        <v>1185732</v>
      </c>
      <c r="C1684" s="2">
        <v>44304</v>
      </c>
      <c r="D1684" t="s">
        <v>140</v>
      </c>
      <c r="E1684" t="s">
        <v>235</v>
      </c>
      <c r="F1684" t="s">
        <v>244</v>
      </c>
      <c r="G1684" t="s">
        <v>147</v>
      </c>
      <c r="H1684" s="3">
        <v>0.4</v>
      </c>
      <c r="I1684">
        <v>2250</v>
      </c>
      <c r="J1684" s="4">
        <v>900</v>
      </c>
      <c r="K1684" s="4">
        <v>315</v>
      </c>
      <c r="L1684" s="5">
        <v>0.35</v>
      </c>
      <c r="M1684" t="s">
        <v>127</v>
      </c>
      <c r="N1684" t="s">
        <v>362</v>
      </c>
    </row>
    <row r="1685" spans="1:14">
      <c r="A1685" t="s">
        <v>29</v>
      </c>
      <c r="B1685">
        <v>1185732</v>
      </c>
      <c r="C1685" s="2">
        <v>44304</v>
      </c>
      <c r="D1685" t="s">
        <v>140</v>
      </c>
      <c r="E1685" t="s">
        <v>235</v>
      </c>
      <c r="F1685" t="s">
        <v>244</v>
      </c>
      <c r="G1685" t="s">
        <v>144</v>
      </c>
      <c r="H1685" s="3">
        <v>0.30000000000000004</v>
      </c>
      <c r="I1685">
        <v>3500</v>
      </c>
      <c r="J1685" s="4">
        <v>1050.0000000000002</v>
      </c>
      <c r="K1685" s="4">
        <v>525.00000000000011</v>
      </c>
      <c r="L1685" s="5">
        <v>0.5</v>
      </c>
      <c r="M1685" t="s">
        <v>127</v>
      </c>
      <c r="N1685" t="s">
        <v>362</v>
      </c>
    </row>
    <row r="1686" spans="1:14">
      <c r="A1686" t="s">
        <v>29</v>
      </c>
      <c r="B1686">
        <v>1185732</v>
      </c>
      <c r="C1686" s="2">
        <v>44335</v>
      </c>
      <c r="D1686" t="s">
        <v>140</v>
      </c>
      <c r="E1686" t="s">
        <v>235</v>
      </c>
      <c r="F1686" t="s">
        <v>244</v>
      </c>
      <c r="G1686" t="s">
        <v>27</v>
      </c>
      <c r="H1686" s="3">
        <v>0.4</v>
      </c>
      <c r="I1686">
        <v>6200</v>
      </c>
      <c r="J1686" s="4">
        <v>2480</v>
      </c>
      <c r="K1686" s="4">
        <v>992</v>
      </c>
      <c r="L1686" s="5">
        <v>0.4</v>
      </c>
      <c r="M1686" t="s">
        <v>128</v>
      </c>
      <c r="N1686" t="s">
        <v>362</v>
      </c>
    </row>
    <row r="1687" spans="1:14">
      <c r="A1687" t="s">
        <v>29</v>
      </c>
      <c r="B1687">
        <v>1185732</v>
      </c>
      <c r="C1687" s="2">
        <v>44335</v>
      </c>
      <c r="D1687" t="s">
        <v>140</v>
      </c>
      <c r="E1687" t="s">
        <v>235</v>
      </c>
      <c r="F1687" t="s">
        <v>244</v>
      </c>
      <c r="G1687" t="s">
        <v>145</v>
      </c>
      <c r="H1687" s="3">
        <v>0.35000000000000009</v>
      </c>
      <c r="I1687">
        <v>3250</v>
      </c>
      <c r="J1687" s="4">
        <v>1137.5000000000002</v>
      </c>
      <c r="K1687" s="4">
        <v>398.12500000000006</v>
      </c>
      <c r="L1687" s="5">
        <v>0.35</v>
      </c>
      <c r="M1687" t="s">
        <v>128</v>
      </c>
      <c r="N1687" t="s">
        <v>362</v>
      </c>
    </row>
    <row r="1688" spans="1:14">
      <c r="A1688" t="s">
        <v>29</v>
      </c>
      <c r="B1688">
        <v>1185732</v>
      </c>
      <c r="C1688" s="2">
        <v>44335</v>
      </c>
      <c r="D1688" t="s">
        <v>140</v>
      </c>
      <c r="E1688" t="s">
        <v>235</v>
      </c>
      <c r="F1688" t="s">
        <v>244</v>
      </c>
      <c r="G1688" t="s">
        <v>146</v>
      </c>
      <c r="H1688" s="3">
        <v>0.30000000000000004</v>
      </c>
      <c r="I1688">
        <v>3000</v>
      </c>
      <c r="J1688" s="4">
        <v>900.00000000000011</v>
      </c>
      <c r="K1688" s="4">
        <v>315</v>
      </c>
      <c r="L1688" s="5">
        <v>0.35</v>
      </c>
      <c r="M1688" t="s">
        <v>128</v>
      </c>
      <c r="N1688" t="s">
        <v>362</v>
      </c>
    </row>
    <row r="1689" spans="1:14">
      <c r="A1689" t="s">
        <v>29</v>
      </c>
      <c r="B1689">
        <v>1185732</v>
      </c>
      <c r="C1689" s="2">
        <v>44335</v>
      </c>
      <c r="D1689" t="s">
        <v>140</v>
      </c>
      <c r="E1689" t="s">
        <v>235</v>
      </c>
      <c r="F1689" t="s">
        <v>244</v>
      </c>
      <c r="G1689" t="s">
        <v>148</v>
      </c>
      <c r="H1689" s="3">
        <v>0.30000000000000004</v>
      </c>
      <c r="I1689">
        <v>2250</v>
      </c>
      <c r="J1689" s="4">
        <v>675.00000000000011</v>
      </c>
      <c r="K1689" s="4">
        <v>270.00000000000006</v>
      </c>
      <c r="L1689" s="5">
        <v>0.4</v>
      </c>
      <c r="M1689" t="s">
        <v>128</v>
      </c>
      <c r="N1689" t="s">
        <v>362</v>
      </c>
    </row>
    <row r="1690" spans="1:14">
      <c r="A1690" t="s">
        <v>29</v>
      </c>
      <c r="B1690">
        <v>1185732</v>
      </c>
      <c r="C1690" s="2">
        <v>44335</v>
      </c>
      <c r="D1690" t="s">
        <v>140</v>
      </c>
      <c r="E1690" t="s">
        <v>235</v>
      </c>
      <c r="F1690" t="s">
        <v>244</v>
      </c>
      <c r="G1690" t="s">
        <v>147</v>
      </c>
      <c r="H1690" s="3">
        <v>0.44999999999999996</v>
      </c>
      <c r="I1690">
        <v>2500</v>
      </c>
      <c r="J1690" s="4">
        <v>1125</v>
      </c>
      <c r="K1690" s="4">
        <v>393.75</v>
      </c>
      <c r="L1690" s="5">
        <v>0.35</v>
      </c>
      <c r="M1690" t="s">
        <v>128</v>
      </c>
      <c r="N1690" t="s">
        <v>362</v>
      </c>
    </row>
    <row r="1691" spans="1:14">
      <c r="A1691" t="s">
        <v>29</v>
      </c>
      <c r="B1691">
        <v>1185732</v>
      </c>
      <c r="C1691" s="2">
        <v>44335</v>
      </c>
      <c r="D1691" t="s">
        <v>140</v>
      </c>
      <c r="E1691" t="s">
        <v>235</v>
      </c>
      <c r="F1691" t="s">
        <v>244</v>
      </c>
      <c r="G1691" t="s">
        <v>144</v>
      </c>
      <c r="H1691" s="3">
        <v>0.49999999999999994</v>
      </c>
      <c r="I1691">
        <v>3500</v>
      </c>
      <c r="J1691" s="4">
        <v>1749.9999999999998</v>
      </c>
      <c r="K1691" s="4">
        <v>874.99999999999989</v>
      </c>
      <c r="L1691" s="5">
        <v>0.5</v>
      </c>
      <c r="M1691" t="s">
        <v>128</v>
      </c>
      <c r="N1691" t="s">
        <v>362</v>
      </c>
    </row>
    <row r="1692" spans="1:14">
      <c r="A1692" t="s">
        <v>29</v>
      </c>
      <c r="B1692">
        <v>1185732</v>
      </c>
      <c r="C1692" s="2">
        <v>44365</v>
      </c>
      <c r="D1692" t="s">
        <v>140</v>
      </c>
      <c r="E1692" t="s">
        <v>235</v>
      </c>
      <c r="F1692" t="s">
        <v>244</v>
      </c>
      <c r="G1692" t="s">
        <v>27</v>
      </c>
      <c r="H1692" s="3">
        <v>0.35000000000000003</v>
      </c>
      <c r="I1692">
        <v>6000</v>
      </c>
      <c r="J1692" s="4">
        <v>2100</v>
      </c>
      <c r="K1692" s="4">
        <v>840</v>
      </c>
      <c r="L1692" s="5">
        <v>0.4</v>
      </c>
      <c r="M1692" t="s">
        <v>129</v>
      </c>
      <c r="N1692" t="s">
        <v>362</v>
      </c>
    </row>
    <row r="1693" spans="1:14">
      <c r="A1693" t="s">
        <v>29</v>
      </c>
      <c r="B1693">
        <v>1185732</v>
      </c>
      <c r="C1693" s="2">
        <v>44365</v>
      </c>
      <c r="D1693" t="s">
        <v>140</v>
      </c>
      <c r="E1693" t="s">
        <v>235</v>
      </c>
      <c r="F1693" t="s">
        <v>244</v>
      </c>
      <c r="G1693" t="s">
        <v>145</v>
      </c>
      <c r="H1693" s="3">
        <v>0.3000000000000001</v>
      </c>
      <c r="I1693">
        <v>3500</v>
      </c>
      <c r="J1693" s="4">
        <v>1050.0000000000005</v>
      </c>
      <c r="K1693" s="4">
        <v>367.50000000000011</v>
      </c>
      <c r="L1693" s="5">
        <v>0.35</v>
      </c>
      <c r="M1693" t="s">
        <v>129</v>
      </c>
      <c r="N1693" t="s">
        <v>362</v>
      </c>
    </row>
    <row r="1694" spans="1:14">
      <c r="A1694" t="s">
        <v>29</v>
      </c>
      <c r="B1694">
        <v>1185732</v>
      </c>
      <c r="C1694" s="2">
        <v>44365</v>
      </c>
      <c r="D1694" t="s">
        <v>140</v>
      </c>
      <c r="E1694" t="s">
        <v>235</v>
      </c>
      <c r="F1694" t="s">
        <v>244</v>
      </c>
      <c r="G1694" t="s">
        <v>146</v>
      </c>
      <c r="H1694" s="3">
        <v>0.25000000000000006</v>
      </c>
      <c r="I1694">
        <v>3750</v>
      </c>
      <c r="J1694" s="4">
        <v>937.50000000000023</v>
      </c>
      <c r="K1694" s="4">
        <v>328.12500000000006</v>
      </c>
      <c r="L1694" s="5">
        <v>0.35</v>
      </c>
      <c r="M1694" t="s">
        <v>129</v>
      </c>
      <c r="N1694" t="s">
        <v>362</v>
      </c>
    </row>
    <row r="1695" spans="1:14">
      <c r="A1695" t="s">
        <v>29</v>
      </c>
      <c r="B1695">
        <v>1185732</v>
      </c>
      <c r="C1695" s="2">
        <v>44365</v>
      </c>
      <c r="D1695" t="s">
        <v>140</v>
      </c>
      <c r="E1695" t="s">
        <v>235</v>
      </c>
      <c r="F1695" t="s">
        <v>244</v>
      </c>
      <c r="G1695" t="s">
        <v>148</v>
      </c>
      <c r="H1695" s="3">
        <v>0.25000000000000006</v>
      </c>
      <c r="I1695">
        <v>3500</v>
      </c>
      <c r="J1695" s="4">
        <v>875.00000000000023</v>
      </c>
      <c r="K1695" s="4">
        <v>350.00000000000011</v>
      </c>
      <c r="L1695" s="5">
        <v>0.4</v>
      </c>
      <c r="M1695" t="s">
        <v>129</v>
      </c>
      <c r="N1695" t="s">
        <v>362</v>
      </c>
    </row>
    <row r="1696" spans="1:14">
      <c r="A1696" t="s">
        <v>29</v>
      </c>
      <c r="B1696">
        <v>1185732</v>
      </c>
      <c r="C1696" s="2">
        <v>44365</v>
      </c>
      <c r="D1696" t="s">
        <v>140</v>
      </c>
      <c r="E1696" t="s">
        <v>235</v>
      </c>
      <c r="F1696" t="s">
        <v>244</v>
      </c>
      <c r="G1696" t="s">
        <v>147</v>
      </c>
      <c r="H1696" s="3">
        <v>0.4</v>
      </c>
      <c r="I1696">
        <v>3500</v>
      </c>
      <c r="J1696" s="4">
        <v>1400</v>
      </c>
      <c r="K1696" s="4">
        <v>489.99999999999994</v>
      </c>
      <c r="L1696" s="5">
        <v>0.35</v>
      </c>
      <c r="M1696" t="s">
        <v>129</v>
      </c>
      <c r="N1696" t="s">
        <v>362</v>
      </c>
    </row>
    <row r="1697" spans="1:14">
      <c r="A1697" t="s">
        <v>29</v>
      </c>
      <c r="B1697">
        <v>1185732</v>
      </c>
      <c r="C1697" s="2">
        <v>44365</v>
      </c>
      <c r="D1697" t="s">
        <v>140</v>
      </c>
      <c r="E1697" t="s">
        <v>235</v>
      </c>
      <c r="F1697" t="s">
        <v>244</v>
      </c>
      <c r="G1697" t="s">
        <v>144</v>
      </c>
      <c r="H1697" s="3">
        <v>0.45</v>
      </c>
      <c r="I1697">
        <v>5250</v>
      </c>
      <c r="J1697" s="4">
        <v>2362.5</v>
      </c>
      <c r="K1697" s="4">
        <v>1181.25</v>
      </c>
      <c r="L1697" s="5">
        <v>0.5</v>
      </c>
      <c r="M1697" t="s">
        <v>129</v>
      </c>
      <c r="N1697" t="s">
        <v>362</v>
      </c>
    </row>
    <row r="1698" spans="1:14">
      <c r="A1698" t="s">
        <v>29</v>
      </c>
      <c r="B1698">
        <v>1185732</v>
      </c>
      <c r="C1698" s="2">
        <v>44394</v>
      </c>
      <c r="D1698" t="s">
        <v>140</v>
      </c>
      <c r="E1698" t="s">
        <v>235</v>
      </c>
      <c r="F1698" t="s">
        <v>244</v>
      </c>
      <c r="G1698" t="s">
        <v>27</v>
      </c>
      <c r="H1698" s="3">
        <v>0.4</v>
      </c>
      <c r="I1698">
        <v>7500</v>
      </c>
      <c r="J1698" s="4">
        <v>3000</v>
      </c>
      <c r="K1698" s="4">
        <v>1200</v>
      </c>
      <c r="L1698" s="5">
        <v>0.4</v>
      </c>
      <c r="M1698" t="s">
        <v>130</v>
      </c>
      <c r="N1698" t="s">
        <v>363</v>
      </c>
    </row>
    <row r="1699" spans="1:14">
      <c r="A1699" t="s">
        <v>29</v>
      </c>
      <c r="B1699">
        <v>1185732</v>
      </c>
      <c r="C1699" s="2">
        <v>44394</v>
      </c>
      <c r="D1699" t="s">
        <v>140</v>
      </c>
      <c r="E1699" t="s">
        <v>235</v>
      </c>
      <c r="F1699" t="s">
        <v>244</v>
      </c>
      <c r="G1699" t="s">
        <v>145</v>
      </c>
      <c r="H1699" s="3">
        <v>0.35000000000000009</v>
      </c>
      <c r="I1699">
        <v>5000</v>
      </c>
      <c r="J1699" s="4">
        <v>1750.0000000000005</v>
      </c>
      <c r="K1699" s="4">
        <v>612.50000000000011</v>
      </c>
      <c r="L1699" s="5">
        <v>0.35</v>
      </c>
      <c r="M1699" t="s">
        <v>130</v>
      </c>
      <c r="N1699" t="s">
        <v>363</v>
      </c>
    </row>
    <row r="1700" spans="1:14">
      <c r="A1700" t="s">
        <v>29</v>
      </c>
      <c r="B1700">
        <v>1185732</v>
      </c>
      <c r="C1700" s="2">
        <v>44394</v>
      </c>
      <c r="D1700" t="s">
        <v>140</v>
      </c>
      <c r="E1700" t="s">
        <v>235</v>
      </c>
      <c r="F1700" t="s">
        <v>244</v>
      </c>
      <c r="G1700" t="s">
        <v>146</v>
      </c>
      <c r="H1700" s="3">
        <v>0.30000000000000004</v>
      </c>
      <c r="I1700">
        <v>4250</v>
      </c>
      <c r="J1700" s="4">
        <v>1275.0000000000002</v>
      </c>
      <c r="K1700" s="4">
        <v>446.25000000000006</v>
      </c>
      <c r="L1700" s="5">
        <v>0.35</v>
      </c>
      <c r="M1700" t="s">
        <v>130</v>
      </c>
      <c r="N1700" t="s">
        <v>363</v>
      </c>
    </row>
    <row r="1701" spans="1:14">
      <c r="A1701" t="s">
        <v>29</v>
      </c>
      <c r="B1701">
        <v>1185732</v>
      </c>
      <c r="C1701" s="2">
        <v>44394</v>
      </c>
      <c r="D1701" t="s">
        <v>140</v>
      </c>
      <c r="E1701" t="s">
        <v>235</v>
      </c>
      <c r="F1701" t="s">
        <v>244</v>
      </c>
      <c r="G1701" t="s">
        <v>148</v>
      </c>
      <c r="H1701" s="3">
        <v>0.30000000000000004</v>
      </c>
      <c r="I1701">
        <v>3750</v>
      </c>
      <c r="J1701" s="4">
        <v>1125.0000000000002</v>
      </c>
      <c r="K1701" s="4">
        <v>450.00000000000011</v>
      </c>
      <c r="L1701" s="5">
        <v>0.4</v>
      </c>
      <c r="M1701" t="s">
        <v>130</v>
      </c>
      <c r="N1701" t="s">
        <v>363</v>
      </c>
    </row>
    <row r="1702" spans="1:14">
      <c r="A1702" t="s">
        <v>29</v>
      </c>
      <c r="B1702">
        <v>1185732</v>
      </c>
      <c r="C1702" s="2">
        <v>44394</v>
      </c>
      <c r="D1702" t="s">
        <v>140</v>
      </c>
      <c r="E1702" t="s">
        <v>235</v>
      </c>
      <c r="F1702" t="s">
        <v>244</v>
      </c>
      <c r="G1702" t="s">
        <v>147</v>
      </c>
      <c r="H1702" s="3">
        <v>0.4</v>
      </c>
      <c r="I1702">
        <v>3750</v>
      </c>
      <c r="J1702" s="4">
        <v>1500</v>
      </c>
      <c r="K1702" s="4">
        <v>525</v>
      </c>
      <c r="L1702" s="5">
        <v>0.35</v>
      </c>
      <c r="M1702" t="s">
        <v>130</v>
      </c>
      <c r="N1702" t="s">
        <v>363</v>
      </c>
    </row>
    <row r="1703" spans="1:14">
      <c r="A1703" t="s">
        <v>29</v>
      </c>
      <c r="B1703">
        <v>1185732</v>
      </c>
      <c r="C1703" s="2">
        <v>44394</v>
      </c>
      <c r="D1703" t="s">
        <v>140</v>
      </c>
      <c r="E1703" t="s">
        <v>235</v>
      </c>
      <c r="F1703" t="s">
        <v>244</v>
      </c>
      <c r="G1703" t="s">
        <v>144</v>
      </c>
      <c r="H1703" s="3">
        <v>0.45</v>
      </c>
      <c r="I1703">
        <v>5500</v>
      </c>
      <c r="J1703" s="4">
        <v>2475</v>
      </c>
      <c r="K1703" s="4">
        <v>1237.5</v>
      </c>
      <c r="L1703" s="5">
        <v>0.5</v>
      </c>
      <c r="M1703" t="s">
        <v>130</v>
      </c>
      <c r="N1703" t="s">
        <v>363</v>
      </c>
    </row>
    <row r="1704" spans="1:14">
      <c r="A1704" t="s">
        <v>29</v>
      </c>
      <c r="B1704">
        <v>1185732</v>
      </c>
      <c r="C1704" s="2">
        <v>44426</v>
      </c>
      <c r="D1704" t="s">
        <v>140</v>
      </c>
      <c r="E1704" t="s">
        <v>235</v>
      </c>
      <c r="F1704" t="s">
        <v>244</v>
      </c>
      <c r="G1704" t="s">
        <v>27</v>
      </c>
      <c r="H1704" s="3">
        <v>0.4</v>
      </c>
      <c r="I1704">
        <v>7000</v>
      </c>
      <c r="J1704" s="4">
        <v>2800</v>
      </c>
      <c r="K1704" s="4">
        <v>1120</v>
      </c>
      <c r="L1704" s="5">
        <v>0.4</v>
      </c>
      <c r="M1704" t="s">
        <v>131</v>
      </c>
      <c r="N1704" t="s">
        <v>363</v>
      </c>
    </row>
    <row r="1705" spans="1:14">
      <c r="A1705" t="s">
        <v>29</v>
      </c>
      <c r="B1705">
        <v>1185732</v>
      </c>
      <c r="C1705" s="2">
        <v>44426</v>
      </c>
      <c r="D1705" t="s">
        <v>140</v>
      </c>
      <c r="E1705" t="s">
        <v>235</v>
      </c>
      <c r="F1705" t="s">
        <v>244</v>
      </c>
      <c r="G1705" t="s">
        <v>145</v>
      </c>
      <c r="H1705" s="3">
        <v>0.40000000000000008</v>
      </c>
      <c r="I1705">
        <v>4750</v>
      </c>
      <c r="J1705" s="4">
        <v>1900.0000000000005</v>
      </c>
      <c r="K1705" s="4">
        <v>665.00000000000011</v>
      </c>
      <c r="L1705" s="5">
        <v>0.35</v>
      </c>
      <c r="M1705" t="s">
        <v>131</v>
      </c>
      <c r="N1705" t="s">
        <v>363</v>
      </c>
    </row>
    <row r="1706" spans="1:14">
      <c r="A1706" t="s">
        <v>29</v>
      </c>
      <c r="B1706">
        <v>1185732</v>
      </c>
      <c r="C1706" s="2">
        <v>44426</v>
      </c>
      <c r="D1706" t="s">
        <v>140</v>
      </c>
      <c r="E1706" t="s">
        <v>235</v>
      </c>
      <c r="F1706" t="s">
        <v>244</v>
      </c>
      <c r="G1706" t="s">
        <v>146</v>
      </c>
      <c r="H1706" s="3">
        <v>0.35000000000000003</v>
      </c>
      <c r="I1706">
        <v>4000</v>
      </c>
      <c r="J1706" s="4">
        <v>1400.0000000000002</v>
      </c>
      <c r="K1706" s="4">
        <v>490.00000000000006</v>
      </c>
      <c r="L1706" s="5">
        <v>0.35</v>
      </c>
      <c r="M1706" t="s">
        <v>131</v>
      </c>
      <c r="N1706" t="s">
        <v>363</v>
      </c>
    </row>
    <row r="1707" spans="1:14">
      <c r="A1707" t="s">
        <v>29</v>
      </c>
      <c r="B1707">
        <v>1185732</v>
      </c>
      <c r="C1707" s="2">
        <v>44426</v>
      </c>
      <c r="D1707" t="s">
        <v>140</v>
      </c>
      <c r="E1707" t="s">
        <v>235</v>
      </c>
      <c r="F1707" t="s">
        <v>244</v>
      </c>
      <c r="G1707" t="s">
        <v>148</v>
      </c>
      <c r="H1707" s="3">
        <v>0.25000000000000006</v>
      </c>
      <c r="I1707">
        <v>3250</v>
      </c>
      <c r="J1707" s="4">
        <v>812.50000000000023</v>
      </c>
      <c r="K1707" s="4">
        <v>325.00000000000011</v>
      </c>
      <c r="L1707" s="5">
        <v>0.4</v>
      </c>
      <c r="M1707" t="s">
        <v>131</v>
      </c>
      <c r="N1707" t="s">
        <v>363</v>
      </c>
    </row>
    <row r="1708" spans="1:14">
      <c r="A1708" t="s">
        <v>29</v>
      </c>
      <c r="B1708">
        <v>1185732</v>
      </c>
      <c r="C1708" s="2">
        <v>44426</v>
      </c>
      <c r="D1708" t="s">
        <v>140</v>
      </c>
      <c r="E1708" t="s">
        <v>235</v>
      </c>
      <c r="F1708" t="s">
        <v>244</v>
      </c>
      <c r="G1708" t="s">
        <v>147</v>
      </c>
      <c r="H1708" s="3">
        <v>0.35000000000000003</v>
      </c>
      <c r="I1708">
        <v>3000</v>
      </c>
      <c r="J1708" s="4">
        <v>1050</v>
      </c>
      <c r="K1708" s="4">
        <v>367.5</v>
      </c>
      <c r="L1708" s="5">
        <v>0.35</v>
      </c>
      <c r="M1708" t="s">
        <v>131</v>
      </c>
      <c r="N1708" t="s">
        <v>363</v>
      </c>
    </row>
    <row r="1709" spans="1:14">
      <c r="A1709" t="s">
        <v>29</v>
      </c>
      <c r="B1709">
        <v>1185732</v>
      </c>
      <c r="C1709" s="2">
        <v>44426</v>
      </c>
      <c r="D1709" t="s">
        <v>140</v>
      </c>
      <c r="E1709" t="s">
        <v>235</v>
      </c>
      <c r="F1709" t="s">
        <v>244</v>
      </c>
      <c r="G1709" t="s">
        <v>144</v>
      </c>
      <c r="H1709" s="3">
        <v>0.4</v>
      </c>
      <c r="I1709">
        <v>4750</v>
      </c>
      <c r="J1709" s="4">
        <v>1900</v>
      </c>
      <c r="K1709" s="4">
        <v>950</v>
      </c>
      <c r="L1709" s="5">
        <v>0.5</v>
      </c>
      <c r="M1709" t="s">
        <v>131</v>
      </c>
      <c r="N1709" t="s">
        <v>363</v>
      </c>
    </row>
    <row r="1710" spans="1:14">
      <c r="A1710" t="s">
        <v>29</v>
      </c>
      <c r="B1710">
        <v>1185732</v>
      </c>
      <c r="C1710" s="2">
        <v>44458</v>
      </c>
      <c r="D1710" t="s">
        <v>140</v>
      </c>
      <c r="E1710" t="s">
        <v>235</v>
      </c>
      <c r="F1710" t="s">
        <v>244</v>
      </c>
      <c r="G1710" t="s">
        <v>27</v>
      </c>
      <c r="H1710" s="3">
        <v>0.35000000000000003</v>
      </c>
      <c r="I1710">
        <v>6000</v>
      </c>
      <c r="J1710" s="4">
        <v>2100</v>
      </c>
      <c r="K1710" s="4">
        <v>840</v>
      </c>
      <c r="L1710" s="5">
        <v>0.4</v>
      </c>
      <c r="M1710" t="s">
        <v>132</v>
      </c>
      <c r="N1710" t="s">
        <v>363</v>
      </c>
    </row>
    <row r="1711" spans="1:14">
      <c r="A1711" t="s">
        <v>29</v>
      </c>
      <c r="B1711">
        <v>1185732</v>
      </c>
      <c r="C1711" s="2">
        <v>44458</v>
      </c>
      <c r="D1711" t="s">
        <v>140</v>
      </c>
      <c r="E1711" t="s">
        <v>235</v>
      </c>
      <c r="F1711" t="s">
        <v>244</v>
      </c>
      <c r="G1711" t="s">
        <v>145</v>
      </c>
      <c r="H1711" s="3">
        <v>0.3000000000000001</v>
      </c>
      <c r="I1711">
        <v>4000</v>
      </c>
      <c r="J1711" s="4">
        <v>1200.0000000000005</v>
      </c>
      <c r="K1711" s="4">
        <v>420.00000000000011</v>
      </c>
      <c r="L1711" s="5">
        <v>0.35</v>
      </c>
      <c r="M1711" t="s">
        <v>132</v>
      </c>
      <c r="N1711" t="s">
        <v>363</v>
      </c>
    </row>
    <row r="1712" spans="1:14">
      <c r="A1712" t="s">
        <v>29</v>
      </c>
      <c r="B1712">
        <v>1185732</v>
      </c>
      <c r="C1712" s="2">
        <v>44458</v>
      </c>
      <c r="D1712" t="s">
        <v>140</v>
      </c>
      <c r="E1712" t="s">
        <v>235</v>
      </c>
      <c r="F1712" t="s">
        <v>244</v>
      </c>
      <c r="G1712" t="s">
        <v>146</v>
      </c>
      <c r="H1712" s="3">
        <v>0.15000000000000002</v>
      </c>
      <c r="I1712">
        <v>3000</v>
      </c>
      <c r="J1712" s="4">
        <v>450.00000000000006</v>
      </c>
      <c r="K1712" s="4">
        <v>157.5</v>
      </c>
      <c r="L1712" s="5">
        <v>0.35</v>
      </c>
      <c r="M1712" t="s">
        <v>132</v>
      </c>
      <c r="N1712" t="s">
        <v>363</v>
      </c>
    </row>
    <row r="1713" spans="1:14">
      <c r="A1713" t="s">
        <v>29</v>
      </c>
      <c r="B1713">
        <v>1185732</v>
      </c>
      <c r="C1713" s="2">
        <v>44458</v>
      </c>
      <c r="D1713" t="s">
        <v>140</v>
      </c>
      <c r="E1713" t="s">
        <v>235</v>
      </c>
      <c r="F1713" t="s">
        <v>244</v>
      </c>
      <c r="G1713" t="s">
        <v>148</v>
      </c>
      <c r="H1713" s="3">
        <v>0.15000000000000002</v>
      </c>
      <c r="I1713">
        <v>2750</v>
      </c>
      <c r="J1713" s="4">
        <v>412.50000000000006</v>
      </c>
      <c r="K1713" s="4">
        <v>165.00000000000003</v>
      </c>
      <c r="L1713" s="5">
        <v>0.4</v>
      </c>
      <c r="M1713" t="s">
        <v>132</v>
      </c>
      <c r="N1713" t="s">
        <v>363</v>
      </c>
    </row>
    <row r="1714" spans="1:14">
      <c r="A1714" t="s">
        <v>29</v>
      </c>
      <c r="B1714">
        <v>1185732</v>
      </c>
      <c r="C1714" s="2">
        <v>44458</v>
      </c>
      <c r="D1714" t="s">
        <v>140</v>
      </c>
      <c r="E1714" t="s">
        <v>235</v>
      </c>
      <c r="F1714" t="s">
        <v>244</v>
      </c>
      <c r="G1714" t="s">
        <v>147</v>
      </c>
      <c r="H1714" s="3">
        <v>0.25</v>
      </c>
      <c r="I1714">
        <v>2750</v>
      </c>
      <c r="J1714" s="4">
        <v>687.5</v>
      </c>
      <c r="K1714" s="4">
        <v>240.62499999999997</v>
      </c>
      <c r="L1714" s="5">
        <v>0.35</v>
      </c>
      <c r="M1714" t="s">
        <v>132</v>
      </c>
      <c r="N1714" t="s">
        <v>363</v>
      </c>
    </row>
    <row r="1715" spans="1:14">
      <c r="A1715" t="s">
        <v>29</v>
      </c>
      <c r="B1715">
        <v>1185732</v>
      </c>
      <c r="C1715" s="2">
        <v>44458</v>
      </c>
      <c r="D1715" t="s">
        <v>140</v>
      </c>
      <c r="E1715" t="s">
        <v>235</v>
      </c>
      <c r="F1715" t="s">
        <v>244</v>
      </c>
      <c r="G1715" t="s">
        <v>144</v>
      </c>
      <c r="H1715" s="3">
        <v>0.30000000000000004</v>
      </c>
      <c r="I1715">
        <v>3500</v>
      </c>
      <c r="J1715" s="4">
        <v>1050.0000000000002</v>
      </c>
      <c r="K1715" s="4">
        <v>525.00000000000011</v>
      </c>
      <c r="L1715" s="5">
        <v>0.5</v>
      </c>
      <c r="M1715" t="s">
        <v>132</v>
      </c>
      <c r="N1715" t="s">
        <v>363</v>
      </c>
    </row>
    <row r="1716" spans="1:14">
      <c r="A1716" t="s">
        <v>29</v>
      </c>
      <c r="B1716">
        <v>1185732</v>
      </c>
      <c r="C1716" s="2">
        <v>44487</v>
      </c>
      <c r="D1716" t="s">
        <v>140</v>
      </c>
      <c r="E1716" t="s">
        <v>235</v>
      </c>
      <c r="F1716" t="s">
        <v>244</v>
      </c>
      <c r="G1716" t="s">
        <v>27</v>
      </c>
      <c r="H1716" s="3">
        <v>0.35</v>
      </c>
      <c r="I1716">
        <v>5250</v>
      </c>
      <c r="J1716" s="4">
        <v>1837.4999999999998</v>
      </c>
      <c r="K1716" s="4">
        <v>735</v>
      </c>
      <c r="L1716" s="5">
        <v>0.4</v>
      </c>
      <c r="M1716" t="s">
        <v>133</v>
      </c>
      <c r="N1716" t="s">
        <v>364</v>
      </c>
    </row>
    <row r="1717" spans="1:14">
      <c r="A1717" t="s">
        <v>29</v>
      </c>
      <c r="B1717">
        <v>1185732</v>
      </c>
      <c r="C1717" s="2">
        <v>44487</v>
      </c>
      <c r="D1717" t="s">
        <v>140</v>
      </c>
      <c r="E1717" t="s">
        <v>235</v>
      </c>
      <c r="F1717" t="s">
        <v>244</v>
      </c>
      <c r="G1717" t="s">
        <v>145</v>
      </c>
      <c r="H1717" s="3">
        <v>0.25</v>
      </c>
      <c r="I1717">
        <v>3500</v>
      </c>
      <c r="J1717" s="4">
        <v>875</v>
      </c>
      <c r="K1717" s="4">
        <v>306.25</v>
      </c>
      <c r="L1717" s="5">
        <v>0.35</v>
      </c>
      <c r="M1717" t="s">
        <v>133</v>
      </c>
      <c r="N1717" t="s">
        <v>364</v>
      </c>
    </row>
    <row r="1718" spans="1:14">
      <c r="A1718" t="s">
        <v>29</v>
      </c>
      <c r="B1718">
        <v>1185732</v>
      </c>
      <c r="C1718" s="2">
        <v>44487</v>
      </c>
      <c r="D1718" t="s">
        <v>140</v>
      </c>
      <c r="E1718" t="s">
        <v>235</v>
      </c>
      <c r="F1718" t="s">
        <v>244</v>
      </c>
      <c r="G1718" t="s">
        <v>146</v>
      </c>
      <c r="H1718" s="3">
        <v>0.25</v>
      </c>
      <c r="I1718">
        <v>2500</v>
      </c>
      <c r="J1718" s="4">
        <v>625</v>
      </c>
      <c r="K1718" s="4">
        <v>218.75</v>
      </c>
      <c r="L1718" s="5">
        <v>0.35</v>
      </c>
      <c r="M1718" t="s">
        <v>133</v>
      </c>
      <c r="N1718" t="s">
        <v>364</v>
      </c>
    </row>
    <row r="1719" spans="1:14">
      <c r="A1719" t="s">
        <v>29</v>
      </c>
      <c r="B1719">
        <v>1185732</v>
      </c>
      <c r="C1719" s="2">
        <v>44487</v>
      </c>
      <c r="D1719" t="s">
        <v>140</v>
      </c>
      <c r="E1719" t="s">
        <v>235</v>
      </c>
      <c r="F1719" t="s">
        <v>244</v>
      </c>
      <c r="G1719" t="s">
        <v>148</v>
      </c>
      <c r="H1719" s="3">
        <v>0.25</v>
      </c>
      <c r="I1719">
        <v>2250</v>
      </c>
      <c r="J1719" s="4">
        <v>562.5</v>
      </c>
      <c r="K1719" s="4">
        <v>225</v>
      </c>
      <c r="L1719" s="5">
        <v>0.4</v>
      </c>
      <c r="M1719" t="s">
        <v>133</v>
      </c>
      <c r="N1719" t="s">
        <v>364</v>
      </c>
    </row>
    <row r="1720" spans="1:14">
      <c r="A1720" t="s">
        <v>29</v>
      </c>
      <c r="B1720">
        <v>1185732</v>
      </c>
      <c r="C1720" s="2">
        <v>44487</v>
      </c>
      <c r="D1720" t="s">
        <v>140</v>
      </c>
      <c r="E1720" t="s">
        <v>235</v>
      </c>
      <c r="F1720" t="s">
        <v>244</v>
      </c>
      <c r="G1720" t="s">
        <v>147</v>
      </c>
      <c r="H1720" s="3">
        <v>0.35</v>
      </c>
      <c r="I1720">
        <v>2250</v>
      </c>
      <c r="J1720" s="4">
        <v>787.5</v>
      </c>
      <c r="K1720" s="4">
        <v>275.625</v>
      </c>
      <c r="L1720" s="5">
        <v>0.35</v>
      </c>
      <c r="M1720" t="s">
        <v>133</v>
      </c>
      <c r="N1720" t="s">
        <v>364</v>
      </c>
    </row>
    <row r="1721" spans="1:14">
      <c r="A1721" t="s">
        <v>29</v>
      </c>
      <c r="B1721">
        <v>1185732</v>
      </c>
      <c r="C1721" s="2">
        <v>44487</v>
      </c>
      <c r="D1721" t="s">
        <v>140</v>
      </c>
      <c r="E1721" t="s">
        <v>235</v>
      </c>
      <c r="F1721" t="s">
        <v>244</v>
      </c>
      <c r="G1721" t="s">
        <v>144</v>
      </c>
      <c r="H1721" s="3">
        <v>0.39999999999999991</v>
      </c>
      <c r="I1721">
        <v>3500</v>
      </c>
      <c r="J1721" s="4">
        <v>1399.9999999999998</v>
      </c>
      <c r="K1721" s="4">
        <v>699.99999999999989</v>
      </c>
      <c r="L1721" s="5">
        <v>0.5</v>
      </c>
      <c r="M1721" t="s">
        <v>133</v>
      </c>
      <c r="N1721" t="s">
        <v>364</v>
      </c>
    </row>
    <row r="1722" spans="1:14">
      <c r="A1722" t="s">
        <v>29</v>
      </c>
      <c r="B1722">
        <v>1185732</v>
      </c>
      <c r="C1722" s="2">
        <v>44518</v>
      </c>
      <c r="D1722" t="s">
        <v>140</v>
      </c>
      <c r="E1722" t="s">
        <v>235</v>
      </c>
      <c r="F1722" t="s">
        <v>244</v>
      </c>
      <c r="G1722" t="s">
        <v>27</v>
      </c>
      <c r="H1722" s="3">
        <v>0.35000000000000003</v>
      </c>
      <c r="I1722">
        <v>5000</v>
      </c>
      <c r="J1722" s="4">
        <v>1750.0000000000002</v>
      </c>
      <c r="K1722" s="4">
        <v>700.00000000000011</v>
      </c>
      <c r="L1722" s="5">
        <v>0.4</v>
      </c>
      <c r="M1722" t="s">
        <v>134</v>
      </c>
      <c r="N1722" t="s">
        <v>364</v>
      </c>
    </row>
    <row r="1723" spans="1:14">
      <c r="A1723" t="s">
        <v>29</v>
      </c>
      <c r="B1723">
        <v>1185732</v>
      </c>
      <c r="C1723" s="2">
        <v>44518</v>
      </c>
      <c r="D1723" t="s">
        <v>140</v>
      </c>
      <c r="E1723" t="s">
        <v>235</v>
      </c>
      <c r="F1723" t="s">
        <v>244</v>
      </c>
      <c r="G1723" t="s">
        <v>145</v>
      </c>
      <c r="H1723" s="3">
        <v>0.25000000000000006</v>
      </c>
      <c r="I1723">
        <v>3500</v>
      </c>
      <c r="J1723" s="4">
        <v>875.00000000000023</v>
      </c>
      <c r="K1723" s="4">
        <v>306.25000000000006</v>
      </c>
      <c r="L1723" s="5">
        <v>0.35</v>
      </c>
      <c r="M1723" t="s">
        <v>134</v>
      </c>
      <c r="N1723" t="s">
        <v>364</v>
      </c>
    </row>
    <row r="1724" spans="1:14">
      <c r="A1724" t="s">
        <v>29</v>
      </c>
      <c r="B1724">
        <v>1185732</v>
      </c>
      <c r="C1724" s="2">
        <v>44518</v>
      </c>
      <c r="D1724" t="s">
        <v>140</v>
      </c>
      <c r="E1724" t="s">
        <v>235</v>
      </c>
      <c r="F1724" t="s">
        <v>244</v>
      </c>
      <c r="G1724" t="s">
        <v>146</v>
      </c>
      <c r="H1724" s="3">
        <v>0.25000000000000006</v>
      </c>
      <c r="I1724">
        <v>2950</v>
      </c>
      <c r="J1724" s="4">
        <v>737.50000000000011</v>
      </c>
      <c r="K1724" s="4">
        <v>258.125</v>
      </c>
      <c r="L1724" s="5">
        <v>0.35</v>
      </c>
      <c r="M1724" t="s">
        <v>134</v>
      </c>
      <c r="N1724" t="s">
        <v>364</v>
      </c>
    </row>
    <row r="1725" spans="1:14">
      <c r="A1725" t="s">
        <v>29</v>
      </c>
      <c r="B1725">
        <v>1185732</v>
      </c>
      <c r="C1725" s="2">
        <v>44518</v>
      </c>
      <c r="D1725" t="s">
        <v>140</v>
      </c>
      <c r="E1725" t="s">
        <v>235</v>
      </c>
      <c r="F1725" t="s">
        <v>244</v>
      </c>
      <c r="G1725" t="s">
        <v>148</v>
      </c>
      <c r="H1725" s="3">
        <v>0.25000000000000006</v>
      </c>
      <c r="I1725">
        <v>3250</v>
      </c>
      <c r="J1725" s="4">
        <v>812.50000000000023</v>
      </c>
      <c r="K1725" s="4">
        <v>325.00000000000011</v>
      </c>
      <c r="L1725" s="5">
        <v>0.4</v>
      </c>
      <c r="M1725" t="s">
        <v>134</v>
      </c>
      <c r="N1725" t="s">
        <v>364</v>
      </c>
    </row>
    <row r="1726" spans="1:14">
      <c r="A1726" t="s">
        <v>29</v>
      </c>
      <c r="B1726">
        <v>1185732</v>
      </c>
      <c r="C1726" s="2">
        <v>44518</v>
      </c>
      <c r="D1726" t="s">
        <v>140</v>
      </c>
      <c r="E1726" t="s">
        <v>235</v>
      </c>
      <c r="F1726" t="s">
        <v>244</v>
      </c>
      <c r="G1726" t="s">
        <v>147</v>
      </c>
      <c r="H1726" s="3">
        <v>0.44999999999999996</v>
      </c>
      <c r="I1726">
        <v>3000</v>
      </c>
      <c r="J1726" s="4">
        <v>1349.9999999999998</v>
      </c>
      <c r="K1726" s="4">
        <v>472.49999999999989</v>
      </c>
      <c r="L1726" s="5">
        <v>0.35</v>
      </c>
      <c r="M1726" t="s">
        <v>134</v>
      </c>
      <c r="N1726" t="s">
        <v>364</v>
      </c>
    </row>
    <row r="1727" spans="1:14">
      <c r="A1727" t="s">
        <v>29</v>
      </c>
      <c r="B1727">
        <v>1185732</v>
      </c>
      <c r="C1727" s="2">
        <v>44518</v>
      </c>
      <c r="D1727" t="s">
        <v>140</v>
      </c>
      <c r="E1727" t="s">
        <v>235</v>
      </c>
      <c r="F1727" t="s">
        <v>244</v>
      </c>
      <c r="G1727" t="s">
        <v>144</v>
      </c>
      <c r="H1727" s="3">
        <v>0.49999999999999983</v>
      </c>
      <c r="I1727">
        <v>4000</v>
      </c>
      <c r="J1727" s="4">
        <v>1999.9999999999993</v>
      </c>
      <c r="K1727" s="4">
        <v>999.99999999999966</v>
      </c>
      <c r="L1727" s="5">
        <v>0.5</v>
      </c>
      <c r="M1727" t="s">
        <v>134</v>
      </c>
      <c r="N1727" t="s">
        <v>364</v>
      </c>
    </row>
    <row r="1728" spans="1:14">
      <c r="A1728" t="s">
        <v>29</v>
      </c>
      <c r="B1728">
        <v>1185732</v>
      </c>
      <c r="C1728" s="2">
        <v>44547</v>
      </c>
      <c r="D1728" t="s">
        <v>140</v>
      </c>
      <c r="E1728" t="s">
        <v>235</v>
      </c>
      <c r="F1728" t="s">
        <v>244</v>
      </c>
      <c r="G1728" t="s">
        <v>27</v>
      </c>
      <c r="H1728" s="3">
        <v>0.44999999999999996</v>
      </c>
      <c r="I1728">
        <v>6500</v>
      </c>
      <c r="J1728" s="4">
        <v>2924.9999999999995</v>
      </c>
      <c r="K1728" s="4">
        <v>1169.9999999999998</v>
      </c>
      <c r="L1728" s="5">
        <v>0.4</v>
      </c>
      <c r="M1728" t="s">
        <v>23</v>
      </c>
      <c r="N1728" t="s">
        <v>364</v>
      </c>
    </row>
    <row r="1729" spans="1:14">
      <c r="A1729" t="s">
        <v>29</v>
      </c>
      <c r="B1729">
        <v>1185732</v>
      </c>
      <c r="C1729" s="2">
        <v>44547</v>
      </c>
      <c r="D1729" t="s">
        <v>140</v>
      </c>
      <c r="E1729" t="s">
        <v>235</v>
      </c>
      <c r="F1729" t="s">
        <v>244</v>
      </c>
      <c r="G1729" t="s">
        <v>145</v>
      </c>
      <c r="H1729" s="3">
        <v>0.35000000000000003</v>
      </c>
      <c r="I1729">
        <v>4500</v>
      </c>
      <c r="J1729" s="4">
        <v>1575.0000000000002</v>
      </c>
      <c r="K1729" s="4">
        <v>551.25</v>
      </c>
      <c r="L1729" s="5">
        <v>0.35</v>
      </c>
      <c r="M1729" t="s">
        <v>23</v>
      </c>
      <c r="N1729" t="s">
        <v>364</v>
      </c>
    </row>
    <row r="1730" spans="1:14">
      <c r="A1730" t="s">
        <v>29</v>
      </c>
      <c r="B1730">
        <v>1185732</v>
      </c>
      <c r="C1730" s="2">
        <v>44547</v>
      </c>
      <c r="D1730" t="s">
        <v>140</v>
      </c>
      <c r="E1730" t="s">
        <v>235</v>
      </c>
      <c r="F1730" t="s">
        <v>244</v>
      </c>
      <c r="G1730" t="s">
        <v>146</v>
      </c>
      <c r="H1730" s="3">
        <v>0.35000000000000003</v>
      </c>
      <c r="I1730">
        <v>4000</v>
      </c>
      <c r="J1730" s="4">
        <v>1400.0000000000002</v>
      </c>
      <c r="K1730" s="4">
        <v>490.00000000000006</v>
      </c>
      <c r="L1730" s="5">
        <v>0.35</v>
      </c>
      <c r="M1730" t="s">
        <v>23</v>
      </c>
      <c r="N1730" t="s">
        <v>364</v>
      </c>
    </row>
    <row r="1731" spans="1:14">
      <c r="A1731" t="s">
        <v>29</v>
      </c>
      <c r="B1731">
        <v>1185732</v>
      </c>
      <c r="C1731" s="2">
        <v>44547</v>
      </c>
      <c r="D1731" t="s">
        <v>140</v>
      </c>
      <c r="E1731" t="s">
        <v>235</v>
      </c>
      <c r="F1731" t="s">
        <v>244</v>
      </c>
      <c r="G1731" t="s">
        <v>148</v>
      </c>
      <c r="H1731" s="3">
        <v>0.35000000000000003</v>
      </c>
      <c r="I1731">
        <v>3500</v>
      </c>
      <c r="J1731" s="4">
        <v>1225.0000000000002</v>
      </c>
      <c r="K1731" s="4">
        <v>490.00000000000011</v>
      </c>
      <c r="L1731" s="5">
        <v>0.4</v>
      </c>
      <c r="M1731" t="s">
        <v>23</v>
      </c>
      <c r="N1731" t="s">
        <v>364</v>
      </c>
    </row>
    <row r="1732" spans="1:14">
      <c r="A1732" t="s">
        <v>29</v>
      </c>
      <c r="B1732">
        <v>1185732</v>
      </c>
      <c r="C1732" s="2">
        <v>44547</v>
      </c>
      <c r="D1732" t="s">
        <v>140</v>
      </c>
      <c r="E1732" t="s">
        <v>235</v>
      </c>
      <c r="F1732" t="s">
        <v>244</v>
      </c>
      <c r="G1732" t="s">
        <v>147</v>
      </c>
      <c r="H1732" s="3">
        <v>0.44999999999999996</v>
      </c>
      <c r="I1732">
        <v>3500</v>
      </c>
      <c r="J1732" s="4">
        <v>1574.9999999999998</v>
      </c>
      <c r="K1732" s="4">
        <v>551.24999999999989</v>
      </c>
      <c r="L1732" s="5">
        <v>0.35</v>
      </c>
      <c r="M1732" t="s">
        <v>23</v>
      </c>
      <c r="N1732" t="s">
        <v>364</v>
      </c>
    </row>
    <row r="1733" spans="1:14">
      <c r="A1733" t="s">
        <v>29</v>
      </c>
      <c r="B1733">
        <v>1185732</v>
      </c>
      <c r="C1733" s="2">
        <v>44547</v>
      </c>
      <c r="D1733" t="s">
        <v>140</v>
      </c>
      <c r="E1733" t="s">
        <v>235</v>
      </c>
      <c r="F1733" t="s">
        <v>244</v>
      </c>
      <c r="G1733" t="s">
        <v>144</v>
      </c>
      <c r="H1733" s="3">
        <v>0.49999999999999983</v>
      </c>
      <c r="I1733">
        <v>4500</v>
      </c>
      <c r="J1733" s="4">
        <v>2249.9999999999991</v>
      </c>
      <c r="K1733" s="4">
        <v>1124.9999999999995</v>
      </c>
      <c r="L1733" s="5">
        <v>0.5</v>
      </c>
      <c r="M1733" t="s">
        <v>23</v>
      </c>
      <c r="N1733" t="s">
        <v>364</v>
      </c>
    </row>
    <row r="1734" spans="1:14">
      <c r="A1734" t="s">
        <v>29</v>
      </c>
      <c r="B1734">
        <v>1185732</v>
      </c>
      <c r="C1734" s="2">
        <v>44207</v>
      </c>
      <c r="D1734" t="s">
        <v>140</v>
      </c>
      <c r="E1734" t="s">
        <v>245</v>
      </c>
      <c r="F1734" t="s">
        <v>254</v>
      </c>
      <c r="G1734" t="s">
        <v>27</v>
      </c>
      <c r="H1734" s="3">
        <v>0.25</v>
      </c>
      <c r="I1734">
        <v>6750</v>
      </c>
      <c r="J1734" s="4">
        <v>1687.5</v>
      </c>
      <c r="K1734" s="4">
        <v>675</v>
      </c>
      <c r="L1734" s="5">
        <v>0.4</v>
      </c>
      <c r="M1734" t="s">
        <v>125</v>
      </c>
      <c r="N1734" t="s">
        <v>361</v>
      </c>
    </row>
    <row r="1735" spans="1:14">
      <c r="A1735" t="s">
        <v>29</v>
      </c>
      <c r="B1735">
        <v>1185732</v>
      </c>
      <c r="C1735" s="2">
        <v>44207</v>
      </c>
      <c r="D1735" t="s">
        <v>140</v>
      </c>
      <c r="E1735" t="s">
        <v>245</v>
      </c>
      <c r="F1735" t="s">
        <v>254</v>
      </c>
      <c r="G1735" t="s">
        <v>145</v>
      </c>
      <c r="H1735" s="3">
        <v>0.25</v>
      </c>
      <c r="I1735">
        <v>4750</v>
      </c>
      <c r="J1735" s="4">
        <v>1187.5</v>
      </c>
      <c r="K1735" s="4">
        <v>415.625</v>
      </c>
      <c r="L1735" s="5">
        <v>0.35</v>
      </c>
      <c r="M1735" t="s">
        <v>125</v>
      </c>
      <c r="N1735" t="s">
        <v>361</v>
      </c>
    </row>
    <row r="1736" spans="1:14">
      <c r="A1736" t="s">
        <v>29</v>
      </c>
      <c r="B1736">
        <v>1185732</v>
      </c>
      <c r="C1736" s="2">
        <v>44207</v>
      </c>
      <c r="D1736" t="s">
        <v>140</v>
      </c>
      <c r="E1736" t="s">
        <v>245</v>
      </c>
      <c r="F1736" t="s">
        <v>254</v>
      </c>
      <c r="G1736" t="s">
        <v>146</v>
      </c>
      <c r="H1736" s="3">
        <v>0.15000000000000002</v>
      </c>
      <c r="I1736">
        <v>4750</v>
      </c>
      <c r="J1736" s="4">
        <v>712.50000000000011</v>
      </c>
      <c r="K1736" s="4">
        <v>249.37500000000003</v>
      </c>
      <c r="L1736" s="5">
        <v>0.35</v>
      </c>
      <c r="M1736" t="s">
        <v>125</v>
      </c>
      <c r="N1736" t="s">
        <v>361</v>
      </c>
    </row>
    <row r="1737" spans="1:14">
      <c r="A1737" t="s">
        <v>29</v>
      </c>
      <c r="B1737">
        <v>1185732</v>
      </c>
      <c r="C1737" s="2">
        <v>44207</v>
      </c>
      <c r="D1737" t="s">
        <v>140</v>
      </c>
      <c r="E1737" t="s">
        <v>245</v>
      </c>
      <c r="F1737" t="s">
        <v>254</v>
      </c>
      <c r="G1737" t="s">
        <v>148</v>
      </c>
      <c r="H1737" s="3">
        <v>0.20000000000000007</v>
      </c>
      <c r="I1737">
        <v>3250</v>
      </c>
      <c r="J1737" s="4">
        <v>650.00000000000023</v>
      </c>
      <c r="K1737" s="4">
        <v>260.00000000000011</v>
      </c>
      <c r="L1737" s="5">
        <v>0.4</v>
      </c>
      <c r="M1737" t="s">
        <v>125</v>
      </c>
      <c r="N1737" t="s">
        <v>361</v>
      </c>
    </row>
    <row r="1738" spans="1:14">
      <c r="A1738" t="s">
        <v>29</v>
      </c>
      <c r="B1738">
        <v>1185732</v>
      </c>
      <c r="C1738" s="2">
        <v>44207</v>
      </c>
      <c r="D1738" t="s">
        <v>140</v>
      </c>
      <c r="E1738" t="s">
        <v>245</v>
      </c>
      <c r="F1738" t="s">
        <v>254</v>
      </c>
      <c r="G1738" t="s">
        <v>147</v>
      </c>
      <c r="H1738" s="3">
        <v>0.35</v>
      </c>
      <c r="I1738">
        <v>3750</v>
      </c>
      <c r="J1738" s="4">
        <v>1312.5</v>
      </c>
      <c r="K1738" s="4">
        <v>459.37499999999994</v>
      </c>
      <c r="L1738" s="5">
        <v>0.35</v>
      </c>
      <c r="M1738" t="s">
        <v>125</v>
      </c>
      <c r="N1738" t="s">
        <v>361</v>
      </c>
    </row>
    <row r="1739" spans="1:14">
      <c r="A1739" t="s">
        <v>29</v>
      </c>
      <c r="B1739">
        <v>1185732</v>
      </c>
      <c r="C1739" s="2">
        <v>44207</v>
      </c>
      <c r="D1739" t="s">
        <v>140</v>
      </c>
      <c r="E1739" t="s">
        <v>245</v>
      </c>
      <c r="F1739" t="s">
        <v>254</v>
      </c>
      <c r="G1739" t="s">
        <v>144</v>
      </c>
      <c r="H1739" s="3">
        <v>0.25</v>
      </c>
      <c r="I1739">
        <v>4750</v>
      </c>
      <c r="J1739" s="4">
        <v>1187.5</v>
      </c>
      <c r="K1739" s="4">
        <v>593.75</v>
      </c>
      <c r="L1739" s="5">
        <v>0.5</v>
      </c>
      <c r="M1739" t="s">
        <v>125</v>
      </c>
      <c r="N1739" t="s">
        <v>361</v>
      </c>
    </row>
    <row r="1740" spans="1:14">
      <c r="A1740" t="s">
        <v>29</v>
      </c>
      <c r="B1740">
        <v>1185732</v>
      </c>
      <c r="C1740" s="2">
        <v>44238</v>
      </c>
      <c r="D1740" t="s">
        <v>140</v>
      </c>
      <c r="E1740" t="s">
        <v>245</v>
      </c>
      <c r="F1740" t="s">
        <v>254</v>
      </c>
      <c r="G1740" t="s">
        <v>27</v>
      </c>
      <c r="H1740" s="3">
        <v>0.25</v>
      </c>
      <c r="I1740">
        <v>7250</v>
      </c>
      <c r="J1740" s="4">
        <v>1812.5</v>
      </c>
      <c r="K1740" s="4">
        <v>725</v>
      </c>
      <c r="L1740" s="5">
        <v>0.4</v>
      </c>
      <c r="M1740" t="s">
        <v>126</v>
      </c>
      <c r="N1740" t="s">
        <v>361</v>
      </c>
    </row>
    <row r="1741" spans="1:14">
      <c r="A1741" t="s">
        <v>29</v>
      </c>
      <c r="B1741">
        <v>1185732</v>
      </c>
      <c r="C1741" s="2">
        <v>44238</v>
      </c>
      <c r="D1741" t="s">
        <v>140</v>
      </c>
      <c r="E1741" t="s">
        <v>245</v>
      </c>
      <c r="F1741" t="s">
        <v>254</v>
      </c>
      <c r="G1741" t="s">
        <v>145</v>
      </c>
      <c r="H1741" s="3">
        <v>0.25</v>
      </c>
      <c r="I1741">
        <v>3750</v>
      </c>
      <c r="J1741" s="4">
        <v>937.5</v>
      </c>
      <c r="K1741" s="4">
        <v>328.125</v>
      </c>
      <c r="L1741" s="5">
        <v>0.35</v>
      </c>
      <c r="M1741" t="s">
        <v>126</v>
      </c>
      <c r="N1741" t="s">
        <v>361</v>
      </c>
    </row>
    <row r="1742" spans="1:14">
      <c r="A1742" t="s">
        <v>29</v>
      </c>
      <c r="B1742">
        <v>1185732</v>
      </c>
      <c r="C1742" s="2">
        <v>44238</v>
      </c>
      <c r="D1742" t="s">
        <v>140</v>
      </c>
      <c r="E1742" t="s">
        <v>245</v>
      </c>
      <c r="F1742" t="s">
        <v>254</v>
      </c>
      <c r="G1742" t="s">
        <v>146</v>
      </c>
      <c r="H1742" s="3">
        <v>0.15000000000000002</v>
      </c>
      <c r="I1742">
        <v>4250</v>
      </c>
      <c r="J1742" s="4">
        <v>637.50000000000011</v>
      </c>
      <c r="K1742" s="4">
        <v>223.12500000000003</v>
      </c>
      <c r="L1742" s="5">
        <v>0.35</v>
      </c>
      <c r="M1742" t="s">
        <v>126</v>
      </c>
      <c r="N1742" t="s">
        <v>361</v>
      </c>
    </row>
    <row r="1743" spans="1:14">
      <c r="A1743" t="s">
        <v>29</v>
      </c>
      <c r="B1743">
        <v>1185732</v>
      </c>
      <c r="C1743" s="2">
        <v>44238</v>
      </c>
      <c r="D1743" t="s">
        <v>140</v>
      </c>
      <c r="E1743" t="s">
        <v>245</v>
      </c>
      <c r="F1743" t="s">
        <v>254</v>
      </c>
      <c r="G1743" t="s">
        <v>148</v>
      </c>
      <c r="H1743" s="3">
        <v>0.20000000000000007</v>
      </c>
      <c r="I1743">
        <v>3000</v>
      </c>
      <c r="J1743" s="4">
        <v>600.00000000000023</v>
      </c>
      <c r="K1743" s="4">
        <v>240.00000000000011</v>
      </c>
      <c r="L1743" s="5">
        <v>0.4</v>
      </c>
      <c r="M1743" t="s">
        <v>126</v>
      </c>
      <c r="N1743" t="s">
        <v>361</v>
      </c>
    </row>
    <row r="1744" spans="1:14">
      <c r="A1744" t="s">
        <v>29</v>
      </c>
      <c r="B1744">
        <v>1185732</v>
      </c>
      <c r="C1744" s="2">
        <v>44238</v>
      </c>
      <c r="D1744" t="s">
        <v>140</v>
      </c>
      <c r="E1744" t="s">
        <v>245</v>
      </c>
      <c r="F1744" t="s">
        <v>254</v>
      </c>
      <c r="G1744" t="s">
        <v>147</v>
      </c>
      <c r="H1744" s="3">
        <v>0.35</v>
      </c>
      <c r="I1744">
        <v>3750</v>
      </c>
      <c r="J1744" s="4">
        <v>1312.5</v>
      </c>
      <c r="K1744" s="4">
        <v>459.37499999999994</v>
      </c>
      <c r="L1744" s="5">
        <v>0.35</v>
      </c>
      <c r="M1744" t="s">
        <v>126</v>
      </c>
      <c r="N1744" t="s">
        <v>361</v>
      </c>
    </row>
    <row r="1745" spans="1:14">
      <c r="A1745" t="s">
        <v>29</v>
      </c>
      <c r="B1745">
        <v>1185732</v>
      </c>
      <c r="C1745" s="2">
        <v>44238</v>
      </c>
      <c r="D1745" t="s">
        <v>140</v>
      </c>
      <c r="E1745" t="s">
        <v>245</v>
      </c>
      <c r="F1745" t="s">
        <v>254</v>
      </c>
      <c r="G1745" t="s">
        <v>144</v>
      </c>
      <c r="H1745" s="3">
        <v>0.25</v>
      </c>
      <c r="I1745">
        <v>4500</v>
      </c>
      <c r="J1745" s="4">
        <v>1125</v>
      </c>
      <c r="K1745" s="4">
        <v>562.5</v>
      </c>
      <c r="L1745" s="5">
        <v>0.5</v>
      </c>
      <c r="M1745" t="s">
        <v>126</v>
      </c>
      <c r="N1745" t="s">
        <v>361</v>
      </c>
    </row>
    <row r="1746" spans="1:14">
      <c r="A1746" t="s">
        <v>29</v>
      </c>
      <c r="B1746">
        <v>1185732</v>
      </c>
      <c r="C1746" s="2">
        <v>44265</v>
      </c>
      <c r="D1746" t="s">
        <v>140</v>
      </c>
      <c r="E1746" t="s">
        <v>245</v>
      </c>
      <c r="F1746" t="s">
        <v>254</v>
      </c>
      <c r="G1746" t="s">
        <v>27</v>
      </c>
      <c r="H1746" s="3">
        <v>0.30000000000000004</v>
      </c>
      <c r="I1746">
        <v>6700</v>
      </c>
      <c r="J1746" s="4">
        <v>2010.0000000000002</v>
      </c>
      <c r="K1746" s="4">
        <v>804.00000000000011</v>
      </c>
      <c r="L1746" s="5">
        <v>0.4</v>
      </c>
      <c r="M1746" t="s">
        <v>24</v>
      </c>
      <c r="N1746" t="s">
        <v>361</v>
      </c>
    </row>
    <row r="1747" spans="1:14">
      <c r="A1747" t="s">
        <v>29</v>
      </c>
      <c r="B1747">
        <v>1185732</v>
      </c>
      <c r="C1747" s="2">
        <v>44265</v>
      </c>
      <c r="D1747" t="s">
        <v>140</v>
      </c>
      <c r="E1747" t="s">
        <v>245</v>
      </c>
      <c r="F1747" t="s">
        <v>254</v>
      </c>
      <c r="G1747" t="s">
        <v>145</v>
      </c>
      <c r="H1747" s="3">
        <v>0.30000000000000004</v>
      </c>
      <c r="I1747">
        <v>3500</v>
      </c>
      <c r="J1747" s="4">
        <v>1050.0000000000002</v>
      </c>
      <c r="K1747" s="4">
        <v>367.50000000000006</v>
      </c>
      <c r="L1747" s="5">
        <v>0.35</v>
      </c>
      <c r="M1747" t="s">
        <v>24</v>
      </c>
      <c r="N1747" t="s">
        <v>361</v>
      </c>
    </row>
    <row r="1748" spans="1:14">
      <c r="A1748" t="s">
        <v>29</v>
      </c>
      <c r="B1748">
        <v>1185732</v>
      </c>
      <c r="C1748" s="2">
        <v>44265</v>
      </c>
      <c r="D1748" t="s">
        <v>140</v>
      </c>
      <c r="E1748" t="s">
        <v>245</v>
      </c>
      <c r="F1748" t="s">
        <v>254</v>
      </c>
      <c r="G1748" t="s">
        <v>146</v>
      </c>
      <c r="H1748" s="3">
        <v>0.20000000000000007</v>
      </c>
      <c r="I1748">
        <v>4000</v>
      </c>
      <c r="J1748" s="4">
        <v>800.00000000000023</v>
      </c>
      <c r="K1748" s="4">
        <v>280.00000000000006</v>
      </c>
      <c r="L1748" s="5">
        <v>0.35</v>
      </c>
      <c r="M1748" t="s">
        <v>24</v>
      </c>
      <c r="N1748" t="s">
        <v>361</v>
      </c>
    </row>
    <row r="1749" spans="1:14">
      <c r="A1749" t="s">
        <v>29</v>
      </c>
      <c r="B1749">
        <v>1185732</v>
      </c>
      <c r="C1749" s="2">
        <v>44265</v>
      </c>
      <c r="D1749" t="s">
        <v>140</v>
      </c>
      <c r="E1749" t="s">
        <v>245</v>
      </c>
      <c r="F1749" t="s">
        <v>254</v>
      </c>
      <c r="G1749" t="s">
        <v>148</v>
      </c>
      <c r="H1749" s="3">
        <v>0.25</v>
      </c>
      <c r="I1749">
        <v>2500</v>
      </c>
      <c r="J1749" s="4">
        <v>625</v>
      </c>
      <c r="K1749" s="4">
        <v>250</v>
      </c>
      <c r="L1749" s="5">
        <v>0.4</v>
      </c>
      <c r="M1749" t="s">
        <v>24</v>
      </c>
      <c r="N1749" t="s">
        <v>361</v>
      </c>
    </row>
    <row r="1750" spans="1:14">
      <c r="A1750" t="s">
        <v>29</v>
      </c>
      <c r="B1750">
        <v>1185732</v>
      </c>
      <c r="C1750" s="2">
        <v>44265</v>
      </c>
      <c r="D1750" t="s">
        <v>140</v>
      </c>
      <c r="E1750" t="s">
        <v>245</v>
      </c>
      <c r="F1750" t="s">
        <v>254</v>
      </c>
      <c r="G1750" t="s">
        <v>147</v>
      </c>
      <c r="H1750" s="3">
        <v>0.4</v>
      </c>
      <c r="I1750">
        <v>3000</v>
      </c>
      <c r="J1750" s="4">
        <v>1200</v>
      </c>
      <c r="K1750" s="4">
        <v>420</v>
      </c>
      <c r="L1750" s="5">
        <v>0.35</v>
      </c>
      <c r="M1750" t="s">
        <v>24</v>
      </c>
      <c r="N1750" t="s">
        <v>361</v>
      </c>
    </row>
    <row r="1751" spans="1:14">
      <c r="A1751" t="s">
        <v>29</v>
      </c>
      <c r="B1751">
        <v>1185732</v>
      </c>
      <c r="C1751" s="2">
        <v>44265</v>
      </c>
      <c r="D1751" t="s">
        <v>140</v>
      </c>
      <c r="E1751" t="s">
        <v>245</v>
      </c>
      <c r="F1751" t="s">
        <v>254</v>
      </c>
      <c r="G1751" t="s">
        <v>144</v>
      </c>
      <c r="H1751" s="3">
        <v>0.30000000000000004</v>
      </c>
      <c r="I1751">
        <v>4000</v>
      </c>
      <c r="J1751" s="4">
        <v>1200.0000000000002</v>
      </c>
      <c r="K1751" s="4">
        <v>600.00000000000011</v>
      </c>
      <c r="L1751" s="5">
        <v>0.5</v>
      </c>
      <c r="M1751" t="s">
        <v>24</v>
      </c>
      <c r="N1751" t="s">
        <v>361</v>
      </c>
    </row>
    <row r="1752" spans="1:14">
      <c r="A1752" t="s">
        <v>29</v>
      </c>
      <c r="B1752">
        <v>1185732</v>
      </c>
      <c r="C1752" s="2">
        <v>44297</v>
      </c>
      <c r="D1752" t="s">
        <v>140</v>
      </c>
      <c r="E1752" t="s">
        <v>245</v>
      </c>
      <c r="F1752" t="s">
        <v>254</v>
      </c>
      <c r="G1752" t="s">
        <v>27</v>
      </c>
      <c r="H1752" s="3">
        <v>0.30000000000000004</v>
      </c>
      <c r="I1752">
        <v>6250</v>
      </c>
      <c r="J1752" s="4">
        <v>1875.0000000000002</v>
      </c>
      <c r="K1752" s="4">
        <v>750.00000000000011</v>
      </c>
      <c r="L1752" s="5">
        <v>0.4</v>
      </c>
      <c r="M1752" t="s">
        <v>127</v>
      </c>
      <c r="N1752" t="s">
        <v>362</v>
      </c>
    </row>
    <row r="1753" spans="1:14">
      <c r="A1753" t="s">
        <v>29</v>
      </c>
      <c r="B1753">
        <v>1185732</v>
      </c>
      <c r="C1753" s="2">
        <v>44297</v>
      </c>
      <c r="D1753" t="s">
        <v>140</v>
      </c>
      <c r="E1753" t="s">
        <v>245</v>
      </c>
      <c r="F1753" t="s">
        <v>254</v>
      </c>
      <c r="G1753" t="s">
        <v>145</v>
      </c>
      <c r="H1753" s="3">
        <v>0.25000000000000006</v>
      </c>
      <c r="I1753">
        <v>3250</v>
      </c>
      <c r="J1753" s="4">
        <v>812.50000000000023</v>
      </c>
      <c r="K1753" s="4">
        <v>284.37500000000006</v>
      </c>
      <c r="L1753" s="5">
        <v>0.35</v>
      </c>
      <c r="M1753" t="s">
        <v>127</v>
      </c>
      <c r="N1753" t="s">
        <v>362</v>
      </c>
    </row>
    <row r="1754" spans="1:14">
      <c r="A1754" t="s">
        <v>29</v>
      </c>
      <c r="B1754">
        <v>1185732</v>
      </c>
      <c r="C1754" s="2">
        <v>44297</v>
      </c>
      <c r="D1754" t="s">
        <v>140</v>
      </c>
      <c r="E1754" t="s">
        <v>245</v>
      </c>
      <c r="F1754" t="s">
        <v>254</v>
      </c>
      <c r="G1754" t="s">
        <v>146</v>
      </c>
      <c r="H1754" s="3">
        <v>0.15000000000000008</v>
      </c>
      <c r="I1754">
        <v>3250</v>
      </c>
      <c r="J1754" s="4">
        <v>487.50000000000023</v>
      </c>
      <c r="K1754" s="4">
        <v>170.62500000000006</v>
      </c>
      <c r="L1754" s="5">
        <v>0.35</v>
      </c>
      <c r="M1754" t="s">
        <v>127</v>
      </c>
      <c r="N1754" t="s">
        <v>362</v>
      </c>
    </row>
    <row r="1755" spans="1:14">
      <c r="A1755" t="s">
        <v>29</v>
      </c>
      <c r="B1755">
        <v>1185732</v>
      </c>
      <c r="C1755" s="2">
        <v>44297</v>
      </c>
      <c r="D1755" t="s">
        <v>140</v>
      </c>
      <c r="E1755" t="s">
        <v>245</v>
      </c>
      <c r="F1755" t="s">
        <v>254</v>
      </c>
      <c r="G1755" t="s">
        <v>148</v>
      </c>
      <c r="H1755" s="3">
        <v>0.2</v>
      </c>
      <c r="I1755">
        <v>2500</v>
      </c>
      <c r="J1755" s="4">
        <v>500</v>
      </c>
      <c r="K1755" s="4">
        <v>200</v>
      </c>
      <c r="L1755" s="5">
        <v>0.4</v>
      </c>
      <c r="M1755" t="s">
        <v>127</v>
      </c>
      <c r="N1755" t="s">
        <v>362</v>
      </c>
    </row>
    <row r="1756" spans="1:14">
      <c r="A1756" t="s">
        <v>29</v>
      </c>
      <c r="B1756">
        <v>1185732</v>
      </c>
      <c r="C1756" s="2">
        <v>44297</v>
      </c>
      <c r="D1756" t="s">
        <v>140</v>
      </c>
      <c r="E1756" t="s">
        <v>245</v>
      </c>
      <c r="F1756" t="s">
        <v>254</v>
      </c>
      <c r="G1756" t="s">
        <v>147</v>
      </c>
      <c r="H1756" s="3">
        <v>0.35000000000000003</v>
      </c>
      <c r="I1756">
        <v>2750</v>
      </c>
      <c r="J1756" s="4">
        <v>962.50000000000011</v>
      </c>
      <c r="K1756" s="4">
        <v>336.875</v>
      </c>
      <c r="L1756" s="5">
        <v>0.35</v>
      </c>
      <c r="M1756" t="s">
        <v>127</v>
      </c>
      <c r="N1756" t="s">
        <v>362</v>
      </c>
    </row>
    <row r="1757" spans="1:14">
      <c r="A1757" t="s">
        <v>29</v>
      </c>
      <c r="B1757">
        <v>1185732</v>
      </c>
      <c r="C1757" s="2">
        <v>44297</v>
      </c>
      <c r="D1757" t="s">
        <v>140</v>
      </c>
      <c r="E1757" t="s">
        <v>245</v>
      </c>
      <c r="F1757" t="s">
        <v>254</v>
      </c>
      <c r="G1757" t="s">
        <v>144</v>
      </c>
      <c r="H1757" s="3">
        <v>0.25000000000000006</v>
      </c>
      <c r="I1757">
        <v>4000</v>
      </c>
      <c r="J1757" s="4">
        <v>1000.0000000000002</v>
      </c>
      <c r="K1757" s="4">
        <v>500.00000000000011</v>
      </c>
      <c r="L1757" s="5">
        <v>0.5</v>
      </c>
      <c r="M1757" t="s">
        <v>127</v>
      </c>
      <c r="N1757" t="s">
        <v>362</v>
      </c>
    </row>
    <row r="1758" spans="1:14">
      <c r="A1758" t="s">
        <v>29</v>
      </c>
      <c r="B1758">
        <v>1185732</v>
      </c>
      <c r="C1758" s="2">
        <v>44328</v>
      </c>
      <c r="D1758" t="s">
        <v>140</v>
      </c>
      <c r="E1758" t="s">
        <v>245</v>
      </c>
      <c r="F1758" t="s">
        <v>254</v>
      </c>
      <c r="G1758" t="s">
        <v>27</v>
      </c>
      <c r="H1758" s="3">
        <v>0.35000000000000003</v>
      </c>
      <c r="I1758">
        <v>6700</v>
      </c>
      <c r="J1758" s="4">
        <v>2345</v>
      </c>
      <c r="K1758" s="4">
        <v>938</v>
      </c>
      <c r="L1758" s="5">
        <v>0.4</v>
      </c>
      <c r="M1758" t="s">
        <v>128</v>
      </c>
      <c r="N1758" t="s">
        <v>362</v>
      </c>
    </row>
    <row r="1759" spans="1:14">
      <c r="A1759" t="s">
        <v>29</v>
      </c>
      <c r="B1759">
        <v>1185732</v>
      </c>
      <c r="C1759" s="2">
        <v>44328</v>
      </c>
      <c r="D1759" t="s">
        <v>140</v>
      </c>
      <c r="E1759" t="s">
        <v>245</v>
      </c>
      <c r="F1759" t="s">
        <v>254</v>
      </c>
      <c r="G1759" t="s">
        <v>145</v>
      </c>
      <c r="H1759" s="3">
        <v>0.3000000000000001</v>
      </c>
      <c r="I1759">
        <v>3750</v>
      </c>
      <c r="J1759" s="4">
        <v>1125.0000000000005</v>
      </c>
      <c r="K1759" s="4">
        <v>393.75000000000011</v>
      </c>
      <c r="L1759" s="5">
        <v>0.35</v>
      </c>
      <c r="M1759" t="s">
        <v>128</v>
      </c>
      <c r="N1759" t="s">
        <v>362</v>
      </c>
    </row>
    <row r="1760" spans="1:14">
      <c r="A1760" t="s">
        <v>29</v>
      </c>
      <c r="B1760">
        <v>1185732</v>
      </c>
      <c r="C1760" s="2">
        <v>44328</v>
      </c>
      <c r="D1760" t="s">
        <v>140</v>
      </c>
      <c r="E1760" t="s">
        <v>245</v>
      </c>
      <c r="F1760" t="s">
        <v>254</v>
      </c>
      <c r="G1760" t="s">
        <v>146</v>
      </c>
      <c r="H1760" s="3">
        <v>0.25000000000000006</v>
      </c>
      <c r="I1760">
        <v>3500</v>
      </c>
      <c r="J1760" s="4">
        <v>875.00000000000023</v>
      </c>
      <c r="K1760" s="4">
        <v>306.25000000000006</v>
      </c>
      <c r="L1760" s="5">
        <v>0.35</v>
      </c>
      <c r="M1760" t="s">
        <v>128</v>
      </c>
      <c r="N1760" t="s">
        <v>362</v>
      </c>
    </row>
    <row r="1761" spans="1:14">
      <c r="A1761" t="s">
        <v>29</v>
      </c>
      <c r="B1761">
        <v>1185732</v>
      </c>
      <c r="C1761" s="2">
        <v>44328</v>
      </c>
      <c r="D1761" t="s">
        <v>140</v>
      </c>
      <c r="E1761" t="s">
        <v>245</v>
      </c>
      <c r="F1761" t="s">
        <v>254</v>
      </c>
      <c r="G1761" t="s">
        <v>148</v>
      </c>
      <c r="H1761" s="3">
        <v>0.25000000000000006</v>
      </c>
      <c r="I1761">
        <v>2750</v>
      </c>
      <c r="J1761" s="4">
        <v>687.50000000000011</v>
      </c>
      <c r="K1761" s="4">
        <v>275.00000000000006</v>
      </c>
      <c r="L1761" s="5">
        <v>0.4</v>
      </c>
      <c r="M1761" t="s">
        <v>128</v>
      </c>
      <c r="N1761" t="s">
        <v>362</v>
      </c>
    </row>
    <row r="1762" spans="1:14">
      <c r="A1762" t="s">
        <v>29</v>
      </c>
      <c r="B1762">
        <v>1185732</v>
      </c>
      <c r="C1762" s="2">
        <v>44328</v>
      </c>
      <c r="D1762" t="s">
        <v>140</v>
      </c>
      <c r="E1762" t="s">
        <v>245</v>
      </c>
      <c r="F1762" t="s">
        <v>254</v>
      </c>
      <c r="G1762" t="s">
        <v>147</v>
      </c>
      <c r="H1762" s="3">
        <v>0.39999999999999997</v>
      </c>
      <c r="I1762">
        <v>3000</v>
      </c>
      <c r="J1762" s="4">
        <v>1200</v>
      </c>
      <c r="K1762" s="4">
        <v>420</v>
      </c>
      <c r="L1762" s="5">
        <v>0.35</v>
      </c>
      <c r="M1762" t="s">
        <v>128</v>
      </c>
      <c r="N1762" t="s">
        <v>362</v>
      </c>
    </row>
    <row r="1763" spans="1:14">
      <c r="A1763" t="s">
        <v>29</v>
      </c>
      <c r="B1763">
        <v>1185732</v>
      </c>
      <c r="C1763" s="2">
        <v>44328</v>
      </c>
      <c r="D1763" t="s">
        <v>140</v>
      </c>
      <c r="E1763" t="s">
        <v>245</v>
      </c>
      <c r="F1763" t="s">
        <v>254</v>
      </c>
      <c r="G1763" t="s">
        <v>144</v>
      </c>
      <c r="H1763" s="3">
        <v>0.44999999999999996</v>
      </c>
      <c r="I1763">
        <v>4000</v>
      </c>
      <c r="J1763" s="4">
        <v>1799.9999999999998</v>
      </c>
      <c r="K1763" s="4">
        <v>899.99999999999989</v>
      </c>
      <c r="L1763" s="5">
        <v>0.5</v>
      </c>
      <c r="M1763" t="s">
        <v>128</v>
      </c>
      <c r="N1763" t="s">
        <v>362</v>
      </c>
    </row>
    <row r="1764" spans="1:14">
      <c r="A1764" t="s">
        <v>29</v>
      </c>
      <c r="B1764">
        <v>1185732</v>
      </c>
      <c r="C1764" s="2">
        <v>44358</v>
      </c>
      <c r="D1764" t="s">
        <v>140</v>
      </c>
      <c r="E1764" t="s">
        <v>245</v>
      </c>
      <c r="F1764" t="s">
        <v>254</v>
      </c>
      <c r="G1764" t="s">
        <v>27</v>
      </c>
      <c r="H1764" s="3">
        <v>0.30000000000000004</v>
      </c>
      <c r="I1764">
        <v>6500</v>
      </c>
      <c r="J1764" s="4">
        <v>1950.0000000000002</v>
      </c>
      <c r="K1764" s="4">
        <v>780.00000000000011</v>
      </c>
      <c r="L1764" s="5">
        <v>0.4</v>
      </c>
      <c r="M1764" t="s">
        <v>129</v>
      </c>
      <c r="N1764" t="s">
        <v>362</v>
      </c>
    </row>
    <row r="1765" spans="1:14">
      <c r="A1765" t="s">
        <v>29</v>
      </c>
      <c r="B1765">
        <v>1185732</v>
      </c>
      <c r="C1765" s="2">
        <v>44358</v>
      </c>
      <c r="D1765" t="s">
        <v>140</v>
      </c>
      <c r="E1765" t="s">
        <v>245</v>
      </c>
      <c r="F1765" t="s">
        <v>254</v>
      </c>
      <c r="G1765" t="s">
        <v>145</v>
      </c>
      <c r="H1765" s="3">
        <v>0.25000000000000011</v>
      </c>
      <c r="I1765">
        <v>4000</v>
      </c>
      <c r="J1765" s="4">
        <v>1000.0000000000005</v>
      </c>
      <c r="K1765" s="4">
        <v>350.00000000000011</v>
      </c>
      <c r="L1765" s="5">
        <v>0.35</v>
      </c>
      <c r="M1765" t="s">
        <v>129</v>
      </c>
      <c r="N1765" t="s">
        <v>362</v>
      </c>
    </row>
    <row r="1766" spans="1:14">
      <c r="A1766" t="s">
        <v>29</v>
      </c>
      <c r="B1766">
        <v>1185732</v>
      </c>
      <c r="C1766" s="2">
        <v>44358</v>
      </c>
      <c r="D1766" t="s">
        <v>140</v>
      </c>
      <c r="E1766" t="s">
        <v>245</v>
      </c>
      <c r="F1766" t="s">
        <v>254</v>
      </c>
      <c r="G1766" t="s">
        <v>146</v>
      </c>
      <c r="H1766" s="3">
        <v>0.20000000000000007</v>
      </c>
      <c r="I1766">
        <v>4250</v>
      </c>
      <c r="J1766" s="4">
        <v>850.00000000000023</v>
      </c>
      <c r="K1766" s="4">
        <v>297.50000000000006</v>
      </c>
      <c r="L1766" s="5">
        <v>0.35</v>
      </c>
      <c r="M1766" t="s">
        <v>129</v>
      </c>
      <c r="N1766" t="s">
        <v>362</v>
      </c>
    </row>
    <row r="1767" spans="1:14">
      <c r="A1767" t="s">
        <v>29</v>
      </c>
      <c r="B1767">
        <v>1185732</v>
      </c>
      <c r="C1767" s="2">
        <v>44358</v>
      </c>
      <c r="D1767" t="s">
        <v>140</v>
      </c>
      <c r="E1767" t="s">
        <v>245</v>
      </c>
      <c r="F1767" t="s">
        <v>254</v>
      </c>
      <c r="G1767" t="s">
        <v>148</v>
      </c>
      <c r="H1767" s="3">
        <v>0.20000000000000007</v>
      </c>
      <c r="I1767">
        <v>4000</v>
      </c>
      <c r="J1767" s="4">
        <v>800.00000000000023</v>
      </c>
      <c r="K1767" s="4">
        <v>320.00000000000011</v>
      </c>
      <c r="L1767" s="5">
        <v>0.4</v>
      </c>
      <c r="M1767" t="s">
        <v>129</v>
      </c>
      <c r="N1767" t="s">
        <v>362</v>
      </c>
    </row>
    <row r="1768" spans="1:14">
      <c r="A1768" t="s">
        <v>29</v>
      </c>
      <c r="B1768">
        <v>1185732</v>
      </c>
      <c r="C1768" s="2">
        <v>44358</v>
      </c>
      <c r="D1768" t="s">
        <v>140</v>
      </c>
      <c r="E1768" t="s">
        <v>245</v>
      </c>
      <c r="F1768" t="s">
        <v>254</v>
      </c>
      <c r="G1768" t="s">
        <v>147</v>
      </c>
      <c r="H1768" s="3">
        <v>0.35000000000000003</v>
      </c>
      <c r="I1768">
        <v>4000</v>
      </c>
      <c r="J1768" s="4">
        <v>1400.0000000000002</v>
      </c>
      <c r="K1768" s="4">
        <v>490.00000000000006</v>
      </c>
      <c r="L1768" s="5">
        <v>0.35</v>
      </c>
      <c r="M1768" t="s">
        <v>129</v>
      </c>
      <c r="N1768" t="s">
        <v>362</v>
      </c>
    </row>
    <row r="1769" spans="1:14">
      <c r="A1769" t="s">
        <v>29</v>
      </c>
      <c r="B1769">
        <v>1185732</v>
      </c>
      <c r="C1769" s="2">
        <v>44358</v>
      </c>
      <c r="D1769" t="s">
        <v>140</v>
      </c>
      <c r="E1769" t="s">
        <v>245</v>
      </c>
      <c r="F1769" t="s">
        <v>254</v>
      </c>
      <c r="G1769" t="s">
        <v>144</v>
      </c>
      <c r="H1769" s="3">
        <v>0.4</v>
      </c>
      <c r="I1769">
        <v>5750</v>
      </c>
      <c r="J1769" s="4">
        <v>2300</v>
      </c>
      <c r="K1769" s="4">
        <v>1150</v>
      </c>
      <c r="L1769" s="5">
        <v>0.5</v>
      </c>
      <c r="M1769" t="s">
        <v>129</v>
      </c>
      <c r="N1769" t="s">
        <v>362</v>
      </c>
    </row>
    <row r="1770" spans="1:14">
      <c r="A1770" t="s">
        <v>29</v>
      </c>
      <c r="B1770">
        <v>1185732</v>
      </c>
      <c r="C1770" s="2">
        <v>44387</v>
      </c>
      <c r="D1770" t="s">
        <v>140</v>
      </c>
      <c r="E1770" t="s">
        <v>245</v>
      </c>
      <c r="F1770" t="s">
        <v>254</v>
      </c>
      <c r="G1770" t="s">
        <v>27</v>
      </c>
      <c r="H1770" s="3">
        <v>0.35000000000000003</v>
      </c>
      <c r="I1770">
        <v>8000</v>
      </c>
      <c r="J1770" s="4">
        <v>2800.0000000000005</v>
      </c>
      <c r="K1770" s="4">
        <v>1120.0000000000002</v>
      </c>
      <c r="L1770" s="5">
        <v>0.4</v>
      </c>
      <c r="M1770" t="s">
        <v>130</v>
      </c>
      <c r="N1770" t="s">
        <v>363</v>
      </c>
    </row>
    <row r="1771" spans="1:14">
      <c r="A1771" t="s">
        <v>29</v>
      </c>
      <c r="B1771">
        <v>1185732</v>
      </c>
      <c r="C1771" s="2">
        <v>44387</v>
      </c>
      <c r="D1771" t="s">
        <v>140</v>
      </c>
      <c r="E1771" t="s">
        <v>245</v>
      </c>
      <c r="F1771" t="s">
        <v>254</v>
      </c>
      <c r="G1771" t="s">
        <v>145</v>
      </c>
      <c r="H1771" s="3">
        <v>0.3000000000000001</v>
      </c>
      <c r="I1771">
        <v>5500</v>
      </c>
      <c r="J1771" s="4">
        <v>1650.0000000000005</v>
      </c>
      <c r="K1771" s="4">
        <v>577.50000000000011</v>
      </c>
      <c r="L1771" s="5">
        <v>0.35</v>
      </c>
      <c r="M1771" t="s">
        <v>130</v>
      </c>
      <c r="N1771" t="s">
        <v>363</v>
      </c>
    </row>
    <row r="1772" spans="1:14">
      <c r="A1772" t="s">
        <v>29</v>
      </c>
      <c r="B1772">
        <v>1185732</v>
      </c>
      <c r="C1772" s="2">
        <v>44387</v>
      </c>
      <c r="D1772" t="s">
        <v>140</v>
      </c>
      <c r="E1772" t="s">
        <v>245</v>
      </c>
      <c r="F1772" t="s">
        <v>254</v>
      </c>
      <c r="G1772" t="s">
        <v>146</v>
      </c>
      <c r="H1772" s="3">
        <v>0.25000000000000006</v>
      </c>
      <c r="I1772">
        <v>4750</v>
      </c>
      <c r="J1772" s="4">
        <v>1187.5000000000002</v>
      </c>
      <c r="K1772" s="4">
        <v>415.62500000000006</v>
      </c>
      <c r="L1772" s="5">
        <v>0.35</v>
      </c>
      <c r="M1772" t="s">
        <v>130</v>
      </c>
      <c r="N1772" t="s">
        <v>363</v>
      </c>
    </row>
    <row r="1773" spans="1:14">
      <c r="A1773" t="s">
        <v>29</v>
      </c>
      <c r="B1773">
        <v>1185732</v>
      </c>
      <c r="C1773" s="2">
        <v>44387</v>
      </c>
      <c r="D1773" t="s">
        <v>140</v>
      </c>
      <c r="E1773" t="s">
        <v>245</v>
      </c>
      <c r="F1773" t="s">
        <v>254</v>
      </c>
      <c r="G1773" t="s">
        <v>148</v>
      </c>
      <c r="H1773" s="3">
        <v>0.25000000000000006</v>
      </c>
      <c r="I1773">
        <v>4250</v>
      </c>
      <c r="J1773" s="4">
        <v>1062.5000000000002</v>
      </c>
      <c r="K1773" s="4">
        <v>425.00000000000011</v>
      </c>
      <c r="L1773" s="5">
        <v>0.4</v>
      </c>
      <c r="M1773" t="s">
        <v>130</v>
      </c>
      <c r="N1773" t="s">
        <v>363</v>
      </c>
    </row>
    <row r="1774" spans="1:14">
      <c r="A1774" t="s">
        <v>29</v>
      </c>
      <c r="B1774">
        <v>1185732</v>
      </c>
      <c r="C1774" s="2">
        <v>44387</v>
      </c>
      <c r="D1774" t="s">
        <v>140</v>
      </c>
      <c r="E1774" t="s">
        <v>245</v>
      </c>
      <c r="F1774" t="s">
        <v>254</v>
      </c>
      <c r="G1774" t="s">
        <v>147</v>
      </c>
      <c r="H1774" s="3">
        <v>0.35000000000000003</v>
      </c>
      <c r="I1774">
        <v>4250</v>
      </c>
      <c r="J1774" s="4">
        <v>1487.5000000000002</v>
      </c>
      <c r="K1774" s="4">
        <v>520.625</v>
      </c>
      <c r="L1774" s="5">
        <v>0.35</v>
      </c>
      <c r="M1774" t="s">
        <v>130</v>
      </c>
      <c r="N1774" t="s">
        <v>363</v>
      </c>
    </row>
    <row r="1775" spans="1:14">
      <c r="A1775" t="s">
        <v>29</v>
      </c>
      <c r="B1775">
        <v>1185732</v>
      </c>
      <c r="C1775" s="2">
        <v>44387</v>
      </c>
      <c r="D1775" t="s">
        <v>140</v>
      </c>
      <c r="E1775" t="s">
        <v>245</v>
      </c>
      <c r="F1775" t="s">
        <v>254</v>
      </c>
      <c r="G1775" t="s">
        <v>144</v>
      </c>
      <c r="H1775" s="3">
        <v>0.4</v>
      </c>
      <c r="I1775">
        <v>6000</v>
      </c>
      <c r="J1775" s="4">
        <v>2400</v>
      </c>
      <c r="K1775" s="4">
        <v>1200</v>
      </c>
      <c r="L1775" s="5">
        <v>0.5</v>
      </c>
      <c r="M1775" t="s">
        <v>130</v>
      </c>
      <c r="N1775" t="s">
        <v>363</v>
      </c>
    </row>
    <row r="1776" spans="1:14">
      <c r="A1776" t="s">
        <v>29</v>
      </c>
      <c r="B1776">
        <v>1185732</v>
      </c>
      <c r="C1776" s="2">
        <v>44419</v>
      </c>
      <c r="D1776" t="s">
        <v>140</v>
      </c>
      <c r="E1776" t="s">
        <v>245</v>
      </c>
      <c r="F1776" t="s">
        <v>254</v>
      </c>
      <c r="G1776" t="s">
        <v>27</v>
      </c>
      <c r="H1776" s="3">
        <v>0.35000000000000003</v>
      </c>
      <c r="I1776">
        <v>7500</v>
      </c>
      <c r="J1776" s="4">
        <v>2625.0000000000005</v>
      </c>
      <c r="K1776" s="4">
        <v>1050.0000000000002</v>
      </c>
      <c r="L1776" s="5">
        <v>0.4</v>
      </c>
      <c r="M1776" t="s">
        <v>131</v>
      </c>
      <c r="N1776" t="s">
        <v>363</v>
      </c>
    </row>
    <row r="1777" spans="1:14">
      <c r="A1777" t="s">
        <v>29</v>
      </c>
      <c r="B1777">
        <v>1185732</v>
      </c>
      <c r="C1777" s="2">
        <v>44419</v>
      </c>
      <c r="D1777" t="s">
        <v>140</v>
      </c>
      <c r="E1777" t="s">
        <v>245</v>
      </c>
      <c r="F1777" t="s">
        <v>254</v>
      </c>
      <c r="G1777" t="s">
        <v>145</v>
      </c>
      <c r="H1777" s="3">
        <v>0.35000000000000009</v>
      </c>
      <c r="I1777">
        <v>5250</v>
      </c>
      <c r="J1777" s="4">
        <v>1837.5000000000005</v>
      </c>
      <c r="K1777" s="4">
        <v>643.12500000000011</v>
      </c>
      <c r="L1777" s="5">
        <v>0.35</v>
      </c>
      <c r="M1777" t="s">
        <v>131</v>
      </c>
      <c r="N1777" t="s">
        <v>363</v>
      </c>
    </row>
    <row r="1778" spans="1:14">
      <c r="A1778" t="s">
        <v>29</v>
      </c>
      <c r="B1778">
        <v>1185732</v>
      </c>
      <c r="C1778" s="2">
        <v>44419</v>
      </c>
      <c r="D1778" t="s">
        <v>140</v>
      </c>
      <c r="E1778" t="s">
        <v>245</v>
      </c>
      <c r="F1778" t="s">
        <v>254</v>
      </c>
      <c r="G1778" t="s">
        <v>146</v>
      </c>
      <c r="H1778" s="3">
        <v>0.30000000000000004</v>
      </c>
      <c r="I1778">
        <v>4500</v>
      </c>
      <c r="J1778" s="4">
        <v>1350.0000000000002</v>
      </c>
      <c r="K1778" s="4">
        <v>472.50000000000006</v>
      </c>
      <c r="L1778" s="5">
        <v>0.35</v>
      </c>
      <c r="M1778" t="s">
        <v>131</v>
      </c>
      <c r="N1778" t="s">
        <v>363</v>
      </c>
    </row>
    <row r="1779" spans="1:14">
      <c r="A1779" t="s">
        <v>29</v>
      </c>
      <c r="B1779">
        <v>1185732</v>
      </c>
      <c r="C1779" s="2">
        <v>44419</v>
      </c>
      <c r="D1779" t="s">
        <v>140</v>
      </c>
      <c r="E1779" t="s">
        <v>245</v>
      </c>
      <c r="F1779" t="s">
        <v>254</v>
      </c>
      <c r="G1779" t="s">
        <v>148</v>
      </c>
      <c r="H1779" s="3">
        <v>0.20000000000000007</v>
      </c>
      <c r="I1779">
        <v>3750</v>
      </c>
      <c r="J1779" s="4">
        <v>750.00000000000023</v>
      </c>
      <c r="K1779" s="4">
        <v>300.00000000000011</v>
      </c>
      <c r="L1779" s="5">
        <v>0.4</v>
      </c>
      <c r="M1779" t="s">
        <v>131</v>
      </c>
      <c r="N1779" t="s">
        <v>363</v>
      </c>
    </row>
    <row r="1780" spans="1:14">
      <c r="A1780" t="s">
        <v>29</v>
      </c>
      <c r="B1780">
        <v>1185732</v>
      </c>
      <c r="C1780" s="2">
        <v>44419</v>
      </c>
      <c r="D1780" t="s">
        <v>140</v>
      </c>
      <c r="E1780" t="s">
        <v>245</v>
      </c>
      <c r="F1780" t="s">
        <v>254</v>
      </c>
      <c r="G1780" t="s">
        <v>147</v>
      </c>
      <c r="H1780" s="3">
        <v>0.30000000000000004</v>
      </c>
      <c r="I1780">
        <v>3500</v>
      </c>
      <c r="J1780" s="4">
        <v>1050.0000000000002</v>
      </c>
      <c r="K1780" s="4">
        <v>367.50000000000006</v>
      </c>
      <c r="L1780" s="5">
        <v>0.35</v>
      </c>
      <c r="M1780" t="s">
        <v>131</v>
      </c>
      <c r="N1780" t="s">
        <v>363</v>
      </c>
    </row>
    <row r="1781" spans="1:14">
      <c r="A1781" t="s">
        <v>29</v>
      </c>
      <c r="B1781">
        <v>1185732</v>
      </c>
      <c r="C1781" s="2">
        <v>44419</v>
      </c>
      <c r="D1781" t="s">
        <v>140</v>
      </c>
      <c r="E1781" t="s">
        <v>245</v>
      </c>
      <c r="F1781" t="s">
        <v>254</v>
      </c>
      <c r="G1781" t="s">
        <v>144</v>
      </c>
      <c r="H1781" s="3">
        <v>0.35000000000000003</v>
      </c>
      <c r="I1781">
        <v>5250</v>
      </c>
      <c r="J1781" s="4">
        <v>1837.5000000000002</v>
      </c>
      <c r="K1781" s="4">
        <v>918.75000000000011</v>
      </c>
      <c r="L1781" s="5">
        <v>0.5</v>
      </c>
      <c r="M1781" t="s">
        <v>131</v>
      </c>
      <c r="N1781" t="s">
        <v>363</v>
      </c>
    </row>
    <row r="1782" spans="1:14">
      <c r="A1782" t="s">
        <v>29</v>
      </c>
      <c r="B1782">
        <v>1185732</v>
      </c>
      <c r="C1782" s="2">
        <v>44451</v>
      </c>
      <c r="D1782" t="s">
        <v>140</v>
      </c>
      <c r="E1782" t="s">
        <v>245</v>
      </c>
      <c r="F1782" t="s">
        <v>254</v>
      </c>
      <c r="G1782" t="s">
        <v>27</v>
      </c>
      <c r="H1782" s="3">
        <v>0.30000000000000004</v>
      </c>
      <c r="I1782">
        <v>6500</v>
      </c>
      <c r="J1782" s="4">
        <v>1950.0000000000002</v>
      </c>
      <c r="K1782" s="4">
        <v>780.00000000000011</v>
      </c>
      <c r="L1782" s="5">
        <v>0.4</v>
      </c>
      <c r="M1782" t="s">
        <v>132</v>
      </c>
      <c r="N1782" t="s">
        <v>363</v>
      </c>
    </row>
    <row r="1783" spans="1:14">
      <c r="A1783" t="s">
        <v>29</v>
      </c>
      <c r="B1783">
        <v>1185732</v>
      </c>
      <c r="C1783" s="2">
        <v>44451</v>
      </c>
      <c r="D1783" t="s">
        <v>140</v>
      </c>
      <c r="E1783" t="s">
        <v>245</v>
      </c>
      <c r="F1783" t="s">
        <v>254</v>
      </c>
      <c r="G1783" t="s">
        <v>145</v>
      </c>
      <c r="H1783" s="3">
        <v>0.25000000000000011</v>
      </c>
      <c r="I1783">
        <v>4500</v>
      </c>
      <c r="J1783" s="4">
        <v>1125.0000000000005</v>
      </c>
      <c r="K1783" s="4">
        <v>393.75000000000011</v>
      </c>
      <c r="L1783" s="5">
        <v>0.35</v>
      </c>
      <c r="M1783" t="s">
        <v>132</v>
      </c>
      <c r="N1783" t="s">
        <v>363</v>
      </c>
    </row>
    <row r="1784" spans="1:14">
      <c r="A1784" t="s">
        <v>29</v>
      </c>
      <c r="B1784">
        <v>1185732</v>
      </c>
      <c r="C1784" s="2">
        <v>44451</v>
      </c>
      <c r="D1784" t="s">
        <v>140</v>
      </c>
      <c r="E1784" t="s">
        <v>245</v>
      </c>
      <c r="F1784" t="s">
        <v>254</v>
      </c>
      <c r="G1784" t="s">
        <v>146</v>
      </c>
      <c r="H1784" s="3">
        <v>0.10000000000000002</v>
      </c>
      <c r="I1784">
        <v>3500</v>
      </c>
      <c r="J1784" s="4">
        <v>350.00000000000006</v>
      </c>
      <c r="K1784" s="4">
        <v>122.50000000000001</v>
      </c>
      <c r="L1784" s="5">
        <v>0.35</v>
      </c>
      <c r="M1784" t="s">
        <v>132</v>
      </c>
      <c r="N1784" t="s">
        <v>363</v>
      </c>
    </row>
    <row r="1785" spans="1:14">
      <c r="A1785" t="s">
        <v>29</v>
      </c>
      <c r="B1785">
        <v>1185732</v>
      </c>
      <c r="C1785" s="2">
        <v>44451</v>
      </c>
      <c r="D1785" t="s">
        <v>140</v>
      </c>
      <c r="E1785" t="s">
        <v>245</v>
      </c>
      <c r="F1785" t="s">
        <v>254</v>
      </c>
      <c r="G1785" t="s">
        <v>148</v>
      </c>
      <c r="H1785" s="3">
        <v>0.10000000000000002</v>
      </c>
      <c r="I1785">
        <v>3250</v>
      </c>
      <c r="J1785" s="4">
        <v>325.00000000000006</v>
      </c>
      <c r="K1785" s="4">
        <v>130.00000000000003</v>
      </c>
      <c r="L1785" s="5">
        <v>0.4</v>
      </c>
      <c r="M1785" t="s">
        <v>132</v>
      </c>
      <c r="N1785" t="s">
        <v>363</v>
      </c>
    </row>
    <row r="1786" spans="1:14">
      <c r="A1786" t="s">
        <v>29</v>
      </c>
      <c r="B1786">
        <v>1185732</v>
      </c>
      <c r="C1786" s="2">
        <v>44451</v>
      </c>
      <c r="D1786" t="s">
        <v>140</v>
      </c>
      <c r="E1786" t="s">
        <v>245</v>
      </c>
      <c r="F1786" t="s">
        <v>254</v>
      </c>
      <c r="G1786" t="s">
        <v>147</v>
      </c>
      <c r="H1786" s="3">
        <v>0.2</v>
      </c>
      <c r="I1786">
        <v>3250</v>
      </c>
      <c r="J1786" s="4">
        <v>650</v>
      </c>
      <c r="K1786" s="4">
        <v>227.49999999999997</v>
      </c>
      <c r="L1786" s="5">
        <v>0.35</v>
      </c>
      <c r="M1786" t="s">
        <v>132</v>
      </c>
      <c r="N1786" t="s">
        <v>363</v>
      </c>
    </row>
    <row r="1787" spans="1:14">
      <c r="A1787" t="s">
        <v>29</v>
      </c>
      <c r="B1787">
        <v>1185732</v>
      </c>
      <c r="C1787" s="2">
        <v>44451</v>
      </c>
      <c r="D1787" t="s">
        <v>140</v>
      </c>
      <c r="E1787" t="s">
        <v>245</v>
      </c>
      <c r="F1787" t="s">
        <v>254</v>
      </c>
      <c r="G1787" t="s">
        <v>144</v>
      </c>
      <c r="H1787" s="3">
        <v>0.25000000000000006</v>
      </c>
      <c r="I1787">
        <v>4000</v>
      </c>
      <c r="J1787" s="4">
        <v>1000.0000000000002</v>
      </c>
      <c r="K1787" s="4">
        <v>500.00000000000011</v>
      </c>
      <c r="L1787" s="5">
        <v>0.5</v>
      </c>
      <c r="M1787" t="s">
        <v>132</v>
      </c>
      <c r="N1787" t="s">
        <v>363</v>
      </c>
    </row>
    <row r="1788" spans="1:14">
      <c r="A1788" t="s">
        <v>29</v>
      </c>
      <c r="B1788">
        <v>1185732</v>
      </c>
      <c r="C1788" s="2">
        <v>44480</v>
      </c>
      <c r="D1788" t="s">
        <v>140</v>
      </c>
      <c r="E1788" t="s">
        <v>245</v>
      </c>
      <c r="F1788" t="s">
        <v>254</v>
      </c>
      <c r="G1788" t="s">
        <v>27</v>
      </c>
      <c r="H1788" s="3">
        <v>0.3</v>
      </c>
      <c r="I1788">
        <v>5750</v>
      </c>
      <c r="J1788" s="4">
        <v>1725</v>
      </c>
      <c r="K1788" s="4">
        <v>690</v>
      </c>
      <c r="L1788" s="5">
        <v>0.4</v>
      </c>
      <c r="M1788" t="s">
        <v>133</v>
      </c>
      <c r="N1788" t="s">
        <v>364</v>
      </c>
    </row>
    <row r="1789" spans="1:14">
      <c r="A1789" t="s">
        <v>29</v>
      </c>
      <c r="B1789">
        <v>1185732</v>
      </c>
      <c r="C1789" s="2">
        <v>44480</v>
      </c>
      <c r="D1789" t="s">
        <v>140</v>
      </c>
      <c r="E1789" t="s">
        <v>245</v>
      </c>
      <c r="F1789" t="s">
        <v>254</v>
      </c>
      <c r="G1789" t="s">
        <v>145</v>
      </c>
      <c r="H1789" s="3">
        <v>0.2</v>
      </c>
      <c r="I1789">
        <v>4000</v>
      </c>
      <c r="J1789" s="4">
        <v>800</v>
      </c>
      <c r="K1789" s="4">
        <v>280</v>
      </c>
      <c r="L1789" s="5">
        <v>0.35</v>
      </c>
      <c r="M1789" t="s">
        <v>133</v>
      </c>
      <c r="N1789" t="s">
        <v>364</v>
      </c>
    </row>
    <row r="1790" spans="1:14">
      <c r="A1790" t="s">
        <v>29</v>
      </c>
      <c r="B1790">
        <v>1185732</v>
      </c>
      <c r="C1790" s="2">
        <v>44480</v>
      </c>
      <c r="D1790" t="s">
        <v>140</v>
      </c>
      <c r="E1790" t="s">
        <v>245</v>
      </c>
      <c r="F1790" t="s">
        <v>254</v>
      </c>
      <c r="G1790" t="s">
        <v>146</v>
      </c>
      <c r="H1790" s="3">
        <v>0.2</v>
      </c>
      <c r="I1790">
        <v>3000</v>
      </c>
      <c r="J1790" s="4">
        <v>600</v>
      </c>
      <c r="K1790" s="4">
        <v>210</v>
      </c>
      <c r="L1790" s="5">
        <v>0.35</v>
      </c>
      <c r="M1790" t="s">
        <v>133</v>
      </c>
      <c r="N1790" t="s">
        <v>364</v>
      </c>
    </row>
    <row r="1791" spans="1:14">
      <c r="A1791" t="s">
        <v>29</v>
      </c>
      <c r="B1791">
        <v>1185732</v>
      </c>
      <c r="C1791" s="2">
        <v>44480</v>
      </c>
      <c r="D1791" t="s">
        <v>140</v>
      </c>
      <c r="E1791" t="s">
        <v>245</v>
      </c>
      <c r="F1791" t="s">
        <v>254</v>
      </c>
      <c r="G1791" t="s">
        <v>148</v>
      </c>
      <c r="H1791" s="3">
        <v>0.2</v>
      </c>
      <c r="I1791">
        <v>2750</v>
      </c>
      <c r="J1791" s="4">
        <v>550</v>
      </c>
      <c r="K1791" s="4">
        <v>220</v>
      </c>
      <c r="L1791" s="5">
        <v>0.4</v>
      </c>
      <c r="M1791" t="s">
        <v>133</v>
      </c>
      <c r="N1791" t="s">
        <v>364</v>
      </c>
    </row>
    <row r="1792" spans="1:14">
      <c r="A1792" t="s">
        <v>29</v>
      </c>
      <c r="B1792">
        <v>1185732</v>
      </c>
      <c r="C1792" s="2">
        <v>44480</v>
      </c>
      <c r="D1792" t="s">
        <v>140</v>
      </c>
      <c r="E1792" t="s">
        <v>245</v>
      </c>
      <c r="F1792" t="s">
        <v>254</v>
      </c>
      <c r="G1792" t="s">
        <v>147</v>
      </c>
      <c r="H1792" s="3">
        <v>0.3</v>
      </c>
      <c r="I1792">
        <v>2750</v>
      </c>
      <c r="J1792" s="4">
        <v>825</v>
      </c>
      <c r="K1792" s="4">
        <v>288.75</v>
      </c>
      <c r="L1792" s="5">
        <v>0.35</v>
      </c>
      <c r="M1792" t="s">
        <v>133</v>
      </c>
      <c r="N1792" t="s">
        <v>364</v>
      </c>
    </row>
    <row r="1793" spans="1:14">
      <c r="A1793" t="s">
        <v>29</v>
      </c>
      <c r="B1793">
        <v>1185732</v>
      </c>
      <c r="C1793" s="2">
        <v>44480</v>
      </c>
      <c r="D1793" t="s">
        <v>140</v>
      </c>
      <c r="E1793" t="s">
        <v>245</v>
      </c>
      <c r="F1793" t="s">
        <v>254</v>
      </c>
      <c r="G1793" t="s">
        <v>144</v>
      </c>
      <c r="H1793" s="3">
        <v>0.34999999999999992</v>
      </c>
      <c r="I1793">
        <v>4000</v>
      </c>
      <c r="J1793" s="4">
        <v>1399.9999999999998</v>
      </c>
      <c r="K1793" s="4">
        <v>699.99999999999989</v>
      </c>
      <c r="L1793" s="5">
        <v>0.5</v>
      </c>
      <c r="M1793" t="s">
        <v>133</v>
      </c>
      <c r="N1793" t="s">
        <v>364</v>
      </c>
    </row>
    <row r="1794" spans="1:14">
      <c r="A1794" t="s">
        <v>29</v>
      </c>
      <c r="B1794">
        <v>1185732</v>
      </c>
      <c r="C1794" s="2">
        <v>44511</v>
      </c>
      <c r="D1794" t="s">
        <v>140</v>
      </c>
      <c r="E1794" t="s">
        <v>245</v>
      </c>
      <c r="F1794" t="s">
        <v>254</v>
      </c>
      <c r="G1794" t="s">
        <v>27</v>
      </c>
      <c r="H1794" s="3">
        <v>0.30000000000000004</v>
      </c>
      <c r="I1794">
        <v>5500</v>
      </c>
      <c r="J1794" s="4">
        <v>1650.0000000000002</v>
      </c>
      <c r="K1794" s="4">
        <v>660.00000000000011</v>
      </c>
      <c r="L1794" s="5">
        <v>0.4</v>
      </c>
      <c r="M1794" t="s">
        <v>134</v>
      </c>
      <c r="N1794" t="s">
        <v>364</v>
      </c>
    </row>
    <row r="1795" spans="1:14">
      <c r="A1795" t="s">
        <v>29</v>
      </c>
      <c r="B1795">
        <v>1185732</v>
      </c>
      <c r="C1795" s="2">
        <v>44511</v>
      </c>
      <c r="D1795" t="s">
        <v>140</v>
      </c>
      <c r="E1795" t="s">
        <v>245</v>
      </c>
      <c r="F1795" t="s">
        <v>254</v>
      </c>
      <c r="G1795" t="s">
        <v>145</v>
      </c>
      <c r="H1795" s="3">
        <v>0.20000000000000007</v>
      </c>
      <c r="I1795">
        <v>4000</v>
      </c>
      <c r="J1795" s="4">
        <v>800.00000000000023</v>
      </c>
      <c r="K1795" s="4">
        <v>280.00000000000006</v>
      </c>
      <c r="L1795" s="5">
        <v>0.35</v>
      </c>
      <c r="M1795" t="s">
        <v>134</v>
      </c>
      <c r="N1795" t="s">
        <v>364</v>
      </c>
    </row>
    <row r="1796" spans="1:14">
      <c r="A1796" t="s">
        <v>29</v>
      </c>
      <c r="B1796">
        <v>1185732</v>
      </c>
      <c r="C1796" s="2">
        <v>44511</v>
      </c>
      <c r="D1796" t="s">
        <v>140</v>
      </c>
      <c r="E1796" t="s">
        <v>245</v>
      </c>
      <c r="F1796" t="s">
        <v>254</v>
      </c>
      <c r="G1796" t="s">
        <v>146</v>
      </c>
      <c r="H1796" s="3">
        <v>0.20000000000000007</v>
      </c>
      <c r="I1796">
        <v>3450</v>
      </c>
      <c r="J1796" s="4">
        <v>690.00000000000023</v>
      </c>
      <c r="K1796" s="4">
        <v>241.50000000000006</v>
      </c>
      <c r="L1796" s="5">
        <v>0.35</v>
      </c>
      <c r="M1796" t="s">
        <v>134</v>
      </c>
      <c r="N1796" t="s">
        <v>364</v>
      </c>
    </row>
    <row r="1797" spans="1:14">
      <c r="A1797" t="s">
        <v>29</v>
      </c>
      <c r="B1797">
        <v>1185732</v>
      </c>
      <c r="C1797" s="2">
        <v>44511</v>
      </c>
      <c r="D1797" t="s">
        <v>140</v>
      </c>
      <c r="E1797" t="s">
        <v>245</v>
      </c>
      <c r="F1797" t="s">
        <v>254</v>
      </c>
      <c r="G1797" t="s">
        <v>148</v>
      </c>
      <c r="H1797" s="3">
        <v>0.20000000000000007</v>
      </c>
      <c r="I1797">
        <v>3750</v>
      </c>
      <c r="J1797" s="4">
        <v>750.00000000000023</v>
      </c>
      <c r="K1797" s="4">
        <v>300.00000000000011</v>
      </c>
      <c r="L1797" s="5">
        <v>0.4</v>
      </c>
      <c r="M1797" t="s">
        <v>134</v>
      </c>
      <c r="N1797" t="s">
        <v>364</v>
      </c>
    </row>
    <row r="1798" spans="1:14">
      <c r="A1798" t="s">
        <v>29</v>
      </c>
      <c r="B1798">
        <v>1185732</v>
      </c>
      <c r="C1798" s="2">
        <v>44511</v>
      </c>
      <c r="D1798" t="s">
        <v>140</v>
      </c>
      <c r="E1798" t="s">
        <v>245</v>
      </c>
      <c r="F1798" t="s">
        <v>254</v>
      </c>
      <c r="G1798" t="s">
        <v>147</v>
      </c>
      <c r="H1798" s="3">
        <v>0.39999999999999997</v>
      </c>
      <c r="I1798">
        <v>3500</v>
      </c>
      <c r="J1798" s="4">
        <v>1399.9999999999998</v>
      </c>
      <c r="K1798" s="4">
        <v>489.99999999999989</v>
      </c>
      <c r="L1798" s="5">
        <v>0.35</v>
      </c>
      <c r="M1798" t="s">
        <v>134</v>
      </c>
      <c r="N1798" t="s">
        <v>364</v>
      </c>
    </row>
    <row r="1799" spans="1:14">
      <c r="A1799" t="s">
        <v>29</v>
      </c>
      <c r="B1799">
        <v>1185732</v>
      </c>
      <c r="C1799" s="2">
        <v>44511</v>
      </c>
      <c r="D1799" t="s">
        <v>140</v>
      </c>
      <c r="E1799" t="s">
        <v>245</v>
      </c>
      <c r="F1799" t="s">
        <v>254</v>
      </c>
      <c r="G1799" t="s">
        <v>144</v>
      </c>
      <c r="H1799" s="3">
        <v>0.44999999999999984</v>
      </c>
      <c r="I1799">
        <v>4500</v>
      </c>
      <c r="J1799" s="4">
        <v>2024.9999999999993</v>
      </c>
      <c r="K1799" s="4">
        <v>1012.4999999999997</v>
      </c>
      <c r="L1799" s="5">
        <v>0.5</v>
      </c>
      <c r="M1799" t="s">
        <v>134</v>
      </c>
      <c r="N1799" t="s">
        <v>364</v>
      </c>
    </row>
    <row r="1800" spans="1:14">
      <c r="A1800" t="s">
        <v>29</v>
      </c>
      <c r="B1800">
        <v>1185732</v>
      </c>
      <c r="C1800" s="2">
        <v>44540</v>
      </c>
      <c r="D1800" t="s">
        <v>140</v>
      </c>
      <c r="E1800" t="s">
        <v>245</v>
      </c>
      <c r="F1800" t="s">
        <v>254</v>
      </c>
      <c r="G1800" t="s">
        <v>27</v>
      </c>
      <c r="H1800" s="3">
        <v>0.39999999999999997</v>
      </c>
      <c r="I1800">
        <v>7000</v>
      </c>
      <c r="J1800" s="4">
        <v>2799.9999999999995</v>
      </c>
      <c r="K1800" s="4">
        <v>1119.9999999999998</v>
      </c>
      <c r="L1800" s="5">
        <v>0.4</v>
      </c>
      <c r="M1800" t="s">
        <v>23</v>
      </c>
      <c r="N1800" t="s">
        <v>364</v>
      </c>
    </row>
    <row r="1801" spans="1:14">
      <c r="A1801" t="s">
        <v>29</v>
      </c>
      <c r="B1801">
        <v>1185732</v>
      </c>
      <c r="C1801" s="2">
        <v>44540</v>
      </c>
      <c r="D1801" t="s">
        <v>140</v>
      </c>
      <c r="E1801" t="s">
        <v>245</v>
      </c>
      <c r="F1801" t="s">
        <v>254</v>
      </c>
      <c r="G1801" t="s">
        <v>145</v>
      </c>
      <c r="H1801" s="3">
        <v>0.30000000000000004</v>
      </c>
      <c r="I1801">
        <v>5000</v>
      </c>
      <c r="J1801" s="4">
        <v>1500.0000000000002</v>
      </c>
      <c r="K1801" s="4">
        <v>525</v>
      </c>
      <c r="L1801" s="5">
        <v>0.35</v>
      </c>
      <c r="M1801" t="s">
        <v>23</v>
      </c>
      <c r="N1801" t="s">
        <v>364</v>
      </c>
    </row>
    <row r="1802" spans="1:14">
      <c r="A1802" t="s">
        <v>29</v>
      </c>
      <c r="B1802">
        <v>1185732</v>
      </c>
      <c r="C1802" s="2">
        <v>44540</v>
      </c>
      <c r="D1802" t="s">
        <v>140</v>
      </c>
      <c r="E1802" t="s">
        <v>245</v>
      </c>
      <c r="F1802" t="s">
        <v>254</v>
      </c>
      <c r="G1802" t="s">
        <v>146</v>
      </c>
      <c r="H1802" s="3">
        <v>0.30000000000000004</v>
      </c>
      <c r="I1802">
        <v>4500</v>
      </c>
      <c r="J1802" s="4">
        <v>1350.0000000000002</v>
      </c>
      <c r="K1802" s="4">
        <v>472.50000000000006</v>
      </c>
      <c r="L1802" s="5">
        <v>0.35</v>
      </c>
      <c r="M1802" t="s">
        <v>23</v>
      </c>
      <c r="N1802" t="s">
        <v>364</v>
      </c>
    </row>
    <row r="1803" spans="1:14">
      <c r="A1803" t="s">
        <v>29</v>
      </c>
      <c r="B1803">
        <v>1185732</v>
      </c>
      <c r="C1803" s="2">
        <v>44540</v>
      </c>
      <c r="D1803" t="s">
        <v>140</v>
      </c>
      <c r="E1803" t="s">
        <v>245</v>
      </c>
      <c r="F1803" t="s">
        <v>254</v>
      </c>
      <c r="G1803" t="s">
        <v>148</v>
      </c>
      <c r="H1803" s="3">
        <v>0.30000000000000004</v>
      </c>
      <c r="I1803">
        <v>4000</v>
      </c>
      <c r="J1803" s="4">
        <v>1200.0000000000002</v>
      </c>
      <c r="K1803" s="4">
        <v>480.00000000000011</v>
      </c>
      <c r="L1803" s="5">
        <v>0.4</v>
      </c>
      <c r="M1803" t="s">
        <v>23</v>
      </c>
      <c r="N1803" t="s">
        <v>364</v>
      </c>
    </row>
    <row r="1804" spans="1:14">
      <c r="A1804" t="s">
        <v>29</v>
      </c>
      <c r="B1804">
        <v>1185732</v>
      </c>
      <c r="C1804" s="2">
        <v>44540</v>
      </c>
      <c r="D1804" t="s">
        <v>140</v>
      </c>
      <c r="E1804" t="s">
        <v>245</v>
      </c>
      <c r="F1804" t="s">
        <v>254</v>
      </c>
      <c r="G1804" t="s">
        <v>147</v>
      </c>
      <c r="H1804" s="3">
        <v>0.39999999999999997</v>
      </c>
      <c r="I1804">
        <v>4000</v>
      </c>
      <c r="J1804" s="4">
        <v>1599.9999999999998</v>
      </c>
      <c r="K1804" s="4">
        <v>559.99999999999989</v>
      </c>
      <c r="L1804" s="5">
        <v>0.35</v>
      </c>
      <c r="M1804" t="s">
        <v>23</v>
      </c>
      <c r="N1804" t="s">
        <v>364</v>
      </c>
    </row>
    <row r="1805" spans="1:14">
      <c r="A1805" t="s">
        <v>29</v>
      </c>
      <c r="B1805">
        <v>1185732</v>
      </c>
      <c r="C1805" s="2">
        <v>44540</v>
      </c>
      <c r="D1805" t="s">
        <v>140</v>
      </c>
      <c r="E1805" t="s">
        <v>245</v>
      </c>
      <c r="F1805" t="s">
        <v>254</v>
      </c>
      <c r="G1805" t="s">
        <v>144</v>
      </c>
      <c r="H1805" s="3">
        <v>0.44999999999999984</v>
      </c>
      <c r="I1805">
        <v>5000</v>
      </c>
      <c r="J1805" s="4">
        <v>2249.9999999999991</v>
      </c>
      <c r="K1805" s="4">
        <v>1124.9999999999995</v>
      </c>
      <c r="L1805" s="5">
        <v>0.5</v>
      </c>
      <c r="M1805" t="s">
        <v>23</v>
      </c>
      <c r="N1805" t="s">
        <v>364</v>
      </c>
    </row>
    <row r="1806" spans="1:14">
      <c r="A1806" t="s">
        <v>151</v>
      </c>
      <c r="B1806">
        <v>1128299</v>
      </c>
      <c r="C1806" s="2">
        <v>44220</v>
      </c>
      <c r="D1806" t="s">
        <v>28</v>
      </c>
      <c r="E1806" t="s">
        <v>191</v>
      </c>
      <c r="F1806" t="s">
        <v>198</v>
      </c>
      <c r="G1806" t="s">
        <v>27</v>
      </c>
      <c r="H1806" s="3">
        <v>0.30000000000000004</v>
      </c>
      <c r="I1806">
        <v>3500</v>
      </c>
      <c r="J1806" s="4">
        <v>1050.0000000000002</v>
      </c>
      <c r="K1806" s="4">
        <v>367.50000000000006</v>
      </c>
      <c r="L1806" s="5">
        <v>0.35</v>
      </c>
      <c r="M1806" t="s">
        <v>125</v>
      </c>
      <c r="N1806" t="s">
        <v>361</v>
      </c>
    </row>
    <row r="1807" spans="1:14">
      <c r="A1807" t="s">
        <v>151</v>
      </c>
      <c r="B1807">
        <v>1128299</v>
      </c>
      <c r="C1807" s="2">
        <v>44220</v>
      </c>
      <c r="D1807" t="s">
        <v>28</v>
      </c>
      <c r="E1807" t="s">
        <v>191</v>
      </c>
      <c r="F1807" t="s">
        <v>198</v>
      </c>
      <c r="G1807" t="s">
        <v>145</v>
      </c>
      <c r="H1807" s="3">
        <v>0.4</v>
      </c>
      <c r="I1807">
        <v>3500</v>
      </c>
      <c r="J1807" s="4">
        <v>1400</v>
      </c>
      <c r="K1807" s="4">
        <v>489.99999999999994</v>
      </c>
      <c r="L1807" s="5">
        <v>0.35</v>
      </c>
      <c r="M1807" t="s">
        <v>125</v>
      </c>
      <c r="N1807" t="s">
        <v>361</v>
      </c>
    </row>
    <row r="1808" spans="1:14">
      <c r="A1808" t="s">
        <v>151</v>
      </c>
      <c r="B1808">
        <v>1128299</v>
      </c>
      <c r="C1808" s="2">
        <v>44220</v>
      </c>
      <c r="D1808" t="s">
        <v>28</v>
      </c>
      <c r="E1808" t="s">
        <v>191</v>
      </c>
      <c r="F1808" t="s">
        <v>198</v>
      </c>
      <c r="G1808" t="s">
        <v>146</v>
      </c>
      <c r="H1808" s="3">
        <v>0.4</v>
      </c>
      <c r="I1808">
        <v>3500</v>
      </c>
      <c r="J1808" s="4">
        <v>1400</v>
      </c>
      <c r="K1808" s="4">
        <v>489.99999999999994</v>
      </c>
      <c r="L1808" s="5">
        <v>0.35</v>
      </c>
      <c r="M1808" t="s">
        <v>125</v>
      </c>
      <c r="N1808" t="s">
        <v>361</v>
      </c>
    </row>
    <row r="1809" spans="1:14">
      <c r="A1809" t="s">
        <v>151</v>
      </c>
      <c r="B1809">
        <v>1128299</v>
      </c>
      <c r="C1809" s="2">
        <v>44220</v>
      </c>
      <c r="D1809" t="s">
        <v>28</v>
      </c>
      <c r="E1809" t="s">
        <v>191</v>
      </c>
      <c r="F1809" t="s">
        <v>198</v>
      </c>
      <c r="G1809" t="s">
        <v>148</v>
      </c>
      <c r="H1809" s="3">
        <v>0.4</v>
      </c>
      <c r="I1809">
        <v>2000</v>
      </c>
      <c r="J1809" s="4">
        <v>800</v>
      </c>
      <c r="K1809" s="4">
        <v>280</v>
      </c>
      <c r="L1809" s="5">
        <v>0.35</v>
      </c>
      <c r="M1809" t="s">
        <v>125</v>
      </c>
      <c r="N1809" t="s">
        <v>361</v>
      </c>
    </row>
    <row r="1810" spans="1:14">
      <c r="A1810" t="s">
        <v>151</v>
      </c>
      <c r="B1810">
        <v>1128299</v>
      </c>
      <c r="C1810" s="2">
        <v>44220</v>
      </c>
      <c r="D1810" t="s">
        <v>28</v>
      </c>
      <c r="E1810" t="s">
        <v>191</v>
      </c>
      <c r="F1810" t="s">
        <v>198</v>
      </c>
      <c r="G1810" t="s">
        <v>147</v>
      </c>
      <c r="H1810" s="3">
        <v>0.45000000000000007</v>
      </c>
      <c r="I1810">
        <v>1500</v>
      </c>
      <c r="J1810" s="4">
        <v>675.00000000000011</v>
      </c>
      <c r="K1810" s="4">
        <v>270.00000000000006</v>
      </c>
      <c r="L1810" s="5">
        <v>0.4</v>
      </c>
      <c r="M1810" t="s">
        <v>125</v>
      </c>
      <c r="N1810" t="s">
        <v>361</v>
      </c>
    </row>
    <row r="1811" spans="1:14">
      <c r="A1811" t="s">
        <v>151</v>
      </c>
      <c r="B1811">
        <v>1128299</v>
      </c>
      <c r="C1811" s="2">
        <v>44220</v>
      </c>
      <c r="D1811" t="s">
        <v>28</v>
      </c>
      <c r="E1811" t="s">
        <v>191</v>
      </c>
      <c r="F1811" t="s">
        <v>198</v>
      </c>
      <c r="G1811" t="s">
        <v>144</v>
      </c>
      <c r="H1811" s="3">
        <v>0.4</v>
      </c>
      <c r="I1811">
        <v>4000</v>
      </c>
      <c r="J1811" s="4">
        <v>1600</v>
      </c>
      <c r="K1811" s="4">
        <v>480</v>
      </c>
      <c r="L1811" s="5">
        <v>0.3</v>
      </c>
      <c r="M1811" t="s">
        <v>125</v>
      </c>
      <c r="N1811" t="s">
        <v>361</v>
      </c>
    </row>
    <row r="1812" spans="1:14">
      <c r="A1812" t="s">
        <v>151</v>
      </c>
      <c r="B1812">
        <v>1128299</v>
      </c>
      <c r="C1812" s="2">
        <v>44251</v>
      </c>
      <c r="D1812" t="s">
        <v>28</v>
      </c>
      <c r="E1812" t="s">
        <v>191</v>
      </c>
      <c r="F1812" t="s">
        <v>198</v>
      </c>
      <c r="G1812" t="s">
        <v>27</v>
      </c>
      <c r="H1812" s="3">
        <v>0.30000000000000004</v>
      </c>
      <c r="I1812">
        <v>4500</v>
      </c>
      <c r="J1812" s="4">
        <v>1350.0000000000002</v>
      </c>
      <c r="K1812" s="4">
        <v>472.50000000000006</v>
      </c>
      <c r="L1812" s="5">
        <v>0.35</v>
      </c>
      <c r="M1812" t="s">
        <v>126</v>
      </c>
      <c r="N1812" t="s">
        <v>361</v>
      </c>
    </row>
    <row r="1813" spans="1:14">
      <c r="A1813" t="s">
        <v>151</v>
      </c>
      <c r="B1813">
        <v>1128299</v>
      </c>
      <c r="C1813" s="2">
        <v>44251</v>
      </c>
      <c r="D1813" t="s">
        <v>28</v>
      </c>
      <c r="E1813" t="s">
        <v>191</v>
      </c>
      <c r="F1813" t="s">
        <v>198</v>
      </c>
      <c r="G1813" t="s">
        <v>145</v>
      </c>
      <c r="H1813" s="3">
        <v>0.4</v>
      </c>
      <c r="I1813">
        <v>3500</v>
      </c>
      <c r="J1813" s="4">
        <v>1400</v>
      </c>
      <c r="K1813" s="4">
        <v>489.99999999999994</v>
      </c>
      <c r="L1813" s="5">
        <v>0.35</v>
      </c>
      <c r="M1813" t="s">
        <v>126</v>
      </c>
      <c r="N1813" t="s">
        <v>361</v>
      </c>
    </row>
    <row r="1814" spans="1:14">
      <c r="A1814" t="s">
        <v>151</v>
      </c>
      <c r="B1814">
        <v>1128299</v>
      </c>
      <c r="C1814" s="2">
        <v>44251</v>
      </c>
      <c r="D1814" t="s">
        <v>28</v>
      </c>
      <c r="E1814" t="s">
        <v>191</v>
      </c>
      <c r="F1814" t="s">
        <v>198</v>
      </c>
      <c r="G1814" t="s">
        <v>146</v>
      </c>
      <c r="H1814" s="3">
        <v>0.4</v>
      </c>
      <c r="I1814">
        <v>3500</v>
      </c>
      <c r="J1814" s="4">
        <v>1400</v>
      </c>
      <c r="K1814" s="4">
        <v>489.99999999999994</v>
      </c>
      <c r="L1814" s="5">
        <v>0.35</v>
      </c>
      <c r="M1814" t="s">
        <v>126</v>
      </c>
      <c r="N1814" t="s">
        <v>361</v>
      </c>
    </row>
    <row r="1815" spans="1:14">
      <c r="A1815" t="s">
        <v>151</v>
      </c>
      <c r="B1815">
        <v>1128299</v>
      </c>
      <c r="C1815" s="2">
        <v>44251</v>
      </c>
      <c r="D1815" t="s">
        <v>28</v>
      </c>
      <c r="E1815" t="s">
        <v>191</v>
      </c>
      <c r="F1815" t="s">
        <v>198</v>
      </c>
      <c r="G1815" t="s">
        <v>148</v>
      </c>
      <c r="H1815" s="3">
        <v>0.4</v>
      </c>
      <c r="I1815">
        <v>2000</v>
      </c>
      <c r="J1815" s="4">
        <v>800</v>
      </c>
      <c r="K1815" s="4">
        <v>280</v>
      </c>
      <c r="L1815" s="5">
        <v>0.35</v>
      </c>
      <c r="M1815" t="s">
        <v>126</v>
      </c>
      <c r="N1815" t="s">
        <v>361</v>
      </c>
    </row>
    <row r="1816" spans="1:14">
      <c r="A1816" t="s">
        <v>151</v>
      </c>
      <c r="B1816">
        <v>1128299</v>
      </c>
      <c r="C1816" s="2">
        <v>44251</v>
      </c>
      <c r="D1816" t="s">
        <v>28</v>
      </c>
      <c r="E1816" t="s">
        <v>191</v>
      </c>
      <c r="F1816" t="s">
        <v>198</v>
      </c>
      <c r="G1816" t="s">
        <v>147</v>
      </c>
      <c r="H1816" s="3">
        <v>0.45000000000000007</v>
      </c>
      <c r="I1816">
        <v>1250</v>
      </c>
      <c r="J1816" s="4">
        <v>562.50000000000011</v>
      </c>
      <c r="K1816" s="4">
        <v>225.00000000000006</v>
      </c>
      <c r="L1816" s="5">
        <v>0.4</v>
      </c>
      <c r="M1816" t="s">
        <v>126</v>
      </c>
      <c r="N1816" t="s">
        <v>361</v>
      </c>
    </row>
    <row r="1817" spans="1:14">
      <c r="A1817" t="s">
        <v>151</v>
      </c>
      <c r="B1817">
        <v>1128299</v>
      </c>
      <c r="C1817" s="2">
        <v>44251</v>
      </c>
      <c r="D1817" t="s">
        <v>28</v>
      </c>
      <c r="E1817" t="s">
        <v>191</v>
      </c>
      <c r="F1817" t="s">
        <v>198</v>
      </c>
      <c r="G1817" t="s">
        <v>144</v>
      </c>
      <c r="H1817" s="3">
        <v>0.4</v>
      </c>
      <c r="I1817">
        <v>3250</v>
      </c>
      <c r="J1817" s="4">
        <v>1300</v>
      </c>
      <c r="K1817" s="4">
        <v>390</v>
      </c>
      <c r="L1817" s="5">
        <v>0.3</v>
      </c>
      <c r="M1817" t="s">
        <v>126</v>
      </c>
      <c r="N1817" t="s">
        <v>361</v>
      </c>
    </row>
    <row r="1818" spans="1:14">
      <c r="A1818" t="s">
        <v>151</v>
      </c>
      <c r="B1818">
        <v>1128299</v>
      </c>
      <c r="C1818" s="2">
        <v>44278</v>
      </c>
      <c r="D1818" t="s">
        <v>28</v>
      </c>
      <c r="E1818" t="s">
        <v>191</v>
      </c>
      <c r="F1818" t="s">
        <v>198</v>
      </c>
      <c r="G1818" t="s">
        <v>27</v>
      </c>
      <c r="H1818" s="3">
        <v>0.4</v>
      </c>
      <c r="I1818">
        <v>4750</v>
      </c>
      <c r="J1818" s="4">
        <v>1900</v>
      </c>
      <c r="K1818" s="4">
        <v>665</v>
      </c>
      <c r="L1818" s="5">
        <v>0.35</v>
      </c>
      <c r="M1818" t="s">
        <v>24</v>
      </c>
      <c r="N1818" t="s">
        <v>361</v>
      </c>
    </row>
    <row r="1819" spans="1:14">
      <c r="A1819" t="s">
        <v>151</v>
      </c>
      <c r="B1819">
        <v>1128299</v>
      </c>
      <c r="C1819" s="2">
        <v>44278</v>
      </c>
      <c r="D1819" t="s">
        <v>28</v>
      </c>
      <c r="E1819" t="s">
        <v>191</v>
      </c>
      <c r="F1819" t="s">
        <v>198</v>
      </c>
      <c r="G1819" t="s">
        <v>145</v>
      </c>
      <c r="H1819" s="3">
        <v>0.5</v>
      </c>
      <c r="I1819">
        <v>3250</v>
      </c>
      <c r="J1819" s="4">
        <v>1625</v>
      </c>
      <c r="K1819" s="4">
        <v>568.75</v>
      </c>
      <c r="L1819" s="5">
        <v>0.35</v>
      </c>
      <c r="M1819" t="s">
        <v>24</v>
      </c>
      <c r="N1819" t="s">
        <v>361</v>
      </c>
    </row>
    <row r="1820" spans="1:14">
      <c r="A1820" t="s">
        <v>151</v>
      </c>
      <c r="B1820">
        <v>1128299</v>
      </c>
      <c r="C1820" s="2">
        <v>44278</v>
      </c>
      <c r="D1820" t="s">
        <v>28</v>
      </c>
      <c r="E1820" t="s">
        <v>191</v>
      </c>
      <c r="F1820" t="s">
        <v>198</v>
      </c>
      <c r="G1820" t="s">
        <v>146</v>
      </c>
      <c r="H1820" s="3">
        <v>0.54999999999999993</v>
      </c>
      <c r="I1820">
        <v>3500</v>
      </c>
      <c r="J1820" s="4">
        <v>1924.9999999999998</v>
      </c>
      <c r="K1820" s="4">
        <v>673.74999999999989</v>
      </c>
      <c r="L1820" s="5">
        <v>0.35</v>
      </c>
      <c r="M1820" t="s">
        <v>24</v>
      </c>
      <c r="N1820" t="s">
        <v>361</v>
      </c>
    </row>
    <row r="1821" spans="1:14">
      <c r="A1821" t="s">
        <v>151</v>
      </c>
      <c r="B1821">
        <v>1128299</v>
      </c>
      <c r="C1821" s="2">
        <v>44278</v>
      </c>
      <c r="D1821" t="s">
        <v>28</v>
      </c>
      <c r="E1821" t="s">
        <v>191</v>
      </c>
      <c r="F1821" t="s">
        <v>198</v>
      </c>
      <c r="G1821" t="s">
        <v>148</v>
      </c>
      <c r="H1821" s="3">
        <v>0.5</v>
      </c>
      <c r="I1821">
        <v>2500</v>
      </c>
      <c r="J1821" s="4">
        <v>1250</v>
      </c>
      <c r="K1821" s="4">
        <v>437.5</v>
      </c>
      <c r="L1821" s="5">
        <v>0.35</v>
      </c>
      <c r="M1821" t="s">
        <v>24</v>
      </c>
      <c r="N1821" t="s">
        <v>361</v>
      </c>
    </row>
    <row r="1822" spans="1:14">
      <c r="A1822" t="s">
        <v>151</v>
      </c>
      <c r="B1822">
        <v>1128299</v>
      </c>
      <c r="C1822" s="2">
        <v>44278</v>
      </c>
      <c r="D1822" t="s">
        <v>28</v>
      </c>
      <c r="E1822" t="s">
        <v>191</v>
      </c>
      <c r="F1822" t="s">
        <v>198</v>
      </c>
      <c r="G1822" t="s">
        <v>147</v>
      </c>
      <c r="H1822" s="3">
        <v>0.55000000000000004</v>
      </c>
      <c r="I1822">
        <v>1000</v>
      </c>
      <c r="J1822" s="4">
        <v>550</v>
      </c>
      <c r="K1822" s="4">
        <v>220</v>
      </c>
      <c r="L1822" s="5">
        <v>0.4</v>
      </c>
      <c r="M1822" t="s">
        <v>24</v>
      </c>
      <c r="N1822" t="s">
        <v>361</v>
      </c>
    </row>
    <row r="1823" spans="1:14">
      <c r="A1823" t="s">
        <v>151</v>
      </c>
      <c r="B1823">
        <v>1128299</v>
      </c>
      <c r="C1823" s="2">
        <v>44278</v>
      </c>
      <c r="D1823" t="s">
        <v>28</v>
      </c>
      <c r="E1823" t="s">
        <v>191</v>
      </c>
      <c r="F1823" t="s">
        <v>198</v>
      </c>
      <c r="G1823" t="s">
        <v>144</v>
      </c>
      <c r="H1823" s="3">
        <v>0.5</v>
      </c>
      <c r="I1823">
        <v>3000</v>
      </c>
      <c r="J1823" s="4">
        <v>1500</v>
      </c>
      <c r="K1823" s="4">
        <v>450</v>
      </c>
      <c r="L1823" s="5">
        <v>0.3</v>
      </c>
      <c r="M1823" t="s">
        <v>24</v>
      </c>
      <c r="N1823" t="s">
        <v>361</v>
      </c>
    </row>
    <row r="1824" spans="1:14">
      <c r="A1824" t="s">
        <v>151</v>
      </c>
      <c r="B1824">
        <v>1128299</v>
      </c>
      <c r="C1824" s="2">
        <v>44310</v>
      </c>
      <c r="D1824" t="s">
        <v>28</v>
      </c>
      <c r="E1824" t="s">
        <v>191</v>
      </c>
      <c r="F1824" t="s">
        <v>198</v>
      </c>
      <c r="G1824" t="s">
        <v>27</v>
      </c>
      <c r="H1824" s="3">
        <v>0.55000000000000004</v>
      </c>
      <c r="I1824">
        <v>4750</v>
      </c>
      <c r="J1824" s="4">
        <v>2612.5</v>
      </c>
      <c r="K1824" s="4">
        <v>914.37499999999989</v>
      </c>
      <c r="L1824" s="5">
        <v>0.35</v>
      </c>
      <c r="M1824" t="s">
        <v>127</v>
      </c>
      <c r="N1824" t="s">
        <v>362</v>
      </c>
    </row>
    <row r="1825" spans="1:14">
      <c r="A1825" t="s">
        <v>151</v>
      </c>
      <c r="B1825">
        <v>1128299</v>
      </c>
      <c r="C1825" s="2">
        <v>44310</v>
      </c>
      <c r="D1825" t="s">
        <v>28</v>
      </c>
      <c r="E1825" t="s">
        <v>191</v>
      </c>
      <c r="F1825" t="s">
        <v>198</v>
      </c>
      <c r="G1825" t="s">
        <v>145</v>
      </c>
      <c r="H1825" s="3">
        <v>0.60000000000000009</v>
      </c>
      <c r="I1825">
        <v>2750</v>
      </c>
      <c r="J1825" s="4">
        <v>1650.0000000000002</v>
      </c>
      <c r="K1825" s="4">
        <v>577.5</v>
      </c>
      <c r="L1825" s="5">
        <v>0.35</v>
      </c>
      <c r="M1825" t="s">
        <v>127</v>
      </c>
      <c r="N1825" t="s">
        <v>362</v>
      </c>
    </row>
    <row r="1826" spans="1:14">
      <c r="A1826" t="s">
        <v>151</v>
      </c>
      <c r="B1826">
        <v>1128299</v>
      </c>
      <c r="C1826" s="2">
        <v>44310</v>
      </c>
      <c r="D1826" t="s">
        <v>28</v>
      </c>
      <c r="E1826" t="s">
        <v>191</v>
      </c>
      <c r="F1826" t="s">
        <v>198</v>
      </c>
      <c r="G1826" t="s">
        <v>146</v>
      </c>
      <c r="H1826" s="3">
        <v>0.60000000000000009</v>
      </c>
      <c r="I1826">
        <v>3250</v>
      </c>
      <c r="J1826" s="4">
        <v>1950.0000000000002</v>
      </c>
      <c r="K1826" s="4">
        <v>682.5</v>
      </c>
      <c r="L1826" s="5">
        <v>0.35</v>
      </c>
      <c r="M1826" t="s">
        <v>127</v>
      </c>
      <c r="N1826" t="s">
        <v>362</v>
      </c>
    </row>
    <row r="1827" spans="1:14">
      <c r="A1827" t="s">
        <v>151</v>
      </c>
      <c r="B1827">
        <v>1128299</v>
      </c>
      <c r="C1827" s="2">
        <v>44310</v>
      </c>
      <c r="D1827" t="s">
        <v>28</v>
      </c>
      <c r="E1827" t="s">
        <v>191</v>
      </c>
      <c r="F1827" t="s">
        <v>198</v>
      </c>
      <c r="G1827" t="s">
        <v>148</v>
      </c>
      <c r="H1827" s="3">
        <v>0.45000000000000007</v>
      </c>
      <c r="I1827">
        <v>2250</v>
      </c>
      <c r="J1827" s="4">
        <v>1012.5000000000001</v>
      </c>
      <c r="K1827" s="4">
        <v>354.375</v>
      </c>
      <c r="L1827" s="5">
        <v>0.35</v>
      </c>
      <c r="M1827" t="s">
        <v>127</v>
      </c>
      <c r="N1827" t="s">
        <v>362</v>
      </c>
    </row>
    <row r="1828" spans="1:14">
      <c r="A1828" t="s">
        <v>151</v>
      </c>
      <c r="B1828">
        <v>1128299</v>
      </c>
      <c r="C1828" s="2">
        <v>44310</v>
      </c>
      <c r="D1828" t="s">
        <v>28</v>
      </c>
      <c r="E1828" t="s">
        <v>191</v>
      </c>
      <c r="F1828" t="s">
        <v>198</v>
      </c>
      <c r="G1828" t="s">
        <v>147</v>
      </c>
      <c r="H1828" s="3">
        <v>0.50000000000000011</v>
      </c>
      <c r="I1828">
        <v>1250</v>
      </c>
      <c r="J1828" s="4">
        <v>625.00000000000011</v>
      </c>
      <c r="K1828" s="4">
        <v>250.00000000000006</v>
      </c>
      <c r="L1828" s="5">
        <v>0.4</v>
      </c>
      <c r="M1828" t="s">
        <v>127</v>
      </c>
      <c r="N1828" t="s">
        <v>362</v>
      </c>
    </row>
    <row r="1829" spans="1:14">
      <c r="A1829" t="s">
        <v>151</v>
      </c>
      <c r="B1829">
        <v>1128299</v>
      </c>
      <c r="C1829" s="2">
        <v>44310</v>
      </c>
      <c r="D1829" t="s">
        <v>28</v>
      </c>
      <c r="E1829" t="s">
        <v>191</v>
      </c>
      <c r="F1829" t="s">
        <v>198</v>
      </c>
      <c r="G1829" t="s">
        <v>144</v>
      </c>
      <c r="H1829" s="3">
        <v>0.65000000000000013</v>
      </c>
      <c r="I1829">
        <v>3000</v>
      </c>
      <c r="J1829" s="4">
        <v>1950.0000000000005</v>
      </c>
      <c r="K1829" s="4">
        <v>585.00000000000011</v>
      </c>
      <c r="L1829" s="5">
        <v>0.3</v>
      </c>
      <c r="M1829" t="s">
        <v>127</v>
      </c>
      <c r="N1829" t="s">
        <v>362</v>
      </c>
    </row>
    <row r="1830" spans="1:14">
      <c r="A1830" t="s">
        <v>151</v>
      </c>
      <c r="B1830">
        <v>1128299</v>
      </c>
      <c r="C1830" s="2">
        <v>44341</v>
      </c>
      <c r="D1830" t="s">
        <v>28</v>
      </c>
      <c r="E1830" t="s">
        <v>191</v>
      </c>
      <c r="F1830" t="s">
        <v>198</v>
      </c>
      <c r="G1830" t="s">
        <v>27</v>
      </c>
      <c r="H1830" s="3">
        <v>0.5</v>
      </c>
      <c r="I1830">
        <v>5000</v>
      </c>
      <c r="J1830" s="4">
        <v>2500</v>
      </c>
      <c r="K1830" s="4">
        <v>875</v>
      </c>
      <c r="L1830" s="5">
        <v>0.35</v>
      </c>
      <c r="M1830" t="s">
        <v>128</v>
      </c>
      <c r="N1830" t="s">
        <v>362</v>
      </c>
    </row>
    <row r="1831" spans="1:14">
      <c r="A1831" t="s">
        <v>151</v>
      </c>
      <c r="B1831">
        <v>1128299</v>
      </c>
      <c r="C1831" s="2">
        <v>44341</v>
      </c>
      <c r="D1831" t="s">
        <v>28</v>
      </c>
      <c r="E1831" t="s">
        <v>191</v>
      </c>
      <c r="F1831" t="s">
        <v>198</v>
      </c>
      <c r="G1831" t="s">
        <v>145</v>
      </c>
      <c r="H1831" s="3">
        <v>0.55000000000000004</v>
      </c>
      <c r="I1831">
        <v>3500</v>
      </c>
      <c r="J1831" s="4">
        <v>1925.0000000000002</v>
      </c>
      <c r="K1831" s="4">
        <v>673.75</v>
      </c>
      <c r="L1831" s="5">
        <v>0.35</v>
      </c>
      <c r="M1831" t="s">
        <v>128</v>
      </c>
      <c r="N1831" t="s">
        <v>362</v>
      </c>
    </row>
    <row r="1832" spans="1:14">
      <c r="A1832" t="s">
        <v>151</v>
      </c>
      <c r="B1832">
        <v>1128299</v>
      </c>
      <c r="C1832" s="2">
        <v>44341</v>
      </c>
      <c r="D1832" t="s">
        <v>28</v>
      </c>
      <c r="E1832" t="s">
        <v>191</v>
      </c>
      <c r="F1832" t="s">
        <v>198</v>
      </c>
      <c r="G1832" t="s">
        <v>146</v>
      </c>
      <c r="H1832" s="3">
        <v>0.55000000000000004</v>
      </c>
      <c r="I1832">
        <v>3500</v>
      </c>
      <c r="J1832" s="4">
        <v>1925.0000000000002</v>
      </c>
      <c r="K1832" s="4">
        <v>673.75</v>
      </c>
      <c r="L1832" s="5">
        <v>0.35</v>
      </c>
      <c r="M1832" t="s">
        <v>128</v>
      </c>
      <c r="N1832" t="s">
        <v>362</v>
      </c>
    </row>
    <row r="1833" spans="1:14">
      <c r="A1833" t="s">
        <v>151</v>
      </c>
      <c r="B1833">
        <v>1128299</v>
      </c>
      <c r="C1833" s="2">
        <v>44341</v>
      </c>
      <c r="D1833" t="s">
        <v>28</v>
      </c>
      <c r="E1833" t="s">
        <v>191</v>
      </c>
      <c r="F1833" t="s">
        <v>198</v>
      </c>
      <c r="G1833" t="s">
        <v>148</v>
      </c>
      <c r="H1833" s="3">
        <v>0.5</v>
      </c>
      <c r="I1833">
        <v>2750</v>
      </c>
      <c r="J1833" s="4">
        <v>1375</v>
      </c>
      <c r="K1833" s="4">
        <v>481.24999999999994</v>
      </c>
      <c r="L1833" s="5">
        <v>0.35</v>
      </c>
      <c r="M1833" t="s">
        <v>128</v>
      </c>
      <c r="N1833" t="s">
        <v>362</v>
      </c>
    </row>
    <row r="1834" spans="1:14">
      <c r="A1834" t="s">
        <v>151</v>
      </c>
      <c r="B1834">
        <v>1128299</v>
      </c>
      <c r="C1834" s="2">
        <v>44341</v>
      </c>
      <c r="D1834" t="s">
        <v>28</v>
      </c>
      <c r="E1834" t="s">
        <v>191</v>
      </c>
      <c r="F1834" t="s">
        <v>198</v>
      </c>
      <c r="G1834" t="s">
        <v>147</v>
      </c>
      <c r="H1834" s="3">
        <v>0.44999999999999996</v>
      </c>
      <c r="I1834">
        <v>1750</v>
      </c>
      <c r="J1834" s="4">
        <v>787.49999999999989</v>
      </c>
      <c r="K1834" s="4">
        <v>315</v>
      </c>
      <c r="L1834" s="5">
        <v>0.4</v>
      </c>
      <c r="M1834" t="s">
        <v>128</v>
      </c>
      <c r="N1834" t="s">
        <v>362</v>
      </c>
    </row>
    <row r="1835" spans="1:14">
      <c r="A1835" t="s">
        <v>151</v>
      </c>
      <c r="B1835">
        <v>1128299</v>
      </c>
      <c r="C1835" s="2">
        <v>44341</v>
      </c>
      <c r="D1835" t="s">
        <v>28</v>
      </c>
      <c r="E1835" t="s">
        <v>191</v>
      </c>
      <c r="F1835" t="s">
        <v>198</v>
      </c>
      <c r="G1835" t="s">
        <v>144</v>
      </c>
      <c r="H1835" s="3">
        <v>0.6</v>
      </c>
      <c r="I1835">
        <v>5250</v>
      </c>
      <c r="J1835" s="4">
        <v>3150</v>
      </c>
      <c r="K1835" s="4">
        <v>945</v>
      </c>
      <c r="L1835" s="5">
        <v>0.3</v>
      </c>
      <c r="M1835" t="s">
        <v>128</v>
      </c>
      <c r="N1835" t="s">
        <v>362</v>
      </c>
    </row>
    <row r="1836" spans="1:14">
      <c r="A1836" t="s">
        <v>151</v>
      </c>
      <c r="B1836">
        <v>1128299</v>
      </c>
      <c r="C1836" s="2">
        <v>44371</v>
      </c>
      <c r="D1836" t="s">
        <v>28</v>
      </c>
      <c r="E1836" t="s">
        <v>191</v>
      </c>
      <c r="F1836" t="s">
        <v>198</v>
      </c>
      <c r="G1836" t="s">
        <v>27</v>
      </c>
      <c r="H1836" s="3">
        <v>0.54999999999999993</v>
      </c>
      <c r="I1836">
        <v>7750</v>
      </c>
      <c r="J1836" s="4">
        <v>4262.4999999999991</v>
      </c>
      <c r="K1836" s="4">
        <v>1491.8749999999995</v>
      </c>
      <c r="L1836" s="5">
        <v>0.35</v>
      </c>
      <c r="M1836" t="s">
        <v>129</v>
      </c>
      <c r="N1836" t="s">
        <v>362</v>
      </c>
    </row>
    <row r="1837" spans="1:14">
      <c r="A1837" t="s">
        <v>151</v>
      </c>
      <c r="B1837">
        <v>1128299</v>
      </c>
      <c r="C1837" s="2">
        <v>44371</v>
      </c>
      <c r="D1837" t="s">
        <v>28</v>
      </c>
      <c r="E1837" t="s">
        <v>191</v>
      </c>
      <c r="F1837" t="s">
        <v>198</v>
      </c>
      <c r="G1837" t="s">
        <v>145</v>
      </c>
      <c r="H1837" s="3">
        <v>0.64999999999999991</v>
      </c>
      <c r="I1837">
        <v>6500</v>
      </c>
      <c r="J1837" s="4">
        <v>4224.9999999999991</v>
      </c>
      <c r="K1837" s="4">
        <v>1478.7499999999995</v>
      </c>
      <c r="L1837" s="5">
        <v>0.35</v>
      </c>
      <c r="M1837" t="s">
        <v>129</v>
      </c>
      <c r="N1837" t="s">
        <v>362</v>
      </c>
    </row>
    <row r="1838" spans="1:14">
      <c r="A1838" t="s">
        <v>151</v>
      </c>
      <c r="B1838">
        <v>1128299</v>
      </c>
      <c r="C1838" s="2">
        <v>44371</v>
      </c>
      <c r="D1838" t="s">
        <v>28</v>
      </c>
      <c r="E1838" t="s">
        <v>191</v>
      </c>
      <c r="F1838" t="s">
        <v>198</v>
      </c>
      <c r="G1838" t="s">
        <v>146</v>
      </c>
      <c r="H1838" s="3">
        <v>0.79999999999999993</v>
      </c>
      <c r="I1838">
        <v>6500</v>
      </c>
      <c r="J1838" s="4">
        <v>5200</v>
      </c>
      <c r="K1838" s="4">
        <v>1819.9999999999998</v>
      </c>
      <c r="L1838" s="5">
        <v>0.35</v>
      </c>
      <c r="M1838" t="s">
        <v>129</v>
      </c>
      <c r="N1838" t="s">
        <v>362</v>
      </c>
    </row>
    <row r="1839" spans="1:14">
      <c r="A1839" t="s">
        <v>151</v>
      </c>
      <c r="B1839">
        <v>1128299</v>
      </c>
      <c r="C1839" s="2">
        <v>44371</v>
      </c>
      <c r="D1839" t="s">
        <v>28</v>
      </c>
      <c r="E1839" t="s">
        <v>191</v>
      </c>
      <c r="F1839" t="s">
        <v>198</v>
      </c>
      <c r="G1839" t="s">
        <v>148</v>
      </c>
      <c r="H1839" s="3">
        <v>0.79999999999999993</v>
      </c>
      <c r="I1839">
        <v>5250</v>
      </c>
      <c r="J1839" s="4">
        <v>4200</v>
      </c>
      <c r="K1839" s="4">
        <v>1470</v>
      </c>
      <c r="L1839" s="5">
        <v>0.35</v>
      </c>
      <c r="M1839" t="s">
        <v>129</v>
      </c>
      <c r="N1839" t="s">
        <v>362</v>
      </c>
    </row>
    <row r="1840" spans="1:14">
      <c r="A1840" t="s">
        <v>151</v>
      </c>
      <c r="B1840">
        <v>1128299</v>
      </c>
      <c r="C1840" s="2">
        <v>44371</v>
      </c>
      <c r="D1840" t="s">
        <v>28</v>
      </c>
      <c r="E1840" t="s">
        <v>191</v>
      </c>
      <c r="F1840" t="s">
        <v>198</v>
      </c>
      <c r="G1840" t="s">
        <v>147</v>
      </c>
      <c r="H1840" s="3">
        <v>0.9</v>
      </c>
      <c r="I1840">
        <v>4000</v>
      </c>
      <c r="J1840" s="4">
        <v>3600</v>
      </c>
      <c r="K1840" s="4">
        <v>1440</v>
      </c>
      <c r="L1840" s="5">
        <v>0.4</v>
      </c>
      <c r="M1840" t="s">
        <v>129</v>
      </c>
      <c r="N1840" t="s">
        <v>362</v>
      </c>
    </row>
    <row r="1841" spans="1:14">
      <c r="A1841" t="s">
        <v>151</v>
      </c>
      <c r="B1841">
        <v>1128299</v>
      </c>
      <c r="C1841" s="2">
        <v>44371</v>
      </c>
      <c r="D1841" t="s">
        <v>28</v>
      </c>
      <c r="E1841" t="s">
        <v>191</v>
      </c>
      <c r="F1841" t="s">
        <v>198</v>
      </c>
      <c r="G1841" t="s">
        <v>144</v>
      </c>
      <c r="H1841" s="3">
        <v>1.05</v>
      </c>
      <c r="I1841">
        <v>7000</v>
      </c>
      <c r="J1841" s="4">
        <v>7350</v>
      </c>
      <c r="K1841" s="4">
        <v>2205</v>
      </c>
      <c r="L1841" s="5">
        <v>0.3</v>
      </c>
      <c r="M1841" t="s">
        <v>129</v>
      </c>
      <c r="N1841" t="s">
        <v>362</v>
      </c>
    </row>
    <row r="1842" spans="1:14">
      <c r="A1842" t="s">
        <v>151</v>
      </c>
      <c r="B1842">
        <v>1128299</v>
      </c>
      <c r="C1842" s="2">
        <v>44400</v>
      </c>
      <c r="D1842" t="s">
        <v>28</v>
      </c>
      <c r="E1842" t="s">
        <v>191</v>
      </c>
      <c r="F1842" t="s">
        <v>198</v>
      </c>
      <c r="G1842" t="s">
        <v>27</v>
      </c>
      <c r="H1842" s="3">
        <v>0.85</v>
      </c>
      <c r="I1842">
        <v>8500</v>
      </c>
      <c r="J1842" s="4">
        <v>7225</v>
      </c>
      <c r="K1842" s="4">
        <v>2528.75</v>
      </c>
      <c r="L1842" s="5">
        <v>0.35</v>
      </c>
      <c r="M1842" t="s">
        <v>130</v>
      </c>
      <c r="N1842" t="s">
        <v>363</v>
      </c>
    </row>
    <row r="1843" spans="1:14">
      <c r="A1843" t="s">
        <v>151</v>
      </c>
      <c r="B1843">
        <v>1128299</v>
      </c>
      <c r="C1843" s="2">
        <v>44400</v>
      </c>
      <c r="D1843" t="s">
        <v>28</v>
      </c>
      <c r="E1843" t="s">
        <v>191</v>
      </c>
      <c r="F1843" t="s">
        <v>198</v>
      </c>
      <c r="G1843" t="s">
        <v>145</v>
      </c>
      <c r="H1843" s="3">
        <v>0.9</v>
      </c>
      <c r="I1843">
        <v>7000</v>
      </c>
      <c r="J1843" s="4">
        <v>6300</v>
      </c>
      <c r="K1843" s="4">
        <v>2205</v>
      </c>
      <c r="L1843" s="5">
        <v>0.35</v>
      </c>
      <c r="M1843" t="s">
        <v>130</v>
      </c>
      <c r="N1843" t="s">
        <v>363</v>
      </c>
    </row>
    <row r="1844" spans="1:14">
      <c r="A1844" t="s">
        <v>151</v>
      </c>
      <c r="B1844">
        <v>1128299</v>
      </c>
      <c r="C1844" s="2">
        <v>44400</v>
      </c>
      <c r="D1844" t="s">
        <v>28</v>
      </c>
      <c r="E1844" t="s">
        <v>191</v>
      </c>
      <c r="F1844" t="s">
        <v>198</v>
      </c>
      <c r="G1844" t="s">
        <v>146</v>
      </c>
      <c r="H1844" s="3">
        <v>0.9</v>
      </c>
      <c r="I1844">
        <v>6500</v>
      </c>
      <c r="J1844" s="4">
        <v>5850</v>
      </c>
      <c r="K1844" s="4">
        <v>2047.4999999999998</v>
      </c>
      <c r="L1844" s="5">
        <v>0.35</v>
      </c>
      <c r="M1844" t="s">
        <v>130</v>
      </c>
      <c r="N1844" t="s">
        <v>363</v>
      </c>
    </row>
    <row r="1845" spans="1:14">
      <c r="A1845" t="s">
        <v>151</v>
      </c>
      <c r="B1845">
        <v>1128299</v>
      </c>
      <c r="C1845" s="2">
        <v>44400</v>
      </c>
      <c r="D1845" t="s">
        <v>28</v>
      </c>
      <c r="E1845" t="s">
        <v>191</v>
      </c>
      <c r="F1845" t="s">
        <v>198</v>
      </c>
      <c r="G1845" t="s">
        <v>148</v>
      </c>
      <c r="H1845" s="3">
        <v>0.85</v>
      </c>
      <c r="I1845">
        <v>5500</v>
      </c>
      <c r="J1845" s="4">
        <v>4675</v>
      </c>
      <c r="K1845" s="4">
        <v>1636.25</v>
      </c>
      <c r="L1845" s="5">
        <v>0.35</v>
      </c>
      <c r="M1845" t="s">
        <v>130</v>
      </c>
      <c r="N1845" t="s">
        <v>363</v>
      </c>
    </row>
    <row r="1846" spans="1:14">
      <c r="A1846" t="s">
        <v>151</v>
      </c>
      <c r="B1846">
        <v>1128299</v>
      </c>
      <c r="C1846" s="2">
        <v>44400</v>
      </c>
      <c r="D1846" t="s">
        <v>28</v>
      </c>
      <c r="E1846" t="s">
        <v>191</v>
      </c>
      <c r="F1846" t="s">
        <v>198</v>
      </c>
      <c r="G1846" t="s">
        <v>147</v>
      </c>
      <c r="H1846" s="3">
        <v>0.9</v>
      </c>
      <c r="I1846">
        <v>6000</v>
      </c>
      <c r="J1846" s="4">
        <v>5400</v>
      </c>
      <c r="K1846" s="4">
        <v>2160</v>
      </c>
      <c r="L1846" s="5">
        <v>0.4</v>
      </c>
      <c r="M1846" t="s">
        <v>130</v>
      </c>
      <c r="N1846" t="s">
        <v>363</v>
      </c>
    </row>
    <row r="1847" spans="1:14">
      <c r="A1847" t="s">
        <v>151</v>
      </c>
      <c r="B1847">
        <v>1128299</v>
      </c>
      <c r="C1847" s="2">
        <v>44400</v>
      </c>
      <c r="D1847" t="s">
        <v>28</v>
      </c>
      <c r="E1847" t="s">
        <v>191</v>
      </c>
      <c r="F1847" t="s">
        <v>198</v>
      </c>
      <c r="G1847" t="s">
        <v>144</v>
      </c>
      <c r="H1847" s="3">
        <v>1.05</v>
      </c>
      <c r="I1847">
        <v>6000</v>
      </c>
      <c r="J1847" s="4">
        <v>6300</v>
      </c>
      <c r="K1847" s="4">
        <v>1890</v>
      </c>
      <c r="L1847" s="5">
        <v>0.3</v>
      </c>
      <c r="M1847" t="s">
        <v>130</v>
      </c>
      <c r="N1847" t="s">
        <v>363</v>
      </c>
    </row>
    <row r="1848" spans="1:14">
      <c r="A1848" t="s">
        <v>151</v>
      </c>
      <c r="B1848">
        <v>1128299</v>
      </c>
      <c r="C1848" s="2">
        <v>44432</v>
      </c>
      <c r="D1848" t="s">
        <v>28</v>
      </c>
      <c r="E1848" t="s">
        <v>191</v>
      </c>
      <c r="F1848" t="s">
        <v>198</v>
      </c>
      <c r="G1848" t="s">
        <v>27</v>
      </c>
      <c r="H1848" s="3">
        <v>0.9</v>
      </c>
      <c r="I1848">
        <v>8000</v>
      </c>
      <c r="J1848" s="4">
        <v>7200</v>
      </c>
      <c r="K1848" s="4">
        <v>2520</v>
      </c>
      <c r="L1848" s="5">
        <v>0.35</v>
      </c>
      <c r="M1848" t="s">
        <v>131</v>
      </c>
      <c r="N1848" t="s">
        <v>363</v>
      </c>
    </row>
    <row r="1849" spans="1:14">
      <c r="A1849" t="s">
        <v>151</v>
      </c>
      <c r="B1849">
        <v>1128299</v>
      </c>
      <c r="C1849" s="2">
        <v>44432</v>
      </c>
      <c r="D1849" t="s">
        <v>28</v>
      </c>
      <c r="E1849" t="s">
        <v>191</v>
      </c>
      <c r="F1849" t="s">
        <v>198</v>
      </c>
      <c r="G1849" t="s">
        <v>145</v>
      </c>
      <c r="H1849" s="3">
        <v>0.8</v>
      </c>
      <c r="I1849">
        <v>7750</v>
      </c>
      <c r="J1849" s="4">
        <v>6200</v>
      </c>
      <c r="K1849" s="4">
        <v>2170</v>
      </c>
      <c r="L1849" s="5">
        <v>0.35</v>
      </c>
      <c r="M1849" t="s">
        <v>131</v>
      </c>
      <c r="N1849" t="s">
        <v>363</v>
      </c>
    </row>
    <row r="1850" spans="1:14">
      <c r="A1850" t="s">
        <v>151</v>
      </c>
      <c r="B1850">
        <v>1128299</v>
      </c>
      <c r="C1850" s="2">
        <v>44432</v>
      </c>
      <c r="D1850" t="s">
        <v>28</v>
      </c>
      <c r="E1850" t="s">
        <v>191</v>
      </c>
      <c r="F1850" t="s">
        <v>198</v>
      </c>
      <c r="G1850" t="s">
        <v>146</v>
      </c>
      <c r="H1850" s="3">
        <v>0.70000000000000007</v>
      </c>
      <c r="I1850">
        <v>6500</v>
      </c>
      <c r="J1850" s="4">
        <v>4550</v>
      </c>
      <c r="K1850" s="4">
        <v>1592.5</v>
      </c>
      <c r="L1850" s="5">
        <v>0.35</v>
      </c>
      <c r="M1850" t="s">
        <v>131</v>
      </c>
      <c r="N1850" t="s">
        <v>363</v>
      </c>
    </row>
    <row r="1851" spans="1:14">
      <c r="A1851" t="s">
        <v>151</v>
      </c>
      <c r="B1851">
        <v>1128299</v>
      </c>
      <c r="C1851" s="2">
        <v>44432</v>
      </c>
      <c r="D1851" t="s">
        <v>28</v>
      </c>
      <c r="E1851" t="s">
        <v>191</v>
      </c>
      <c r="F1851" t="s">
        <v>198</v>
      </c>
      <c r="G1851" t="s">
        <v>148</v>
      </c>
      <c r="H1851" s="3">
        <v>0.70000000000000007</v>
      </c>
      <c r="I1851">
        <v>4250</v>
      </c>
      <c r="J1851" s="4">
        <v>2975.0000000000005</v>
      </c>
      <c r="K1851" s="4">
        <v>1041.25</v>
      </c>
      <c r="L1851" s="5">
        <v>0.35</v>
      </c>
      <c r="M1851" t="s">
        <v>131</v>
      </c>
      <c r="N1851" t="s">
        <v>363</v>
      </c>
    </row>
    <row r="1852" spans="1:14">
      <c r="A1852" t="s">
        <v>151</v>
      </c>
      <c r="B1852">
        <v>1128299</v>
      </c>
      <c r="C1852" s="2">
        <v>44432</v>
      </c>
      <c r="D1852" t="s">
        <v>28</v>
      </c>
      <c r="E1852" t="s">
        <v>191</v>
      </c>
      <c r="F1852" t="s">
        <v>198</v>
      </c>
      <c r="G1852" t="s">
        <v>147</v>
      </c>
      <c r="H1852" s="3">
        <v>0.7</v>
      </c>
      <c r="I1852">
        <v>4250</v>
      </c>
      <c r="J1852" s="4">
        <v>2975</v>
      </c>
      <c r="K1852" s="4">
        <v>1190</v>
      </c>
      <c r="L1852" s="5">
        <v>0.4</v>
      </c>
      <c r="M1852" t="s">
        <v>131</v>
      </c>
      <c r="N1852" t="s">
        <v>363</v>
      </c>
    </row>
    <row r="1853" spans="1:14">
      <c r="A1853" t="s">
        <v>151</v>
      </c>
      <c r="B1853">
        <v>1128299</v>
      </c>
      <c r="C1853" s="2">
        <v>44432</v>
      </c>
      <c r="D1853" t="s">
        <v>28</v>
      </c>
      <c r="E1853" t="s">
        <v>191</v>
      </c>
      <c r="F1853" t="s">
        <v>198</v>
      </c>
      <c r="G1853" t="s">
        <v>144</v>
      </c>
      <c r="H1853" s="3">
        <v>0.75</v>
      </c>
      <c r="I1853">
        <v>2500</v>
      </c>
      <c r="J1853" s="4">
        <v>1875</v>
      </c>
      <c r="K1853" s="4">
        <v>562.5</v>
      </c>
      <c r="L1853" s="5">
        <v>0.3</v>
      </c>
      <c r="M1853" t="s">
        <v>131</v>
      </c>
      <c r="N1853" t="s">
        <v>363</v>
      </c>
    </row>
    <row r="1854" spans="1:14">
      <c r="A1854" t="s">
        <v>151</v>
      </c>
      <c r="B1854">
        <v>1128299</v>
      </c>
      <c r="C1854" s="2">
        <v>44464</v>
      </c>
      <c r="D1854" t="s">
        <v>28</v>
      </c>
      <c r="E1854" t="s">
        <v>191</v>
      </c>
      <c r="F1854" t="s">
        <v>198</v>
      </c>
      <c r="G1854" t="s">
        <v>27</v>
      </c>
      <c r="H1854" s="3">
        <v>0.50000000000000011</v>
      </c>
      <c r="I1854">
        <v>4500</v>
      </c>
      <c r="J1854" s="4">
        <v>2250.0000000000005</v>
      </c>
      <c r="K1854" s="4">
        <v>787.50000000000011</v>
      </c>
      <c r="L1854" s="5">
        <v>0.35</v>
      </c>
      <c r="M1854" t="s">
        <v>132</v>
      </c>
      <c r="N1854" t="s">
        <v>363</v>
      </c>
    </row>
    <row r="1855" spans="1:14">
      <c r="A1855" t="s">
        <v>151</v>
      </c>
      <c r="B1855">
        <v>1128299</v>
      </c>
      <c r="C1855" s="2">
        <v>44464</v>
      </c>
      <c r="D1855" t="s">
        <v>28</v>
      </c>
      <c r="E1855" t="s">
        <v>191</v>
      </c>
      <c r="F1855" t="s">
        <v>198</v>
      </c>
      <c r="G1855" t="s">
        <v>145</v>
      </c>
      <c r="H1855" s="3">
        <v>0.55000000000000016</v>
      </c>
      <c r="I1855">
        <v>4500</v>
      </c>
      <c r="J1855" s="4">
        <v>2475.0000000000009</v>
      </c>
      <c r="K1855" s="4">
        <v>866.25000000000023</v>
      </c>
      <c r="L1855" s="5">
        <v>0.35</v>
      </c>
      <c r="M1855" t="s">
        <v>132</v>
      </c>
      <c r="N1855" t="s">
        <v>363</v>
      </c>
    </row>
    <row r="1856" spans="1:14">
      <c r="A1856" t="s">
        <v>151</v>
      </c>
      <c r="B1856">
        <v>1128299</v>
      </c>
      <c r="C1856" s="2">
        <v>44464</v>
      </c>
      <c r="D1856" t="s">
        <v>28</v>
      </c>
      <c r="E1856" t="s">
        <v>191</v>
      </c>
      <c r="F1856" t="s">
        <v>198</v>
      </c>
      <c r="G1856" t="s">
        <v>146</v>
      </c>
      <c r="H1856" s="3">
        <v>0.50000000000000011</v>
      </c>
      <c r="I1856">
        <v>2500</v>
      </c>
      <c r="J1856" s="4">
        <v>1250.0000000000002</v>
      </c>
      <c r="K1856" s="4">
        <v>437.50000000000006</v>
      </c>
      <c r="L1856" s="5">
        <v>0.35</v>
      </c>
      <c r="M1856" t="s">
        <v>132</v>
      </c>
      <c r="N1856" t="s">
        <v>363</v>
      </c>
    </row>
    <row r="1857" spans="1:14">
      <c r="A1857" t="s">
        <v>151</v>
      </c>
      <c r="B1857">
        <v>1128299</v>
      </c>
      <c r="C1857" s="2">
        <v>44464</v>
      </c>
      <c r="D1857" t="s">
        <v>28</v>
      </c>
      <c r="E1857" t="s">
        <v>191</v>
      </c>
      <c r="F1857" t="s">
        <v>198</v>
      </c>
      <c r="G1857" t="s">
        <v>148</v>
      </c>
      <c r="H1857" s="3">
        <v>0.50000000000000011</v>
      </c>
      <c r="I1857">
        <v>2000</v>
      </c>
      <c r="J1857" s="4">
        <v>1000.0000000000002</v>
      </c>
      <c r="K1857" s="4">
        <v>350.00000000000006</v>
      </c>
      <c r="L1857" s="5">
        <v>0.35</v>
      </c>
      <c r="M1857" t="s">
        <v>132</v>
      </c>
      <c r="N1857" t="s">
        <v>363</v>
      </c>
    </row>
    <row r="1858" spans="1:14">
      <c r="A1858" t="s">
        <v>151</v>
      </c>
      <c r="B1858">
        <v>1128299</v>
      </c>
      <c r="C1858" s="2">
        <v>44464</v>
      </c>
      <c r="D1858" t="s">
        <v>28</v>
      </c>
      <c r="E1858" t="s">
        <v>191</v>
      </c>
      <c r="F1858" t="s">
        <v>198</v>
      </c>
      <c r="G1858" t="s">
        <v>147</v>
      </c>
      <c r="H1858" s="3">
        <v>0.60000000000000009</v>
      </c>
      <c r="I1858">
        <v>2250</v>
      </c>
      <c r="J1858" s="4">
        <v>1350.0000000000002</v>
      </c>
      <c r="K1858" s="4">
        <v>540.00000000000011</v>
      </c>
      <c r="L1858" s="5">
        <v>0.4</v>
      </c>
      <c r="M1858" t="s">
        <v>132</v>
      </c>
      <c r="N1858" t="s">
        <v>363</v>
      </c>
    </row>
    <row r="1859" spans="1:14">
      <c r="A1859" t="s">
        <v>151</v>
      </c>
      <c r="B1859">
        <v>1128299</v>
      </c>
      <c r="C1859" s="2">
        <v>44464</v>
      </c>
      <c r="D1859" t="s">
        <v>28</v>
      </c>
      <c r="E1859" t="s">
        <v>191</v>
      </c>
      <c r="F1859" t="s">
        <v>198</v>
      </c>
      <c r="G1859" t="s">
        <v>144</v>
      </c>
      <c r="H1859" s="3">
        <v>0.44999999999999996</v>
      </c>
      <c r="I1859">
        <v>2500</v>
      </c>
      <c r="J1859" s="4">
        <v>1125</v>
      </c>
      <c r="K1859" s="4">
        <v>337.5</v>
      </c>
      <c r="L1859" s="5">
        <v>0.3</v>
      </c>
      <c r="M1859" t="s">
        <v>132</v>
      </c>
      <c r="N1859" t="s">
        <v>363</v>
      </c>
    </row>
    <row r="1860" spans="1:14">
      <c r="A1860" t="s">
        <v>151</v>
      </c>
      <c r="B1860">
        <v>1128299</v>
      </c>
      <c r="C1860" s="2">
        <v>44493</v>
      </c>
      <c r="D1860" t="s">
        <v>28</v>
      </c>
      <c r="E1860" t="s">
        <v>191</v>
      </c>
      <c r="F1860" t="s">
        <v>198</v>
      </c>
      <c r="G1860" t="s">
        <v>27</v>
      </c>
      <c r="H1860" s="3">
        <v>0.4</v>
      </c>
      <c r="I1860">
        <v>3500</v>
      </c>
      <c r="J1860" s="4">
        <v>1400</v>
      </c>
      <c r="K1860" s="4">
        <v>489.99999999999994</v>
      </c>
      <c r="L1860" s="5">
        <v>0.35</v>
      </c>
      <c r="M1860" t="s">
        <v>133</v>
      </c>
      <c r="N1860" t="s">
        <v>364</v>
      </c>
    </row>
    <row r="1861" spans="1:14">
      <c r="A1861" t="s">
        <v>151</v>
      </c>
      <c r="B1861">
        <v>1128299</v>
      </c>
      <c r="C1861" s="2">
        <v>44493</v>
      </c>
      <c r="D1861" t="s">
        <v>28</v>
      </c>
      <c r="E1861" t="s">
        <v>191</v>
      </c>
      <c r="F1861" t="s">
        <v>198</v>
      </c>
      <c r="G1861" t="s">
        <v>145</v>
      </c>
      <c r="H1861" s="3">
        <v>0.55000000000000016</v>
      </c>
      <c r="I1861">
        <v>5250</v>
      </c>
      <c r="J1861" s="4">
        <v>2887.5000000000009</v>
      </c>
      <c r="K1861" s="4">
        <v>1010.6250000000002</v>
      </c>
      <c r="L1861" s="5">
        <v>0.35</v>
      </c>
      <c r="M1861" t="s">
        <v>133</v>
      </c>
      <c r="N1861" t="s">
        <v>364</v>
      </c>
    </row>
    <row r="1862" spans="1:14">
      <c r="A1862" t="s">
        <v>151</v>
      </c>
      <c r="B1862">
        <v>1128299</v>
      </c>
      <c r="C1862" s="2">
        <v>44493</v>
      </c>
      <c r="D1862" t="s">
        <v>28</v>
      </c>
      <c r="E1862" t="s">
        <v>191</v>
      </c>
      <c r="F1862" t="s">
        <v>198</v>
      </c>
      <c r="G1862" t="s">
        <v>146</v>
      </c>
      <c r="H1862" s="3">
        <v>0.50000000000000011</v>
      </c>
      <c r="I1862">
        <v>3500</v>
      </c>
      <c r="J1862" s="4">
        <v>1750.0000000000005</v>
      </c>
      <c r="K1862" s="4">
        <v>612.50000000000011</v>
      </c>
      <c r="L1862" s="5">
        <v>0.35</v>
      </c>
      <c r="M1862" t="s">
        <v>133</v>
      </c>
      <c r="N1862" t="s">
        <v>364</v>
      </c>
    </row>
    <row r="1863" spans="1:14">
      <c r="A1863" t="s">
        <v>151</v>
      </c>
      <c r="B1863">
        <v>1128299</v>
      </c>
      <c r="C1863" s="2">
        <v>44493</v>
      </c>
      <c r="D1863" t="s">
        <v>28</v>
      </c>
      <c r="E1863" t="s">
        <v>191</v>
      </c>
      <c r="F1863" t="s">
        <v>198</v>
      </c>
      <c r="G1863" t="s">
        <v>148</v>
      </c>
      <c r="H1863" s="3">
        <v>0.45000000000000007</v>
      </c>
      <c r="I1863">
        <v>3250</v>
      </c>
      <c r="J1863" s="4">
        <v>1462.5000000000002</v>
      </c>
      <c r="K1863" s="4">
        <v>511.87500000000006</v>
      </c>
      <c r="L1863" s="5">
        <v>0.35</v>
      </c>
      <c r="M1863" t="s">
        <v>133</v>
      </c>
      <c r="N1863" t="s">
        <v>364</v>
      </c>
    </row>
    <row r="1864" spans="1:14">
      <c r="A1864" t="s">
        <v>151</v>
      </c>
      <c r="B1864">
        <v>1128299</v>
      </c>
      <c r="C1864" s="2">
        <v>44493</v>
      </c>
      <c r="D1864" t="s">
        <v>28</v>
      </c>
      <c r="E1864" t="s">
        <v>191</v>
      </c>
      <c r="F1864" t="s">
        <v>198</v>
      </c>
      <c r="G1864" t="s">
        <v>147</v>
      </c>
      <c r="H1864" s="3">
        <v>0.55000000000000004</v>
      </c>
      <c r="I1864">
        <v>3000</v>
      </c>
      <c r="J1864" s="4">
        <v>1650.0000000000002</v>
      </c>
      <c r="K1864" s="4">
        <v>660.00000000000011</v>
      </c>
      <c r="L1864" s="5">
        <v>0.4</v>
      </c>
      <c r="M1864" t="s">
        <v>133</v>
      </c>
      <c r="N1864" t="s">
        <v>364</v>
      </c>
    </row>
    <row r="1865" spans="1:14">
      <c r="A1865" t="s">
        <v>151</v>
      </c>
      <c r="B1865">
        <v>1128299</v>
      </c>
      <c r="C1865" s="2">
        <v>44493</v>
      </c>
      <c r="D1865" t="s">
        <v>28</v>
      </c>
      <c r="E1865" t="s">
        <v>191</v>
      </c>
      <c r="F1865" t="s">
        <v>198</v>
      </c>
      <c r="G1865" t="s">
        <v>144</v>
      </c>
      <c r="H1865" s="3">
        <v>0.60000000000000009</v>
      </c>
      <c r="I1865">
        <v>3500</v>
      </c>
      <c r="J1865" s="4">
        <v>2100.0000000000005</v>
      </c>
      <c r="K1865" s="4">
        <v>630.00000000000011</v>
      </c>
      <c r="L1865" s="5">
        <v>0.3</v>
      </c>
      <c r="M1865" t="s">
        <v>133</v>
      </c>
      <c r="N1865" t="s">
        <v>364</v>
      </c>
    </row>
    <row r="1866" spans="1:14">
      <c r="A1866" t="s">
        <v>151</v>
      </c>
      <c r="B1866">
        <v>1128299</v>
      </c>
      <c r="C1866" s="2">
        <v>44524</v>
      </c>
      <c r="D1866" t="s">
        <v>28</v>
      </c>
      <c r="E1866" t="s">
        <v>191</v>
      </c>
      <c r="F1866" t="s">
        <v>198</v>
      </c>
      <c r="G1866" t="s">
        <v>27</v>
      </c>
      <c r="H1866" s="3">
        <v>0.45000000000000007</v>
      </c>
      <c r="I1866">
        <v>5750</v>
      </c>
      <c r="J1866" s="4">
        <v>2587.5000000000005</v>
      </c>
      <c r="K1866" s="4">
        <v>905.62500000000011</v>
      </c>
      <c r="L1866" s="5">
        <v>0.35</v>
      </c>
      <c r="M1866" t="s">
        <v>134</v>
      </c>
      <c r="N1866" t="s">
        <v>364</v>
      </c>
    </row>
    <row r="1867" spans="1:14">
      <c r="A1867" t="s">
        <v>151</v>
      </c>
      <c r="B1867">
        <v>1128299</v>
      </c>
      <c r="C1867" s="2">
        <v>44524</v>
      </c>
      <c r="D1867" t="s">
        <v>28</v>
      </c>
      <c r="E1867" t="s">
        <v>191</v>
      </c>
      <c r="F1867" t="s">
        <v>198</v>
      </c>
      <c r="G1867" t="s">
        <v>145</v>
      </c>
      <c r="H1867" s="3">
        <v>0.50000000000000011</v>
      </c>
      <c r="I1867">
        <v>6500</v>
      </c>
      <c r="J1867" s="4">
        <v>3250.0000000000009</v>
      </c>
      <c r="K1867" s="4">
        <v>1137.5000000000002</v>
      </c>
      <c r="L1867" s="5">
        <v>0.35</v>
      </c>
      <c r="M1867" t="s">
        <v>134</v>
      </c>
      <c r="N1867" t="s">
        <v>364</v>
      </c>
    </row>
    <row r="1868" spans="1:14">
      <c r="A1868" t="s">
        <v>151</v>
      </c>
      <c r="B1868">
        <v>1128299</v>
      </c>
      <c r="C1868" s="2">
        <v>44524</v>
      </c>
      <c r="D1868" t="s">
        <v>28</v>
      </c>
      <c r="E1868" t="s">
        <v>191</v>
      </c>
      <c r="F1868" t="s">
        <v>198</v>
      </c>
      <c r="G1868" t="s">
        <v>146</v>
      </c>
      <c r="H1868" s="3">
        <v>0.45000000000000007</v>
      </c>
      <c r="I1868">
        <v>4750</v>
      </c>
      <c r="J1868" s="4">
        <v>2137.5000000000005</v>
      </c>
      <c r="K1868" s="4">
        <v>748.12500000000011</v>
      </c>
      <c r="L1868" s="5">
        <v>0.35</v>
      </c>
      <c r="M1868" t="s">
        <v>134</v>
      </c>
      <c r="N1868" t="s">
        <v>364</v>
      </c>
    </row>
    <row r="1869" spans="1:14">
      <c r="A1869" t="s">
        <v>151</v>
      </c>
      <c r="B1869">
        <v>1128299</v>
      </c>
      <c r="C1869" s="2">
        <v>44524</v>
      </c>
      <c r="D1869" t="s">
        <v>28</v>
      </c>
      <c r="E1869" t="s">
        <v>191</v>
      </c>
      <c r="F1869" t="s">
        <v>198</v>
      </c>
      <c r="G1869" t="s">
        <v>148</v>
      </c>
      <c r="H1869" s="3">
        <v>0.55000000000000016</v>
      </c>
      <c r="I1869">
        <v>4500</v>
      </c>
      <c r="J1869" s="4">
        <v>2475.0000000000009</v>
      </c>
      <c r="K1869" s="4">
        <v>866.25000000000023</v>
      </c>
      <c r="L1869" s="5">
        <v>0.35</v>
      </c>
      <c r="M1869" t="s">
        <v>134</v>
      </c>
      <c r="N1869" t="s">
        <v>364</v>
      </c>
    </row>
    <row r="1870" spans="1:14">
      <c r="A1870" t="s">
        <v>151</v>
      </c>
      <c r="B1870">
        <v>1128299</v>
      </c>
      <c r="C1870" s="2">
        <v>44524</v>
      </c>
      <c r="D1870" t="s">
        <v>28</v>
      </c>
      <c r="E1870" t="s">
        <v>191</v>
      </c>
      <c r="F1870" t="s">
        <v>198</v>
      </c>
      <c r="G1870" t="s">
        <v>147</v>
      </c>
      <c r="H1870" s="3">
        <v>0.75000000000000011</v>
      </c>
      <c r="I1870">
        <v>4250</v>
      </c>
      <c r="J1870" s="4">
        <v>3187.5000000000005</v>
      </c>
      <c r="K1870" s="4">
        <v>1275.0000000000002</v>
      </c>
      <c r="L1870" s="5">
        <v>0.4</v>
      </c>
      <c r="M1870" t="s">
        <v>134</v>
      </c>
      <c r="N1870" t="s">
        <v>364</v>
      </c>
    </row>
    <row r="1871" spans="1:14">
      <c r="A1871" t="s">
        <v>151</v>
      </c>
      <c r="B1871">
        <v>1128299</v>
      </c>
      <c r="C1871" s="2">
        <v>44524</v>
      </c>
      <c r="D1871" t="s">
        <v>28</v>
      </c>
      <c r="E1871" t="s">
        <v>191</v>
      </c>
      <c r="F1871" t="s">
        <v>198</v>
      </c>
      <c r="G1871" t="s">
        <v>144</v>
      </c>
      <c r="H1871" s="3">
        <v>0.80000000000000016</v>
      </c>
      <c r="I1871">
        <v>5500</v>
      </c>
      <c r="J1871" s="4">
        <v>4400.0000000000009</v>
      </c>
      <c r="K1871" s="4">
        <v>1320.0000000000002</v>
      </c>
      <c r="L1871" s="5">
        <v>0.3</v>
      </c>
      <c r="M1871" t="s">
        <v>134</v>
      </c>
      <c r="N1871" t="s">
        <v>364</v>
      </c>
    </row>
    <row r="1872" spans="1:14">
      <c r="A1872" t="s">
        <v>151</v>
      </c>
      <c r="B1872">
        <v>1128299</v>
      </c>
      <c r="C1872" s="2">
        <v>44553</v>
      </c>
      <c r="D1872" t="s">
        <v>28</v>
      </c>
      <c r="E1872" t="s">
        <v>191</v>
      </c>
      <c r="F1872" t="s">
        <v>198</v>
      </c>
      <c r="G1872" t="s">
        <v>27</v>
      </c>
      <c r="H1872" s="3">
        <v>0.65000000000000013</v>
      </c>
      <c r="I1872">
        <v>7500</v>
      </c>
      <c r="J1872" s="4">
        <v>4875.0000000000009</v>
      </c>
      <c r="K1872" s="4">
        <v>1706.2500000000002</v>
      </c>
      <c r="L1872" s="5">
        <v>0.35</v>
      </c>
      <c r="M1872" t="s">
        <v>23</v>
      </c>
      <c r="N1872" t="s">
        <v>364</v>
      </c>
    </row>
    <row r="1873" spans="1:14">
      <c r="A1873" t="s">
        <v>151</v>
      </c>
      <c r="B1873">
        <v>1128299</v>
      </c>
      <c r="C1873" s="2">
        <v>44553</v>
      </c>
      <c r="D1873" t="s">
        <v>28</v>
      </c>
      <c r="E1873" t="s">
        <v>191</v>
      </c>
      <c r="F1873" t="s">
        <v>198</v>
      </c>
      <c r="G1873" t="s">
        <v>145</v>
      </c>
      <c r="H1873" s="3">
        <v>0.75000000000000022</v>
      </c>
      <c r="I1873">
        <v>7500</v>
      </c>
      <c r="J1873" s="4">
        <v>5625.0000000000018</v>
      </c>
      <c r="K1873" s="4">
        <v>1968.7500000000005</v>
      </c>
      <c r="L1873" s="5">
        <v>0.35</v>
      </c>
      <c r="M1873" t="s">
        <v>23</v>
      </c>
      <c r="N1873" t="s">
        <v>364</v>
      </c>
    </row>
    <row r="1874" spans="1:14">
      <c r="A1874" t="s">
        <v>151</v>
      </c>
      <c r="B1874">
        <v>1128299</v>
      </c>
      <c r="C1874" s="2">
        <v>44553</v>
      </c>
      <c r="D1874" t="s">
        <v>28</v>
      </c>
      <c r="E1874" t="s">
        <v>191</v>
      </c>
      <c r="F1874" t="s">
        <v>198</v>
      </c>
      <c r="G1874" t="s">
        <v>146</v>
      </c>
      <c r="H1874" s="3">
        <v>0.70000000000000018</v>
      </c>
      <c r="I1874">
        <v>5500</v>
      </c>
      <c r="J1874" s="4">
        <v>3850.0000000000009</v>
      </c>
      <c r="K1874" s="4">
        <v>1347.5000000000002</v>
      </c>
      <c r="L1874" s="5">
        <v>0.35</v>
      </c>
      <c r="M1874" t="s">
        <v>23</v>
      </c>
      <c r="N1874" t="s">
        <v>364</v>
      </c>
    </row>
    <row r="1875" spans="1:14">
      <c r="A1875" t="s">
        <v>151</v>
      </c>
      <c r="B1875">
        <v>1128299</v>
      </c>
      <c r="C1875" s="2">
        <v>44553</v>
      </c>
      <c r="D1875" t="s">
        <v>28</v>
      </c>
      <c r="E1875" t="s">
        <v>191</v>
      </c>
      <c r="F1875" t="s">
        <v>198</v>
      </c>
      <c r="G1875" t="s">
        <v>148</v>
      </c>
      <c r="H1875" s="3">
        <v>0.70000000000000018</v>
      </c>
      <c r="I1875">
        <v>5500</v>
      </c>
      <c r="J1875" s="4">
        <v>3850.0000000000009</v>
      </c>
      <c r="K1875" s="4">
        <v>1347.5000000000002</v>
      </c>
      <c r="L1875" s="5">
        <v>0.35</v>
      </c>
      <c r="M1875" t="s">
        <v>23</v>
      </c>
      <c r="N1875" t="s">
        <v>364</v>
      </c>
    </row>
    <row r="1876" spans="1:14">
      <c r="A1876" t="s">
        <v>151</v>
      </c>
      <c r="B1876">
        <v>1128299</v>
      </c>
      <c r="C1876" s="2">
        <v>44553</v>
      </c>
      <c r="D1876" t="s">
        <v>28</v>
      </c>
      <c r="E1876" t="s">
        <v>191</v>
      </c>
      <c r="F1876" t="s">
        <v>198</v>
      </c>
      <c r="G1876" t="s">
        <v>147</v>
      </c>
      <c r="H1876" s="3">
        <v>0.80000000000000016</v>
      </c>
      <c r="I1876">
        <v>4750</v>
      </c>
      <c r="J1876" s="4">
        <v>3800.0000000000009</v>
      </c>
      <c r="K1876" s="4">
        <v>1520.0000000000005</v>
      </c>
      <c r="L1876" s="5">
        <v>0.4</v>
      </c>
      <c r="M1876" t="s">
        <v>23</v>
      </c>
      <c r="N1876" t="s">
        <v>364</v>
      </c>
    </row>
    <row r="1877" spans="1:14">
      <c r="A1877" t="s">
        <v>151</v>
      </c>
      <c r="B1877">
        <v>1128299</v>
      </c>
      <c r="C1877" s="2">
        <v>44553</v>
      </c>
      <c r="D1877" t="s">
        <v>28</v>
      </c>
      <c r="E1877" t="s">
        <v>191</v>
      </c>
      <c r="F1877" t="s">
        <v>198</v>
      </c>
      <c r="G1877" t="s">
        <v>144</v>
      </c>
      <c r="H1877" s="3">
        <v>0.8500000000000002</v>
      </c>
      <c r="I1877">
        <v>5750</v>
      </c>
      <c r="J1877" s="4">
        <v>4887.5000000000009</v>
      </c>
      <c r="K1877" s="4">
        <v>1466.2500000000002</v>
      </c>
      <c r="L1877" s="5">
        <v>0.3</v>
      </c>
      <c r="M1877" t="s">
        <v>23</v>
      </c>
      <c r="N1877" t="s">
        <v>364</v>
      </c>
    </row>
    <row r="1878" spans="1:14">
      <c r="A1878" t="s">
        <v>151</v>
      </c>
      <c r="B1878">
        <v>1128299</v>
      </c>
      <c r="C1878" s="2">
        <v>44213</v>
      </c>
      <c r="D1878" t="s">
        <v>28</v>
      </c>
      <c r="E1878" t="s">
        <v>183</v>
      </c>
      <c r="F1878" t="s">
        <v>188</v>
      </c>
      <c r="G1878" t="s">
        <v>27</v>
      </c>
      <c r="H1878" s="3">
        <v>0.35000000000000003</v>
      </c>
      <c r="I1878">
        <v>4000</v>
      </c>
      <c r="J1878" s="4">
        <v>1400.0000000000002</v>
      </c>
      <c r="K1878" s="4">
        <v>560</v>
      </c>
      <c r="L1878" s="5">
        <v>0.39999999999999997</v>
      </c>
      <c r="M1878" t="s">
        <v>125</v>
      </c>
      <c r="N1878" t="s">
        <v>361</v>
      </c>
    </row>
    <row r="1879" spans="1:14">
      <c r="A1879" t="s">
        <v>151</v>
      </c>
      <c r="B1879">
        <v>1128299</v>
      </c>
      <c r="C1879" s="2">
        <v>44213</v>
      </c>
      <c r="D1879" t="s">
        <v>28</v>
      </c>
      <c r="E1879" t="s">
        <v>183</v>
      </c>
      <c r="F1879" t="s">
        <v>188</v>
      </c>
      <c r="G1879" t="s">
        <v>145</v>
      </c>
      <c r="H1879" s="3">
        <v>0.45</v>
      </c>
      <c r="I1879">
        <v>4000</v>
      </c>
      <c r="J1879" s="4">
        <v>1800</v>
      </c>
      <c r="K1879" s="4">
        <v>719.99999999999989</v>
      </c>
      <c r="L1879" s="5">
        <v>0.39999999999999997</v>
      </c>
      <c r="M1879" t="s">
        <v>125</v>
      </c>
      <c r="N1879" t="s">
        <v>361</v>
      </c>
    </row>
    <row r="1880" spans="1:14">
      <c r="A1880" t="s">
        <v>151</v>
      </c>
      <c r="B1880">
        <v>1128299</v>
      </c>
      <c r="C1880" s="2">
        <v>44213</v>
      </c>
      <c r="D1880" t="s">
        <v>28</v>
      </c>
      <c r="E1880" t="s">
        <v>183</v>
      </c>
      <c r="F1880" t="s">
        <v>188</v>
      </c>
      <c r="G1880" t="s">
        <v>146</v>
      </c>
      <c r="H1880" s="3">
        <v>0.45</v>
      </c>
      <c r="I1880">
        <v>4000</v>
      </c>
      <c r="J1880" s="4">
        <v>1800</v>
      </c>
      <c r="K1880" s="4">
        <v>719.99999999999989</v>
      </c>
      <c r="L1880" s="5">
        <v>0.39999999999999997</v>
      </c>
      <c r="M1880" t="s">
        <v>125</v>
      </c>
      <c r="N1880" t="s">
        <v>361</v>
      </c>
    </row>
    <row r="1881" spans="1:14">
      <c r="A1881" t="s">
        <v>151</v>
      </c>
      <c r="B1881">
        <v>1128299</v>
      </c>
      <c r="C1881" s="2">
        <v>44213</v>
      </c>
      <c r="D1881" t="s">
        <v>28</v>
      </c>
      <c r="E1881" t="s">
        <v>183</v>
      </c>
      <c r="F1881" t="s">
        <v>188</v>
      </c>
      <c r="G1881" t="s">
        <v>148</v>
      </c>
      <c r="H1881" s="3">
        <v>0.45</v>
      </c>
      <c r="I1881">
        <v>2500</v>
      </c>
      <c r="J1881" s="4">
        <v>1125</v>
      </c>
      <c r="K1881" s="4">
        <v>449.99999999999994</v>
      </c>
      <c r="L1881" s="5">
        <v>0.39999999999999997</v>
      </c>
      <c r="M1881" t="s">
        <v>125</v>
      </c>
      <c r="N1881" t="s">
        <v>361</v>
      </c>
    </row>
    <row r="1882" spans="1:14">
      <c r="A1882" t="s">
        <v>151</v>
      </c>
      <c r="B1882">
        <v>1128299</v>
      </c>
      <c r="C1882" s="2">
        <v>44213</v>
      </c>
      <c r="D1882" t="s">
        <v>28</v>
      </c>
      <c r="E1882" t="s">
        <v>183</v>
      </c>
      <c r="F1882" t="s">
        <v>188</v>
      </c>
      <c r="G1882" t="s">
        <v>147</v>
      </c>
      <c r="H1882" s="3">
        <v>0.50000000000000011</v>
      </c>
      <c r="I1882">
        <v>2000</v>
      </c>
      <c r="J1882" s="4">
        <v>1000.0000000000002</v>
      </c>
      <c r="K1882" s="4">
        <v>450.00000000000011</v>
      </c>
      <c r="L1882" s="5">
        <v>0.45</v>
      </c>
      <c r="M1882" t="s">
        <v>125</v>
      </c>
      <c r="N1882" t="s">
        <v>361</v>
      </c>
    </row>
    <row r="1883" spans="1:14">
      <c r="A1883" t="s">
        <v>151</v>
      </c>
      <c r="B1883">
        <v>1128299</v>
      </c>
      <c r="C1883" s="2">
        <v>44213</v>
      </c>
      <c r="D1883" t="s">
        <v>28</v>
      </c>
      <c r="E1883" t="s">
        <v>183</v>
      </c>
      <c r="F1883" t="s">
        <v>188</v>
      </c>
      <c r="G1883" t="s">
        <v>144</v>
      </c>
      <c r="H1883" s="3">
        <v>0.45</v>
      </c>
      <c r="I1883">
        <v>4500</v>
      </c>
      <c r="J1883" s="4">
        <v>2025</v>
      </c>
      <c r="K1883" s="4">
        <v>708.75</v>
      </c>
      <c r="L1883" s="5">
        <v>0.35</v>
      </c>
      <c r="M1883" t="s">
        <v>125</v>
      </c>
      <c r="N1883" t="s">
        <v>361</v>
      </c>
    </row>
    <row r="1884" spans="1:14">
      <c r="A1884" t="s">
        <v>151</v>
      </c>
      <c r="B1884">
        <v>1128299</v>
      </c>
      <c r="C1884" s="2">
        <v>44244</v>
      </c>
      <c r="D1884" t="s">
        <v>28</v>
      </c>
      <c r="E1884" t="s">
        <v>183</v>
      </c>
      <c r="F1884" t="s">
        <v>188</v>
      </c>
      <c r="G1884" t="s">
        <v>27</v>
      </c>
      <c r="H1884" s="3">
        <v>0.35000000000000003</v>
      </c>
      <c r="I1884">
        <v>5000</v>
      </c>
      <c r="J1884" s="4">
        <v>1750.0000000000002</v>
      </c>
      <c r="K1884" s="4">
        <v>700</v>
      </c>
      <c r="L1884" s="5">
        <v>0.39999999999999997</v>
      </c>
      <c r="M1884" t="s">
        <v>126</v>
      </c>
      <c r="N1884" t="s">
        <v>361</v>
      </c>
    </row>
    <row r="1885" spans="1:14">
      <c r="A1885" t="s">
        <v>151</v>
      </c>
      <c r="B1885">
        <v>1128299</v>
      </c>
      <c r="C1885" s="2">
        <v>44244</v>
      </c>
      <c r="D1885" t="s">
        <v>28</v>
      </c>
      <c r="E1885" t="s">
        <v>183</v>
      </c>
      <c r="F1885" t="s">
        <v>188</v>
      </c>
      <c r="G1885" t="s">
        <v>145</v>
      </c>
      <c r="H1885" s="3">
        <v>0.45</v>
      </c>
      <c r="I1885">
        <v>4000</v>
      </c>
      <c r="J1885" s="4">
        <v>1800</v>
      </c>
      <c r="K1885" s="4">
        <v>719.99999999999989</v>
      </c>
      <c r="L1885" s="5">
        <v>0.39999999999999997</v>
      </c>
      <c r="M1885" t="s">
        <v>126</v>
      </c>
      <c r="N1885" t="s">
        <v>361</v>
      </c>
    </row>
    <row r="1886" spans="1:14">
      <c r="A1886" t="s">
        <v>151</v>
      </c>
      <c r="B1886">
        <v>1128299</v>
      </c>
      <c r="C1886" s="2">
        <v>44244</v>
      </c>
      <c r="D1886" t="s">
        <v>28</v>
      </c>
      <c r="E1886" t="s">
        <v>183</v>
      </c>
      <c r="F1886" t="s">
        <v>188</v>
      </c>
      <c r="G1886" t="s">
        <v>146</v>
      </c>
      <c r="H1886" s="3">
        <v>0.45</v>
      </c>
      <c r="I1886">
        <v>4000</v>
      </c>
      <c r="J1886" s="4">
        <v>1800</v>
      </c>
      <c r="K1886" s="4">
        <v>719.99999999999989</v>
      </c>
      <c r="L1886" s="5">
        <v>0.39999999999999997</v>
      </c>
      <c r="M1886" t="s">
        <v>126</v>
      </c>
      <c r="N1886" t="s">
        <v>361</v>
      </c>
    </row>
    <row r="1887" spans="1:14">
      <c r="A1887" t="s">
        <v>151</v>
      </c>
      <c r="B1887">
        <v>1128299</v>
      </c>
      <c r="C1887" s="2">
        <v>44244</v>
      </c>
      <c r="D1887" t="s">
        <v>28</v>
      </c>
      <c r="E1887" t="s">
        <v>183</v>
      </c>
      <c r="F1887" t="s">
        <v>188</v>
      </c>
      <c r="G1887" t="s">
        <v>148</v>
      </c>
      <c r="H1887" s="3">
        <v>0.45</v>
      </c>
      <c r="I1887">
        <v>2500</v>
      </c>
      <c r="J1887" s="4">
        <v>1125</v>
      </c>
      <c r="K1887" s="4">
        <v>449.99999999999994</v>
      </c>
      <c r="L1887" s="5">
        <v>0.39999999999999997</v>
      </c>
      <c r="M1887" t="s">
        <v>126</v>
      </c>
      <c r="N1887" t="s">
        <v>361</v>
      </c>
    </row>
    <row r="1888" spans="1:14">
      <c r="A1888" t="s">
        <v>151</v>
      </c>
      <c r="B1888">
        <v>1128299</v>
      </c>
      <c r="C1888" s="2">
        <v>44244</v>
      </c>
      <c r="D1888" t="s">
        <v>28</v>
      </c>
      <c r="E1888" t="s">
        <v>183</v>
      </c>
      <c r="F1888" t="s">
        <v>188</v>
      </c>
      <c r="G1888" t="s">
        <v>147</v>
      </c>
      <c r="H1888" s="3">
        <v>0.50000000000000011</v>
      </c>
      <c r="I1888">
        <v>1750</v>
      </c>
      <c r="J1888" s="4">
        <v>875.00000000000023</v>
      </c>
      <c r="K1888" s="4">
        <v>393.75000000000011</v>
      </c>
      <c r="L1888" s="5">
        <v>0.45</v>
      </c>
      <c r="M1888" t="s">
        <v>126</v>
      </c>
      <c r="N1888" t="s">
        <v>361</v>
      </c>
    </row>
    <row r="1889" spans="1:14">
      <c r="A1889" t="s">
        <v>151</v>
      </c>
      <c r="B1889">
        <v>1128299</v>
      </c>
      <c r="C1889" s="2">
        <v>44244</v>
      </c>
      <c r="D1889" t="s">
        <v>28</v>
      </c>
      <c r="E1889" t="s">
        <v>183</v>
      </c>
      <c r="F1889" t="s">
        <v>188</v>
      </c>
      <c r="G1889" t="s">
        <v>144</v>
      </c>
      <c r="H1889" s="3">
        <v>0.45</v>
      </c>
      <c r="I1889">
        <v>3750</v>
      </c>
      <c r="J1889" s="4">
        <v>1687.5</v>
      </c>
      <c r="K1889" s="4">
        <v>590.625</v>
      </c>
      <c r="L1889" s="5">
        <v>0.35</v>
      </c>
      <c r="M1889" t="s">
        <v>126</v>
      </c>
      <c r="N1889" t="s">
        <v>361</v>
      </c>
    </row>
    <row r="1890" spans="1:14">
      <c r="A1890" t="s">
        <v>151</v>
      </c>
      <c r="B1890">
        <v>1128299</v>
      </c>
      <c r="C1890" s="2">
        <v>44271</v>
      </c>
      <c r="D1890" t="s">
        <v>28</v>
      </c>
      <c r="E1890" t="s">
        <v>183</v>
      </c>
      <c r="F1890" t="s">
        <v>188</v>
      </c>
      <c r="G1890" t="s">
        <v>27</v>
      </c>
      <c r="H1890" s="3">
        <v>0.45</v>
      </c>
      <c r="I1890">
        <v>5250</v>
      </c>
      <c r="J1890" s="4">
        <v>2362.5</v>
      </c>
      <c r="K1890" s="4">
        <v>944.99999999999989</v>
      </c>
      <c r="L1890" s="5">
        <v>0.39999999999999997</v>
      </c>
      <c r="M1890" t="s">
        <v>24</v>
      </c>
      <c r="N1890" t="s">
        <v>361</v>
      </c>
    </row>
    <row r="1891" spans="1:14">
      <c r="A1891" t="s">
        <v>151</v>
      </c>
      <c r="B1891">
        <v>1128299</v>
      </c>
      <c r="C1891" s="2">
        <v>44271</v>
      </c>
      <c r="D1891" t="s">
        <v>28</v>
      </c>
      <c r="E1891" t="s">
        <v>183</v>
      </c>
      <c r="F1891" t="s">
        <v>188</v>
      </c>
      <c r="G1891" t="s">
        <v>145</v>
      </c>
      <c r="H1891" s="3">
        <v>0.55000000000000004</v>
      </c>
      <c r="I1891">
        <v>3750</v>
      </c>
      <c r="J1891" s="4">
        <v>2062.5</v>
      </c>
      <c r="K1891" s="4">
        <v>824.99999999999989</v>
      </c>
      <c r="L1891" s="5">
        <v>0.39999999999999997</v>
      </c>
      <c r="M1891" t="s">
        <v>24</v>
      </c>
      <c r="N1891" t="s">
        <v>361</v>
      </c>
    </row>
    <row r="1892" spans="1:14">
      <c r="A1892" t="s">
        <v>151</v>
      </c>
      <c r="B1892">
        <v>1128299</v>
      </c>
      <c r="C1892" s="2">
        <v>44271</v>
      </c>
      <c r="D1892" t="s">
        <v>28</v>
      </c>
      <c r="E1892" t="s">
        <v>183</v>
      </c>
      <c r="F1892" t="s">
        <v>188</v>
      </c>
      <c r="G1892" t="s">
        <v>146</v>
      </c>
      <c r="H1892" s="3">
        <v>0.6</v>
      </c>
      <c r="I1892">
        <v>4000</v>
      </c>
      <c r="J1892" s="4">
        <v>2400</v>
      </c>
      <c r="K1892" s="4">
        <v>959.99999999999989</v>
      </c>
      <c r="L1892" s="5">
        <v>0.39999999999999997</v>
      </c>
      <c r="M1892" t="s">
        <v>24</v>
      </c>
      <c r="N1892" t="s">
        <v>361</v>
      </c>
    </row>
    <row r="1893" spans="1:14">
      <c r="A1893" t="s">
        <v>151</v>
      </c>
      <c r="B1893">
        <v>1128299</v>
      </c>
      <c r="C1893" s="2">
        <v>44271</v>
      </c>
      <c r="D1893" t="s">
        <v>28</v>
      </c>
      <c r="E1893" t="s">
        <v>183</v>
      </c>
      <c r="F1893" t="s">
        <v>188</v>
      </c>
      <c r="G1893" t="s">
        <v>148</v>
      </c>
      <c r="H1893" s="3">
        <v>0.55000000000000004</v>
      </c>
      <c r="I1893">
        <v>3000</v>
      </c>
      <c r="J1893" s="4">
        <v>1650.0000000000002</v>
      </c>
      <c r="K1893" s="4">
        <v>660</v>
      </c>
      <c r="L1893" s="5">
        <v>0.39999999999999997</v>
      </c>
      <c r="M1893" t="s">
        <v>24</v>
      </c>
      <c r="N1893" t="s">
        <v>361</v>
      </c>
    </row>
    <row r="1894" spans="1:14">
      <c r="A1894" t="s">
        <v>151</v>
      </c>
      <c r="B1894">
        <v>1128299</v>
      </c>
      <c r="C1894" s="2">
        <v>44271</v>
      </c>
      <c r="D1894" t="s">
        <v>28</v>
      </c>
      <c r="E1894" t="s">
        <v>183</v>
      </c>
      <c r="F1894" t="s">
        <v>188</v>
      </c>
      <c r="G1894" t="s">
        <v>147</v>
      </c>
      <c r="H1894" s="3">
        <v>0.60000000000000009</v>
      </c>
      <c r="I1894">
        <v>1500</v>
      </c>
      <c r="J1894" s="4">
        <v>900.00000000000011</v>
      </c>
      <c r="K1894" s="4">
        <v>405.00000000000006</v>
      </c>
      <c r="L1894" s="5">
        <v>0.45</v>
      </c>
      <c r="M1894" t="s">
        <v>24</v>
      </c>
      <c r="N1894" t="s">
        <v>361</v>
      </c>
    </row>
    <row r="1895" spans="1:14">
      <c r="A1895" t="s">
        <v>151</v>
      </c>
      <c r="B1895">
        <v>1128299</v>
      </c>
      <c r="C1895" s="2">
        <v>44271</v>
      </c>
      <c r="D1895" t="s">
        <v>28</v>
      </c>
      <c r="E1895" t="s">
        <v>183</v>
      </c>
      <c r="F1895" t="s">
        <v>188</v>
      </c>
      <c r="G1895" t="s">
        <v>144</v>
      </c>
      <c r="H1895" s="3">
        <v>0.45</v>
      </c>
      <c r="I1895">
        <v>3500</v>
      </c>
      <c r="J1895" s="4">
        <v>1575</v>
      </c>
      <c r="K1895" s="4">
        <v>551.25</v>
      </c>
      <c r="L1895" s="5">
        <v>0.35</v>
      </c>
      <c r="M1895" t="s">
        <v>24</v>
      </c>
      <c r="N1895" t="s">
        <v>361</v>
      </c>
    </row>
    <row r="1896" spans="1:14">
      <c r="A1896" t="s">
        <v>151</v>
      </c>
      <c r="B1896">
        <v>1128299</v>
      </c>
      <c r="C1896" s="2">
        <v>44303</v>
      </c>
      <c r="D1896" t="s">
        <v>28</v>
      </c>
      <c r="E1896" t="s">
        <v>183</v>
      </c>
      <c r="F1896" t="s">
        <v>188</v>
      </c>
      <c r="G1896" t="s">
        <v>27</v>
      </c>
      <c r="H1896" s="3">
        <v>0.5</v>
      </c>
      <c r="I1896">
        <v>5250</v>
      </c>
      <c r="J1896" s="4">
        <v>2625</v>
      </c>
      <c r="K1896" s="4">
        <v>1050</v>
      </c>
      <c r="L1896" s="5">
        <v>0.39999999999999997</v>
      </c>
      <c r="M1896" t="s">
        <v>127</v>
      </c>
      <c r="N1896" t="s">
        <v>362</v>
      </c>
    </row>
    <row r="1897" spans="1:14">
      <c r="A1897" t="s">
        <v>151</v>
      </c>
      <c r="B1897">
        <v>1128299</v>
      </c>
      <c r="C1897" s="2">
        <v>44303</v>
      </c>
      <c r="D1897" t="s">
        <v>28</v>
      </c>
      <c r="E1897" t="s">
        <v>183</v>
      </c>
      <c r="F1897" t="s">
        <v>188</v>
      </c>
      <c r="G1897" t="s">
        <v>145</v>
      </c>
      <c r="H1897" s="3">
        <v>0.55000000000000004</v>
      </c>
      <c r="I1897">
        <v>3250</v>
      </c>
      <c r="J1897" s="4">
        <v>1787.5000000000002</v>
      </c>
      <c r="K1897" s="4">
        <v>715</v>
      </c>
      <c r="L1897" s="5">
        <v>0.39999999999999997</v>
      </c>
      <c r="M1897" t="s">
        <v>127</v>
      </c>
      <c r="N1897" t="s">
        <v>362</v>
      </c>
    </row>
    <row r="1898" spans="1:14">
      <c r="A1898" t="s">
        <v>151</v>
      </c>
      <c r="B1898">
        <v>1128299</v>
      </c>
      <c r="C1898" s="2">
        <v>44303</v>
      </c>
      <c r="D1898" t="s">
        <v>28</v>
      </c>
      <c r="E1898" t="s">
        <v>183</v>
      </c>
      <c r="F1898" t="s">
        <v>188</v>
      </c>
      <c r="G1898" t="s">
        <v>146</v>
      </c>
      <c r="H1898" s="3">
        <v>0.55000000000000004</v>
      </c>
      <c r="I1898">
        <v>3750</v>
      </c>
      <c r="J1898" s="4">
        <v>2062.5</v>
      </c>
      <c r="K1898" s="4">
        <v>824.99999999999989</v>
      </c>
      <c r="L1898" s="5">
        <v>0.39999999999999997</v>
      </c>
      <c r="M1898" t="s">
        <v>127</v>
      </c>
      <c r="N1898" t="s">
        <v>362</v>
      </c>
    </row>
    <row r="1899" spans="1:14">
      <c r="A1899" t="s">
        <v>151</v>
      </c>
      <c r="B1899">
        <v>1128299</v>
      </c>
      <c r="C1899" s="2">
        <v>44303</v>
      </c>
      <c r="D1899" t="s">
        <v>28</v>
      </c>
      <c r="E1899" t="s">
        <v>183</v>
      </c>
      <c r="F1899" t="s">
        <v>188</v>
      </c>
      <c r="G1899" t="s">
        <v>148</v>
      </c>
      <c r="H1899" s="3">
        <v>0.40000000000000008</v>
      </c>
      <c r="I1899">
        <v>2750</v>
      </c>
      <c r="J1899" s="4">
        <v>1100.0000000000002</v>
      </c>
      <c r="K1899" s="4">
        <v>440.00000000000006</v>
      </c>
      <c r="L1899" s="5">
        <v>0.39999999999999997</v>
      </c>
      <c r="M1899" t="s">
        <v>127</v>
      </c>
      <c r="N1899" t="s">
        <v>362</v>
      </c>
    </row>
    <row r="1900" spans="1:14">
      <c r="A1900" t="s">
        <v>151</v>
      </c>
      <c r="B1900">
        <v>1128299</v>
      </c>
      <c r="C1900" s="2">
        <v>44303</v>
      </c>
      <c r="D1900" t="s">
        <v>28</v>
      </c>
      <c r="E1900" t="s">
        <v>183</v>
      </c>
      <c r="F1900" t="s">
        <v>188</v>
      </c>
      <c r="G1900" t="s">
        <v>147</v>
      </c>
      <c r="H1900" s="3">
        <v>0.45000000000000012</v>
      </c>
      <c r="I1900">
        <v>1750</v>
      </c>
      <c r="J1900" s="4">
        <v>787.50000000000023</v>
      </c>
      <c r="K1900" s="4">
        <v>354.37500000000011</v>
      </c>
      <c r="L1900" s="5">
        <v>0.45</v>
      </c>
      <c r="M1900" t="s">
        <v>127</v>
      </c>
      <c r="N1900" t="s">
        <v>362</v>
      </c>
    </row>
    <row r="1901" spans="1:14">
      <c r="A1901" t="s">
        <v>151</v>
      </c>
      <c r="B1901">
        <v>1128299</v>
      </c>
      <c r="C1901" s="2">
        <v>44303</v>
      </c>
      <c r="D1901" t="s">
        <v>28</v>
      </c>
      <c r="E1901" t="s">
        <v>183</v>
      </c>
      <c r="F1901" t="s">
        <v>188</v>
      </c>
      <c r="G1901" t="s">
        <v>144</v>
      </c>
      <c r="H1901" s="3">
        <v>0.60000000000000009</v>
      </c>
      <c r="I1901">
        <v>3500</v>
      </c>
      <c r="J1901" s="4">
        <v>2100.0000000000005</v>
      </c>
      <c r="K1901" s="4">
        <v>735.00000000000011</v>
      </c>
      <c r="L1901" s="5">
        <v>0.35</v>
      </c>
      <c r="M1901" t="s">
        <v>127</v>
      </c>
      <c r="N1901" t="s">
        <v>362</v>
      </c>
    </row>
    <row r="1902" spans="1:14">
      <c r="A1902" t="s">
        <v>151</v>
      </c>
      <c r="B1902">
        <v>1128299</v>
      </c>
      <c r="C1902" s="2">
        <v>44334</v>
      </c>
      <c r="D1902" t="s">
        <v>28</v>
      </c>
      <c r="E1902" t="s">
        <v>183</v>
      </c>
      <c r="F1902" t="s">
        <v>188</v>
      </c>
      <c r="G1902" t="s">
        <v>27</v>
      </c>
      <c r="H1902" s="3">
        <v>0.45</v>
      </c>
      <c r="I1902">
        <v>5500</v>
      </c>
      <c r="J1902" s="4">
        <v>2475</v>
      </c>
      <c r="K1902" s="4">
        <v>989.99999999999989</v>
      </c>
      <c r="L1902" s="5">
        <v>0.39999999999999997</v>
      </c>
      <c r="M1902" t="s">
        <v>128</v>
      </c>
      <c r="N1902" t="s">
        <v>362</v>
      </c>
    </row>
    <row r="1903" spans="1:14">
      <c r="A1903" t="s">
        <v>151</v>
      </c>
      <c r="B1903">
        <v>1128299</v>
      </c>
      <c r="C1903" s="2">
        <v>44334</v>
      </c>
      <c r="D1903" t="s">
        <v>28</v>
      </c>
      <c r="E1903" t="s">
        <v>183</v>
      </c>
      <c r="F1903" t="s">
        <v>188</v>
      </c>
      <c r="G1903" t="s">
        <v>145</v>
      </c>
      <c r="H1903" s="3">
        <v>0.5</v>
      </c>
      <c r="I1903">
        <v>4000</v>
      </c>
      <c r="J1903" s="4">
        <v>2000</v>
      </c>
      <c r="K1903" s="4">
        <v>799.99999999999989</v>
      </c>
      <c r="L1903" s="5">
        <v>0.39999999999999997</v>
      </c>
      <c r="M1903" t="s">
        <v>128</v>
      </c>
      <c r="N1903" t="s">
        <v>362</v>
      </c>
    </row>
    <row r="1904" spans="1:14">
      <c r="A1904" t="s">
        <v>151</v>
      </c>
      <c r="B1904">
        <v>1128299</v>
      </c>
      <c r="C1904" s="2">
        <v>44334</v>
      </c>
      <c r="D1904" t="s">
        <v>28</v>
      </c>
      <c r="E1904" t="s">
        <v>183</v>
      </c>
      <c r="F1904" t="s">
        <v>188</v>
      </c>
      <c r="G1904" t="s">
        <v>146</v>
      </c>
      <c r="H1904" s="3">
        <v>0.5</v>
      </c>
      <c r="I1904">
        <v>4000</v>
      </c>
      <c r="J1904" s="4">
        <v>2000</v>
      </c>
      <c r="K1904" s="4">
        <v>799.99999999999989</v>
      </c>
      <c r="L1904" s="5">
        <v>0.39999999999999997</v>
      </c>
      <c r="M1904" t="s">
        <v>128</v>
      </c>
      <c r="N1904" t="s">
        <v>362</v>
      </c>
    </row>
    <row r="1905" spans="1:14">
      <c r="A1905" t="s">
        <v>151</v>
      </c>
      <c r="B1905">
        <v>1128299</v>
      </c>
      <c r="C1905" s="2">
        <v>44334</v>
      </c>
      <c r="D1905" t="s">
        <v>28</v>
      </c>
      <c r="E1905" t="s">
        <v>183</v>
      </c>
      <c r="F1905" t="s">
        <v>188</v>
      </c>
      <c r="G1905" t="s">
        <v>148</v>
      </c>
      <c r="H1905" s="3">
        <v>0.45</v>
      </c>
      <c r="I1905">
        <v>3250</v>
      </c>
      <c r="J1905" s="4">
        <v>1462.5</v>
      </c>
      <c r="K1905" s="4">
        <v>585</v>
      </c>
      <c r="L1905" s="5">
        <v>0.39999999999999997</v>
      </c>
      <c r="M1905" t="s">
        <v>128</v>
      </c>
      <c r="N1905" t="s">
        <v>362</v>
      </c>
    </row>
    <row r="1906" spans="1:14">
      <c r="A1906" t="s">
        <v>151</v>
      </c>
      <c r="B1906">
        <v>1128299</v>
      </c>
      <c r="C1906" s="2">
        <v>44334</v>
      </c>
      <c r="D1906" t="s">
        <v>28</v>
      </c>
      <c r="E1906" t="s">
        <v>183</v>
      </c>
      <c r="F1906" t="s">
        <v>188</v>
      </c>
      <c r="G1906" t="s">
        <v>147</v>
      </c>
      <c r="H1906" s="3">
        <v>0.39999999999999997</v>
      </c>
      <c r="I1906">
        <v>2250</v>
      </c>
      <c r="J1906" s="4">
        <v>899.99999999999989</v>
      </c>
      <c r="K1906" s="4">
        <v>404.99999999999994</v>
      </c>
      <c r="L1906" s="5">
        <v>0.45</v>
      </c>
      <c r="M1906" t="s">
        <v>128</v>
      </c>
      <c r="N1906" t="s">
        <v>362</v>
      </c>
    </row>
    <row r="1907" spans="1:14">
      <c r="A1907" t="s">
        <v>151</v>
      </c>
      <c r="B1907">
        <v>1128299</v>
      </c>
      <c r="C1907" s="2">
        <v>44334</v>
      </c>
      <c r="D1907" t="s">
        <v>28</v>
      </c>
      <c r="E1907" t="s">
        <v>183</v>
      </c>
      <c r="F1907" t="s">
        <v>188</v>
      </c>
      <c r="G1907" t="s">
        <v>144</v>
      </c>
      <c r="H1907" s="3">
        <v>0.65</v>
      </c>
      <c r="I1907">
        <v>5750</v>
      </c>
      <c r="J1907" s="4">
        <v>3737.5</v>
      </c>
      <c r="K1907" s="4">
        <v>1308.125</v>
      </c>
      <c r="L1907" s="5">
        <v>0.35</v>
      </c>
      <c r="M1907" t="s">
        <v>128</v>
      </c>
      <c r="N1907" t="s">
        <v>362</v>
      </c>
    </row>
    <row r="1908" spans="1:14">
      <c r="A1908" t="s">
        <v>151</v>
      </c>
      <c r="B1908">
        <v>1128299</v>
      </c>
      <c r="C1908" s="2">
        <v>44364</v>
      </c>
      <c r="D1908" t="s">
        <v>28</v>
      </c>
      <c r="E1908" t="s">
        <v>183</v>
      </c>
      <c r="F1908" t="s">
        <v>188</v>
      </c>
      <c r="G1908" t="s">
        <v>27</v>
      </c>
      <c r="H1908" s="3">
        <v>0.6</v>
      </c>
      <c r="I1908">
        <v>8250</v>
      </c>
      <c r="J1908" s="4">
        <v>4950</v>
      </c>
      <c r="K1908" s="4">
        <v>1979.9999999999998</v>
      </c>
      <c r="L1908" s="5">
        <v>0.39999999999999997</v>
      </c>
      <c r="M1908" t="s">
        <v>129</v>
      </c>
      <c r="N1908" t="s">
        <v>362</v>
      </c>
    </row>
    <row r="1909" spans="1:14">
      <c r="A1909" t="s">
        <v>151</v>
      </c>
      <c r="B1909">
        <v>1128299</v>
      </c>
      <c r="C1909" s="2">
        <v>44364</v>
      </c>
      <c r="D1909" t="s">
        <v>28</v>
      </c>
      <c r="E1909" t="s">
        <v>183</v>
      </c>
      <c r="F1909" t="s">
        <v>188</v>
      </c>
      <c r="G1909" t="s">
        <v>145</v>
      </c>
      <c r="H1909" s="3">
        <v>0.7</v>
      </c>
      <c r="I1909">
        <v>7000</v>
      </c>
      <c r="J1909" s="4">
        <v>4900</v>
      </c>
      <c r="K1909" s="4">
        <v>1959.9999999999998</v>
      </c>
      <c r="L1909" s="5">
        <v>0.39999999999999997</v>
      </c>
      <c r="M1909" t="s">
        <v>129</v>
      </c>
      <c r="N1909" t="s">
        <v>362</v>
      </c>
    </row>
    <row r="1910" spans="1:14">
      <c r="A1910" t="s">
        <v>151</v>
      </c>
      <c r="B1910">
        <v>1128299</v>
      </c>
      <c r="C1910" s="2">
        <v>44364</v>
      </c>
      <c r="D1910" t="s">
        <v>28</v>
      </c>
      <c r="E1910" t="s">
        <v>183</v>
      </c>
      <c r="F1910" t="s">
        <v>188</v>
      </c>
      <c r="G1910" t="s">
        <v>146</v>
      </c>
      <c r="H1910" s="3">
        <v>0.85</v>
      </c>
      <c r="I1910">
        <v>7000</v>
      </c>
      <c r="J1910" s="4">
        <v>5950</v>
      </c>
      <c r="K1910" s="4">
        <v>2380</v>
      </c>
      <c r="L1910" s="5">
        <v>0.39999999999999997</v>
      </c>
      <c r="M1910" t="s">
        <v>129</v>
      </c>
      <c r="N1910" t="s">
        <v>362</v>
      </c>
    </row>
    <row r="1911" spans="1:14">
      <c r="A1911" t="s">
        <v>151</v>
      </c>
      <c r="B1911">
        <v>1128299</v>
      </c>
      <c r="C1911" s="2">
        <v>44364</v>
      </c>
      <c r="D1911" t="s">
        <v>28</v>
      </c>
      <c r="E1911" t="s">
        <v>183</v>
      </c>
      <c r="F1911" t="s">
        <v>188</v>
      </c>
      <c r="G1911" t="s">
        <v>148</v>
      </c>
      <c r="H1911" s="3">
        <v>0.85</v>
      </c>
      <c r="I1911">
        <v>5750</v>
      </c>
      <c r="J1911" s="4">
        <v>4887.5</v>
      </c>
      <c r="K1911" s="4">
        <v>1954.9999999999998</v>
      </c>
      <c r="L1911" s="5">
        <v>0.39999999999999997</v>
      </c>
      <c r="M1911" t="s">
        <v>129</v>
      </c>
      <c r="N1911" t="s">
        <v>362</v>
      </c>
    </row>
    <row r="1912" spans="1:14">
      <c r="A1912" t="s">
        <v>151</v>
      </c>
      <c r="B1912">
        <v>1128299</v>
      </c>
      <c r="C1912" s="2">
        <v>44364</v>
      </c>
      <c r="D1912" t="s">
        <v>28</v>
      </c>
      <c r="E1912" t="s">
        <v>183</v>
      </c>
      <c r="F1912" t="s">
        <v>188</v>
      </c>
      <c r="G1912" t="s">
        <v>147</v>
      </c>
      <c r="H1912" s="3">
        <v>0.95000000000000007</v>
      </c>
      <c r="I1912">
        <v>4500</v>
      </c>
      <c r="J1912" s="4">
        <v>4275</v>
      </c>
      <c r="K1912" s="4">
        <v>1923.75</v>
      </c>
      <c r="L1912" s="5">
        <v>0.45</v>
      </c>
      <c r="M1912" t="s">
        <v>129</v>
      </c>
      <c r="N1912" t="s">
        <v>362</v>
      </c>
    </row>
    <row r="1913" spans="1:14">
      <c r="A1913" t="s">
        <v>151</v>
      </c>
      <c r="B1913">
        <v>1128299</v>
      </c>
      <c r="C1913" s="2">
        <v>44364</v>
      </c>
      <c r="D1913" t="s">
        <v>28</v>
      </c>
      <c r="E1913" t="s">
        <v>183</v>
      </c>
      <c r="F1913" t="s">
        <v>188</v>
      </c>
      <c r="G1913" t="s">
        <v>144</v>
      </c>
      <c r="H1913" s="3">
        <v>1.1000000000000001</v>
      </c>
      <c r="I1913">
        <v>7500</v>
      </c>
      <c r="J1913" s="4">
        <v>8250</v>
      </c>
      <c r="K1913" s="4">
        <v>2887.5</v>
      </c>
      <c r="L1913" s="5">
        <v>0.35</v>
      </c>
      <c r="M1913" t="s">
        <v>129</v>
      </c>
      <c r="N1913" t="s">
        <v>362</v>
      </c>
    </row>
    <row r="1914" spans="1:14">
      <c r="A1914" t="s">
        <v>151</v>
      </c>
      <c r="B1914">
        <v>1128299</v>
      </c>
      <c r="C1914" s="2">
        <v>44393</v>
      </c>
      <c r="D1914" t="s">
        <v>28</v>
      </c>
      <c r="E1914" t="s">
        <v>183</v>
      </c>
      <c r="F1914" t="s">
        <v>188</v>
      </c>
      <c r="G1914" t="s">
        <v>27</v>
      </c>
      <c r="H1914" s="3">
        <v>0.9</v>
      </c>
      <c r="I1914">
        <v>9000</v>
      </c>
      <c r="J1914" s="4">
        <v>8100</v>
      </c>
      <c r="K1914" s="4">
        <v>3239.9999999999995</v>
      </c>
      <c r="L1914" s="5">
        <v>0.39999999999999997</v>
      </c>
      <c r="M1914" t="s">
        <v>130</v>
      </c>
      <c r="N1914" t="s">
        <v>363</v>
      </c>
    </row>
    <row r="1915" spans="1:14">
      <c r="A1915" t="s">
        <v>151</v>
      </c>
      <c r="B1915">
        <v>1128299</v>
      </c>
      <c r="C1915" s="2">
        <v>44393</v>
      </c>
      <c r="D1915" t="s">
        <v>28</v>
      </c>
      <c r="E1915" t="s">
        <v>183</v>
      </c>
      <c r="F1915" t="s">
        <v>188</v>
      </c>
      <c r="G1915" t="s">
        <v>145</v>
      </c>
      <c r="H1915" s="3">
        <v>0.95000000000000007</v>
      </c>
      <c r="I1915">
        <v>7500</v>
      </c>
      <c r="J1915" s="4">
        <v>7125.0000000000009</v>
      </c>
      <c r="K1915" s="4">
        <v>2850</v>
      </c>
      <c r="L1915" s="5">
        <v>0.39999999999999997</v>
      </c>
      <c r="M1915" t="s">
        <v>130</v>
      </c>
      <c r="N1915" t="s">
        <v>363</v>
      </c>
    </row>
    <row r="1916" spans="1:14">
      <c r="A1916" t="s">
        <v>151</v>
      </c>
      <c r="B1916">
        <v>1128299</v>
      </c>
      <c r="C1916" s="2">
        <v>44393</v>
      </c>
      <c r="D1916" t="s">
        <v>28</v>
      </c>
      <c r="E1916" t="s">
        <v>183</v>
      </c>
      <c r="F1916" t="s">
        <v>188</v>
      </c>
      <c r="G1916" t="s">
        <v>146</v>
      </c>
      <c r="H1916" s="3">
        <v>0.95000000000000007</v>
      </c>
      <c r="I1916">
        <v>7000</v>
      </c>
      <c r="J1916" s="4">
        <v>6650.0000000000009</v>
      </c>
      <c r="K1916" s="4">
        <v>2660</v>
      </c>
      <c r="L1916" s="5">
        <v>0.39999999999999997</v>
      </c>
      <c r="M1916" t="s">
        <v>130</v>
      </c>
      <c r="N1916" t="s">
        <v>363</v>
      </c>
    </row>
    <row r="1917" spans="1:14">
      <c r="A1917" t="s">
        <v>151</v>
      </c>
      <c r="B1917">
        <v>1128299</v>
      </c>
      <c r="C1917" s="2">
        <v>44393</v>
      </c>
      <c r="D1917" t="s">
        <v>28</v>
      </c>
      <c r="E1917" t="s">
        <v>183</v>
      </c>
      <c r="F1917" t="s">
        <v>188</v>
      </c>
      <c r="G1917" t="s">
        <v>148</v>
      </c>
      <c r="H1917" s="3">
        <v>0.9</v>
      </c>
      <c r="I1917">
        <v>6000</v>
      </c>
      <c r="J1917" s="4">
        <v>5400</v>
      </c>
      <c r="K1917" s="4">
        <v>2160</v>
      </c>
      <c r="L1917" s="5">
        <v>0.39999999999999997</v>
      </c>
      <c r="M1917" t="s">
        <v>130</v>
      </c>
      <c r="N1917" t="s">
        <v>363</v>
      </c>
    </row>
    <row r="1918" spans="1:14">
      <c r="A1918" t="s">
        <v>151</v>
      </c>
      <c r="B1918">
        <v>1128299</v>
      </c>
      <c r="C1918" s="2">
        <v>44393</v>
      </c>
      <c r="D1918" t="s">
        <v>28</v>
      </c>
      <c r="E1918" t="s">
        <v>183</v>
      </c>
      <c r="F1918" t="s">
        <v>188</v>
      </c>
      <c r="G1918" t="s">
        <v>147</v>
      </c>
      <c r="H1918" s="3">
        <v>0.95000000000000007</v>
      </c>
      <c r="I1918">
        <v>6500</v>
      </c>
      <c r="J1918" s="4">
        <v>6175</v>
      </c>
      <c r="K1918" s="4">
        <v>2778.75</v>
      </c>
      <c r="L1918" s="5">
        <v>0.45</v>
      </c>
      <c r="M1918" t="s">
        <v>130</v>
      </c>
      <c r="N1918" t="s">
        <v>363</v>
      </c>
    </row>
    <row r="1919" spans="1:14">
      <c r="A1919" t="s">
        <v>151</v>
      </c>
      <c r="B1919">
        <v>1128299</v>
      </c>
      <c r="C1919" s="2">
        <v>44393</v>
      </c>
      <c r="D1919" t="s">
        <v>28</v>
      </c>
      <c r="E1919" t="s">
        <v>183</v>
      </c>
      <c r="F1919" t="s">
        <v>188</v>
      </c>
      <c r="G1919" t="s">
        <v>144</v>
      </c>
      <c r="H1919" s="3">
        <v>1.1000000000000001</v>
      </c>
      <c r="I1919">
        <v>6500</v>
      </c>
      <c r="J1919" s="4">
        <v>7150.0000000000009</v>
      </c>
      <c r="K1919" s="4">
        <v>2502.5</v>
      </c>
      <c r="L1919" s="5">
        <v>0.35</v>
      </c>
      <c r="M1919" t="s">
        <v>130</v>
      </c>
      <c r="N1919" t="s">
        <v>363</v>
      </c>
    </row>
    <row r="1920" spans="1:14">
      <c r="A1920" t="s">
        <v>151</v>
      </c>
      <c r="B1920">
        <v>1128299</v>
      </c>
      <c r="C1920" s="2">
        <v>44425</v>
      </c>
      <c r="D1920" t="s">
        <v>28</v>
      </c>
      <c r="E1920" t="s">
        <v>183</v>
      </c>
      <c r="F1920" t="s">
        <v>188</v>
      </c>
      <c r="G1920" t="s">
        <v>27</v>
      </c>
      <c r="H1920" s="3">
        <v>0.95000000000000007</v>
      </c>
      <c r="I1920">
        <v>8500</v>
      </c>
      <c r="J1920" s="4">
        <v>8075.0000000000009</v>
      </c>
      <c r="K1920" s="4">
        <v>3230</v>
      </c>
      <c r="L1920" s="5">
        <v>0.39999999999999997</v>
      </c>
      <c r="M1920" t="s">
        <v>131</v>
      </c>
      <c r="N1920" t="s">
        <v>363</v>
      </c>
    </row>
    <row r="1921" spans="1:14">
      <c r="A1921" t="s">
        <v>151</v>
      </c>
      <c r="B1921">
        <v>1128299</v>
      </c>
      <c r="C1921" s="2">
        <v>44425</v>
      </c>
      <c r="D1921" t="s">
        <v>28</v>
      </c>
      <c r="E1921" t="s">
        <v>183</v>
      </c>
      <c r="F1921" t="s">
        <v>188</v>
      </c>
      <c r="G1921" t="s">
        <v>145</v>
      </c>
      <c r="H1921" s="3">
        <v>0.85000000000000009</v>
      </c>
      <c r="I1921">
        <v>8250</v>
      </c>
      <c r="J1921" s="4">
        <v>7012.5000000000009</v>
      </c>
      <c r="K1921" s="4">
        <v>2805</v>
      </c>
      <c r="L1921" s="5">
        <v>0.39999999999999997</v>
      </c>
      <c r="M1921" t="s">
        <v>131</v>
      </c>
      <c r="N1921" t="s">
        <v>363</v>
      </c>
    </row>
    <row r="1922" spans="1:14">
      <c r="A1922" t="s">
        <v>151</v>
      </c>
      <c r="B1922">
        <v>1128299</v>
      </c>
      <c r="C1922" s="2">
        <v>44425</v>
      </c>
      <c r="D1922" t="s">
        <v>28</v>
      </c>
      <c r="E1922" t="s">
        <v>183</v>
      </c>
      <c r="F1922" t="s">
        <v>188</v>
      </c>
      <c r="G1922" t="s">
        <v>146</v>
      </c>
      <c r="H1922" s="3">
        <v>0.75000000000000011</v>
      </c>
      <c r="I1922">
        <v>7000</v>
      </c>
      <c r="J1922" s="4">
        <v>5250.0000000000009</v>
      </c>
      <c r="K1922" s="4">
        <v>2100</v>
      </c>
      <c r="L1922" s="5">
        <v>0.39999999999999997</v>
      </c>
      <c r="M1922" t="s">
        <v>131</v>
      </c>
      <c r="N1922" t="s">
        <v>363</v>
      </c>
    </row>
    <row r="1923" spans="1:14">
      <c r="A1923" t="s">
        <v>151</v>
      </c>
      <c r="B1923">
        <v>1128299</v>
      </c>
      <c r="C1923" s="2">
        <v>44425</v>
      </c>
      <c r="D1923" t="s">
        <v>28</v>
      </c>
      <c r="E1923" t="s">
        <v>183</v>
      </c>
      <c r="F1923" t="s">
        <v>188</v>
      </c>
      <c r="G1923" t="s">
        <v>148</v>
      </c>
      <c r="H1923" s="3">
        <v>0.75000000000000011</v>
      </c>
      <c r="I1923">
        <v>4750</v>
      </c>
      <c r="J1923" s="4">
        <v>3562.5000000000005</v>
      </c>
      <c r="K1923" s="4">
        <v>1425</v>
      </c>
      <c r="L1923" s="5">
        <v>0.39999999999999997</v>
      </c>
      <c r="M1923" t="s">
        <v>131</v>
      </c>
      <c r="N1923" t="s">
        <v>363</v>
      </c>
    </row>
    <row r="1924" spans="1:14">
      <c r="A1924" t="s">
        <v>151</v>
      </c>
      <c r="B1924">
        <v>1128299</v>
      </c>
      <c r="C1924" s="2">
        <v>44425</v>
      </c>
      <c r="D1924" t="s">
        <v>28</v>
      </c>
      <c r="E1924" t="s">
        <v>183</v>
      </c>
      <c r="F1924" t="s">
        <v>188</v>
      </c>
      <c r="G1924" t="s">
        <v>147</v>
      </c>
      <c r="H1924" s="3">
        <v>0.64999999999999991</v>
      </c>
      <c r="I1924">
        <v>4750</v>
      </c>
      <c r="J1924" s="4">
        <v>3087.4999999999995</v>
      </c>
      <c r="K1924" s="4">
        <v>1389.3749999999998</v>
      </c>
      <c r="L1924" s="5">
        <v>0.45</v>
      </c>
      <c r="M1924" t="s">
        <v>131</v>
      </c>
      <c r="N1924" t="s">
        <v>363</v>
      </c>
    </row>
    <row r="1925" spans="1:14">
      <c r="A1925" t="s">
        <v>151</v>
      </c>
      <c r="B1925">
        <v>1128299</v>
      </c>
      <c r="C1925" s="2">
        <v>44425</v>
      </c>
      <c r="D1925" t="s">
        <v>28</v>
      </c>
      <c r="E1925" t="s">
        <v>183</v>
      </c>
      <c r="F1925" t="s">
        <v>188</v>
      </c>
      <c r="G1925" t="s">
        <v>144</v>
      </c>
      <c r="H1925" s="3">
        <v>0.7</v>
      </c>
      <c r="I1925">
        <v>3000</v>
      </c>
      <c r="J1925" s="4">
        <v>2100</v>
      </c>
      <c r="K1925" s="4">
        <v>735</v>
      </c>
      <c r="L1925" s="5">
        <v>0.35</v>
      </c>
      <c r="M1925" t="s">
        <v>131</v>
      </c>
      <c r="N1925" t="s">
        <v>363</v>
      </c>
    </row>
    <row r="1926" spans="1:14">
      <c r="A1926" t="s">
        <v>151</v>
      </c>
      <c r="B1926">
        <v>1128299</v>
      </c>
      <c r="C1926" s="2">
        <v>44457</v>
      </c>
      <c r="D1926" t="s">
        <v>28</v>
      </c>
      <c r="E1926" t="s">
        <v>183</v>
      </c>
      <c r="F1926" t="s">
        <v>188</v>
      </c>
      <c r="G1926" t="s">
        <v>27</v>
      </c>
      <c r="H1926" s="3">
        <v>0.45000000000000012</v>
      </c>
      <c r="I1926">
        <v>5000</v>
      </c>
      <c r="J1926" s="4">
        <v>2250.0000000000005</v>
      </c>
      <c r="K1926" s="4">
        <v>900.00000000000011</v>
      </c>
      <c r="L1926" s="5">
        <v>0.39999999999999997</v>
      </c>
      <c r="M1926" t="s">
        <v>132</v>
      </c>
      <c r="N1926" t="s">
        <v>363</v>
      </c>
    </row>
    <row r="1927" spans="1:14">
      <c r="A1927" t="s">
        <v>151</v>
      </c>
      <c r="B1927">
        <v>1128299</v>
      </c>
      <c r="C1927" s="2">
        <v>44457</v>
      </c>
      <c r="D1927" t="s">
        <v>28</v>
      </c>
      <c r="E1927" t="s">
        <v>183</v>
      </c>
      <c r="F1927" t="s">
        <v>188</v>
      </c>
      <c r="G1927" t="s">
        <v>145</v>
      </c>
      <c r="H1927" s="3">
        <v>0.50000000000000011</v>
      </c>
      <c r="I1927">
        <v>5000</v>
      </c>
      <c r="J1927" s="4">
        <v>2500.0000000000005</v>
      </c>
      <c r="K1927" s="4">
        <v>1000.0000000000001</v>
      </c>
      <c r="L1927" s="5">
        <v>0.39999999999999997</v>
      </c>
      <c r="M1927" t="s">
        <v>132</v>
      </c>
      <c r="N1927" t="s">
        <v>363</v>
      </c>
    </row>
    <row r="1928" spans="1:14">
      <c r="A1928" t="s">
        <v>151</v>
      </c>
      <c r="B1928">
        <v>1128299</v>
      </c>
      <c r="C1928" s="2">
        <v>44457</v>
      </c>
      <c r="D1928" t="s">
        <v>28</v>
      </c>
      <c r="E1928" t="s">
        <v>183</v>
      </c>
      <c r="F1928" t="s">
        <v>188</v>
      </c>
      <c r="G1928" t="s">
        <v>146</v>
      </c>
      <c r="H1928" s="3">
        <v>0.45000000000000012</v>
      </c>
      <c r="I1928">
        <v>3000</v>
      </c>
      <c r="J1928" s="4">
        <v>1350.0000000000005</v>
      </c>
      <c r="K1928" s="4">
        <v>540.00000000000011</v>
      </c>
      <c r="L1928" s="5">
        <v>0.39999999999999997</v>
      </c>
      <c r="M1928" t="s">
        <v>132</v>
      </c>
      <c r="N1928" t="s">
        <v>363</v>
      </c>
    </row>
    <row r="1929" spans="1:14">
      <c r="A1929" t="s">
        <v>151</v>
      </c>
      <c r="B1929">
        <v>1128299</v>
      </c>
      <c r="C1929" s="2">
        <v>44457</v>
      </c>
      <c r="D1929" t="s">
        <v>28</v>
      </c>
      <c r="E1929" t="s">
        <v>183</v>
      </c>
      <c r="F1929" t="s">
        <v>188</v>
      </c>
      <c r="G1929" t="s">
        <v>148</v>
      </c>
      <c r="H1929" s="3">
        <v>0.45000000000000012</v>
      </c>
      <c r="I1929">
        <v>2500</v>
      </c>
      <c r="J1929" s="4">
        <v>1125.0000000000002</v>
      </c>
      <c r="K1929" s="4">
        <v>450.00000000000006</v>
      </c>
      <c r="L1929" s="5">
        <v>0.39999999999999997</v>
      </c>
      <c r="M1929" t="s">
        <v>132</v>
      </c>
      <c r="N1929" t="s">
        <v>363</v>
      </c>
    </row>
    <row r="1930" spans="1:14">
      <c r="A1930" t="s">
        <v>151</v>
      </c>
      <c r="B1930">
        <v>1128299</v>
      </c>
      <c r="C1930" s="2">
        <v>44457</v>
      </c>
      <c r="D1930" t="s">
        <v>28</v>
      </c>
      <c r="E1930" t="s">
        <v>183</v>
      </c>
      <c r="F1930" t="s">
        <v>188</v>
      </c>
      <c r="G1930" t="s">
        <v>147</v>
      </c>
      <c r="H1930" s="3">
        <v>0.55000000000000004</v>
      </c>
      <c r="I1930">
        <v>2750</v>
      </c>
      <c r="J1930" s="4">
        <v>1512.5000000000002</v>
      </c>
      <c r="K1930" s="4">
        <v>680.62500000000011</v>
      </c>
      <c r="L1930" s="5">
        <v>0.45</v>
      </c>
      <c r="M1930" t="s">
        <v>132</v>
      </c>
      <c r="N1930" t="s">
        <v>363</v>
      </c>
    </row>
    <row r="1931" spans="1:14">
      <c r="A1931" t="s">
        <v>151</v>
      </c>
      <c r="B1931">
        <v>1128299</v>
      </c>
      <c r="C1931" s="2">
        <v>44457</v>
      </c>
      <c r="D1931" t="s">
        <v>28</v>
      </c>
      <c r="E1931" t="s">
        <v>183</v>
      </c>
      <c r="F1931" t="s">
        <v>188</v>
      </c>
      <c r="G1931" t="s">
        <v>144</v>
      </c>
      <c r="H1931" s="3">
        <v>0.39999999999999997</v>
      </c>
      <c r="I1931">
        <v>3000</v>
      </c>
      <c r="J1931" s="4">
        <v>1200</v>
      </c>
      <c r="K1931" s="4">
        <v>420</v>
      </c>
      <c r="L1931" s="5">
        <v>0.35</v>
      </c>
      <c r="M1931" t="s">
        <v>132</v>
      </c>
      <c r="N1931" t="s">
        <v>363</v>
      </c>
    </row>
    <row r="1932" spans="1:14">
      <c r="A1932" t="s">
        <v>151</v>
      </c>
      <c r="B1932">
        <v>1128299</v>
      </c>
      <c r="C1932" s="2">
        <v>44486</v>
      </c>
      <c r="D1932" t="s">
        <v>28</v>
      </c>
      <c r="E1932" t="s">
        <v>183</v>
      </c>
      <c r="F1932" t="s">
        <v>188</v>
      </c>
      <c r="G1932" t="s">
        <v>27</v>
      </c>
      <c r="H1932" s="3">
        <v>0.35000000000000003</v>
      </c>
      <c r="I1932">
        <v>4000</v>
      </c>
      <c r="J1932" s="4">
        <v>1400.0000000000002</v>
      </c>
      <c r="K1932" s="4">
        <v>560</v>
      </c>
      <c r="L1932" s="5">
        <v>0.39999999999999997</v>
      </c>
      <c r="M1932" t="s">
        <v>133</v>
      </c>
      <c r="N1932" t="s">
        <v>364</v>
      </c>
    </row>
    <row r="1933" spans="1:14">
      <c r="A1933" t="s">
        <v>151</v>
      </c>
      <c r="B1933">
        <v>1128299</v>
      </c>
      <c r="C1933" s="2">
        <v>44486</v>
      </c>
      <c r="D1933" t="s">
        <v>28</v>
      </c>
      <c r="E1933" t="s">
        <v>183</v>
      </c>
      <c r="F1933" t="s">
        <v>188</v>
      </c>
      <c r="G1933" t="s">
        <v>145</v>
      </c>
      <c r="H1933" s="3">
        <v>0.50000000000000011</v>
      </c>
      <c r="I1933">
        <v>5750</v>
      </c>
      <c r="J1933" s="4">
        <v>2875.0000000000005</v>
      </c>
      <c r="K1933" s="4">
        <v>1150</v>
      </c>
      <c r="L1933" s="5">
        <v>0.39999999999999997</v>
      </c>
      <c r="M1933" t="s">
        <v>133</v>
      </c>
      <c r="N1933" t="s">
        <v>364</v>
      </c>
    </row>
    <row r="1934" spans="1:14">
      <c r="A1934" t="s">
        <v>151</v>
      </c>
      <c r="B1934">
        <v>1128299</v>
      </c>
      <c r="C1934" s="2">
        <v>44486</v>
      </c>
      <c r="D1934" t="s">
        <v>28</v>
      </c>
      <c r="E1934" t="s">
        <v>183</v>
      </c>
      <c r="F1934" t="s">
        <v>188</v>
      </c>
      <c r="G1934" t="s">
        <v>146</v>
      </c>
      <c r="H1934" s="3">
        <v>0.45000000000000012</v>
      </c>
      <c r="I1934">
        <v>4000</v>
      </c>
      <c r="J1934" s="4">
        <v>1800.0000000000005</v>
      </c>
      <c r="K1934" s="4">
        <v>720.00000000000011</v>
      </c>
      <c r="L1934" s="5">
        <v>0.39999999999999997</v>
      </c>
      <c r="M1934" t="s">
        <v>133</v>
      </c>
      <c r="N1934" t="s">
        <v>364</v>
      </c>
    </row>
    <row r="1935" spans="1:14">
      <c r="A1935" t="s">
        <v>151</v>
      </c>
      <c r="B1935">
        <v>1128299</v>
      </c>
      <c r="C1935" s="2">
        <v>44486</v>
      </c>
      <c r="D1935" t="s">
        <v>28</v>
      </c>
      <c r="E1935" t="s">
        <v>183</v>
      </c>
      <c r="F1935" t="s">
        <v>188</v>
      </c>
      <c r="G1935" t="s">
        <v>148</v>
      </c>
      <c r="H1935" s="3">
        <v>0.40000000000000008</v>
      </c>
      <c r="I1935">
        <v>3750</v>
      </c>
      <c r="J1935" s="4">
        <v>1500.0000000000002</v>
      </c>
      <c r="K1935" s="4">
        <v>600</v>
      </c>
      <c r="L1935" s="5">
        <v>0.39999999999999997</v>
      </c>
      <c r="M1935" t="s">
        <v>133</v>
      </c>
      <c r="N1935" t="s">
        <v>364</v>
      </c>
    </row>
    <row r="1936" spans="1:14">
      <c r="A1936" t="s">
        <v>151</v>
      </c>
      <c r="B1936">
        <v>1128299</v>
      </c>
      <c r="C1936" s="2">
        <v>44486</v>
      </c>
      <c r="D1936" t="s">
        <v>28</v>
      </c>
      <c r="E1936" t="s">
        <v>183</v>
      </c>
      <c r="F1936" t="s">
        <v>188</v>
      </c>
      <c r="G1936" t="s">
        <v>147</v>
      </c>
      <c r="H1936" s="3">
        <v>0.5</v>
      </c>
      <c r="I1936">
        <v>3500</v>
      </c>
      <c r="J1936" s="4">
        <v>1750</v>
      </c>
      <c r="K1936" s="4">
        <v>787.5</v>
      </c>
      <c r="L1936" s="5">
        <v>0.45</v>
      </c>
      <c r="M1936" t="s">
        <v>133</v>
      </c>
      <c r="N1936" t="s">
        <v>364</v>
      </c>
    </row>
    <row r="1937" spans="1:14">
      <c r="A1937" t="s">
        <v>151</v>
      </c>
      <c r="B1937">
        <v>1128299</v>
      </c>
      <c r="C1937" s="2">
        <v>44486</v>
      </c>
      <c r="D1937" t="s">
        <v>28</v>
      </c>
      <c r="E1937" t="s">
        <v>183</v>
      </c>
      <c r="F1937" t="s">
        <v>188</v>
      </c>
      <c r="G1937" t="s">
        <v>144</v>
      </c>
      <c r="H1937" s="3">
        <v>0.55000000000000004</v>
      </c>
      <c r="I1937">
        <v>4000</v>
      </c>
      <c r="J1937" s="4">
        <v>2200</v>
      </c>
      <c r="K1937" s="4">
        <v>770</v>
      </c>
      <c r="L1937" s="5">
        <v>0.35</v>
      </c>
      <c r="M1937" t="s">
        <v>133</v>
      </c>
      <c r="N1937" t="s">
        <v>364</v>
      </c>
    </row>
    <row r="1938" spans="1:14">
      <c r="A1938" t="s">
        <v>151</v>
      </c>
      <c r="B1938">
        <v>1128299</v>
      </c>
      <c r="C1938" s="2">
        <v>44517</v>
      </c>
      <c r="D1938" t="s">
        <v>28</v>
      </c>
      <c r="E1938" t="s">
        <v>183</v>
      </c>
      <c r="F1938" t="s">
        <v>188</v>
      </c>
      <c r="G1938" t="s">
        <v>27</v>
      </c>
      <c r="H1938" s="3">
        <v>0.40000000000000008</v>
      </c>
      <c r="I1938">
        <v>6250</v>
      </c>
      <c r="J1938" s="4">
        <v>2500.0000000000005</v>
      </c>
      <c r="K1938" s="4">
        <v>1000.0000000000001</v>
      </c>
      <c r="L1938" s="5">
        <v>0.39999999999999997</v>
      </c>
      <c r="M1938" t="s">
        <v>134</v>
      </c>
      <c r="N1938" t="s">
        <v>364</v>
      </c>
    </row>
    <row r="1939" spans="1:14">
      <c r="A1939" t="s">
        <v>151</v>
      </c>
      <c r="B1939">
        <v>1128299</v>
      </c>
      <c r="C1939" s="2">
        <v>44517</v>
      </c>
      <c r="D1939" t="s">
        <v>28</v>
      </c>
      <c r="E1939" t="s">
        <v>183</v>
      </c>
      <c r="F1939" t="s">
        <v>188</v>
      </c>
      <c r="G1939" t="s">
        <v>145</v>
      </c>
      <c r="H1939" s="3">
        <v>0.45000000000000012</v>
      </c>
      <c r="I1939">
        <v>7000</v>
      </c>
      <c r="J1939" s="4">
        <v>3150.0000000000009</v>
      </c>
      <c r="K1939" s="4">
        <v>1260.0000000000002</v>
      </c>
      <c r="L1939" s="5">
        <v>0.39999999999999997</v>
      </c>
      <c r="M1939" t="s">
        <v>134</v>
      </c>
      <c r="N1939" t="s">
        <v>364</v>
      </c>
    </row>
    <row r="1940" spans="1:14">
      <c r="A1940" t="s">
        <v>151</v>
      </c>
      <c r="B1940">
        <v>1128299</v>
      </c>
      <c r="C1940" s="2">
        <v>44517</v>
      </c>
      <c r="D1940" t="s">
        <v>28</v>
      </c>
      <c r="E1940" t="s">
        <v>183</v>
      </c>
      <c r="F1940" t="s">
        <v>188</v>
      </c>
      <c r="G1940" t="s">
        <v>146</v>
      </c>
      <c r="H1940" s="3">
        <v>0.40000000000000008</v>
      </c>
      <c r="I1940">
        <v>5250</v>
      </c>
      <c r="J1940" s="4">
        <v>2100.0000000000005</v>
      </c>
      <c r="K1940" s="4">
        <v>840.00000000000011</v>
      </c>
      <c r="L1940" s="5">
        <v>0.39999999999999997</v>
      </c>
      <c r="M1940" t="s">
        <v>134</v>
      </c>
      <c r="N1940" t="s">
        <v>364</v>
      </c>
    </row>
    <row r="1941" spans="1:14">
      <c r="A1941" t="s">
        <v>151</v>
      </c>
      <c r="B1941">
        <v>1128299</v>
      </c>
      <c r="C1941" s="2">
        <v>44517</v>
      </c>
      <c r="D1941" t="s">
        <v>28</v>
      </c>
      <c r="E1941" t="s">
        <v>183</v>
      </c>
      <c r="F1941" t="s">
        <v>188</v>
      </c>
      <c r="G1941" t="s">
        <v>148</v>
      </c>
      <c r="H1941" s="3">
        <v>0.50000000000000011</v>
      </c>
      <c r="I1941">
        <v>5000</v>
      </c>
      <c r="J1941" s="4">
        <v>2500.0000000000005</v>
      </c>
      <c r="K1941" s="4">
        <v>1000.0000000000001</v>
      </c>
      <c r="L1941" s="5">
        <v>0.39999999999999997</v>
      </c>
      <c r="M1941" t="s">
        <v>134</v>
      </c>
      <c r="N1941" t="s">
        <v>364</v>
      </c>
    </row>
    <row r="1942" spans="1:14">
      <c r="A1942" t="s">
        <v>151</v>
      </c>
      <c r="B1942">
        <v>1128299</v>
      </c>
      <c r="C1942" s="2">
        <v>44517</v>
      </c>
      <c r="D1942" t="s">
        <v>28</v>
      </c>
      <c r="E1942" t="s">
        <v>183</v>
      </c>
      <c r="F1942" t="s">
        <v>188</v>
      </c>
      <c r="G1942" t="s">
        <v>147</v>
      </c>
      <c r="H1942" s="3">
        <v>0.70000000000000007</v>
      </c>
      <c r="I1942">
        <v>4750</v>
      </c>
      <c r="J1942" s="4">
        <v>3325.0000000000005</v>
      </c>
      <c r="K1942" s="4">
        <v>1496.2500000000002</v>
      </c>
      <c r="L1942" s="5">
        <v>0.45</v>
      </c>
      <c r="M1942" t="s">
        <v>134</v>
      </c>
      <c r="N1942" t="s">
        <v>364</v>
      </c>
    </row>
    <row r="1943" spans="1:14">
      <c r="A1943" t="s">
        <v>151</v>
      </c>
      <c r="B1943">
        <v>1128299</v>
      </c>
      <c r="C1943" s="2">
        <v>44517</v>
      </c>
      <c r="D1943" t="s">
        <v>28</v>
      </c>
      <c r="E1943" t="s">
        <v>183</v>
      </c>
      <c r="F1943" t="s">
        <v>188</v>
      </c>
      <c r="G1943" t="s">
        <v>144</v>
      </c>
      <c r="H1943" s="3">
        <v>0.8500000000000002</v>
      </c>
      <c r="I1943">
        <v>6000</v>
      </c>
      <c r="J1943" s="4">
        <v>5100.0000000000009</v>
      </c>
      <c r="K1943" s="4">
        <v>1785.0000000000002</v>
      </c>
      <c r="L1943" s="5">
        <v>0.35</v>
      </c>
      <c r="M1943" t="s">
        <v>134</v>
      </c>
      <c r="N1943" t="s">
        <v>364</v>
      </c>
    </row>
    <row r="1944" spans="1:14">
      <c r="A1944" t="s">
        <v>151</v>
      </c>
      <c r="B1944">
        <v>1128299</v>
      </c>
      <c r="C1944" s="2">
        <v>44546</v>
      </c>
      <c r="D1944" t="s">
        <v>28</v>
      </c>
      <c r="E1944" t="s">
        <v>183</v>
      </c>
      <c r="F1944" t="s">
        <v>188</v>
      </c>
      <c r="G1944" t="s">
        <v>27</v>
      </c>
      <c r="H1944" s="3">
        <v>0.70000000000000018</v>
      </c>
      <c r="I1944">
        <v>8000</v>
      </c>
      <c r="J1944" s="4">
        <v>5600.0000000000018</v>
      </c>
      <c r="K1944" s="4">
        <v>2240.0000000000005</v>
      </c>
      <c r="L1944" s="5">
        <v>0.39999999999999997</v>
      </c>
      <c r="M1944" t="s">
        <v>23</v>
      </c>
      <c r="N1944" t="s">
        <v>364</v>
      </c>
    </row>
    <row r="1945" spans="1:14">
      <c r="A1945" t="s">
        <v>151</v>
      </c>
      <c r="B1945">
        <v>1128299</v>
      </c>
      <c r="C1945" s="2">
        <v>44546</v>
      </c>
      <c r="D1945" t="s">
        <v>28</v>
      </c>
      <c r="E1945" t="s">
        <v>183</v>
      </c>
      <c r="F1945" t="s">
        <v>188</v>
      </c>
      <c r="G1945" t="s">
        <v>145</v>
      </c>
      <c r="H1945" s="3">
        <v>0.80000000000000027</v>
      </c>
      <c r="I1945">
        <v>8000</v>
      </c>
      <c r="J1945" s="4">
        <v>6400.0000000000018</v>
      </c>
      <c r="K1945" s="4">
        <v>2560.0000000000005</v>
      </c>
      <c r="L1945" s="5">
        <v>0.39999999999999997</v>
      </c>
      <c r="M1945" t="s">
        <v>23</v>
      </c>
      <c r="N1945" t="s">
        <v>364</v>
      </c>
    </row>
    <row r="1946" spans="1:14">
      <c r="A1946" t="s">
        <v>151</v>
      </c>
      <c r="B1946">
        <v>1128299</v>
      </c>
      <c r="C1946" s="2">
        <v>44546</v>
      </c>
      <c r="D1946" t="s">
        <v>28</v>
      </c>
      <c r="E1946" t="s">
        <v>183</v>
      </c>
      <c r="F1946" t="s">
        <v>188</v>
      </c>
      <c r="G1946" t="s">
        <v>146</v>
      </c>
      <c r="H1946" s="3">
        <v>0.75000000000000022</v>
      </c>
      <c r="I1946">
        <v>6000</v>
      </c>
      <c r="J1946" s="4">
        <v>4500.0000000000009</v>
      </c>
      <c r="K1946" s="4">
        <v>1800.0000000000002</v>
      </c>
      <c r="L1946" s="5">
        <v>0.39999999999999997</v>
      </c>
      <c r="M1946" t="s">
        <v>23</v>
      </c>
      <c r="N1946" t="s">
        <v>364</v>
      </c>
    </row>
    <row r="1947" spans="1:14">
      <c r="A1947" t="s">
        <v>151</v>
      </c>
      <c r="B1947">
        <v>1128299</v>
      </c>
      <c r="C1947" s="2">
        <v>44546</v>
      </c>
      <c r="D1947" t="s">
        <v>28</v>
      </c>
      <c r="E1947" t="s">
        <v>183</v>
      </c>
      <c r="F1947" t="s">
        <v>188</v>
      </c>
      <c r="G1947" t="s">
        <v>148</v>
      </c>
      <c r="H1947" s="3">
        <v>0.75000000000000022</v>
      </c>
      <c r="I1947">
        <v>6000</v>
      </c>
      <c r="J1947" s="4">
        <v>4500.0000000000009</v>
      </c>
      <c r="K1947" s="4">
        <v>1800.0000000000002</v>
      </c>
      <c r="L1947" s="5">
        <v>0.39999999999999997</v>
      </c>
      <c r="M1947" t="s">
        <v>23</v>
      </c>
      <c r="N1947" t="s">
        <v>364</v>
      </c>
    </row>
    <row r="1948" spans="1:14">
      <c r="A1948" t="s">
        <v>151</v>
      </c>
      <c r="B1948">
        <v>1128299</v>
      </c>
      <c r="C1948" s="2">
        <v>44546</v>
      </c>
      <c r="D1948" t="s">
        <v>28</v>
      </c>
      <c r="E1948" t="s">
        <v>183</v>
      </c>
      <c r="F1948" t="s">
        <v>188</v>
      </c>
      <c r="G1948" t="s">
        <v>147</v>
      </c>
      <c r="H1948" s="3">
        <v>0.8500000000000002</v>
      </c>
      <c r="I1948">
        <v>5250</v>
      </c>
      <c r="J1948" s="4">
        <v>4462.5000000000009</v>
      </c>
      <c r="K1948" s="4">
        <v>2008.1250000000005</v>
      </c>
      <c r="L1948" s="5">
        <v>0.45</v>
      </c>
      <c r="M1948" t="s">
        <v>23</v>
      </c>
      <c r="N1948" t="s">
        <v>364</v>
      </c>
    </row>
    <row r="1949" spans="1:14">
      <c r="A1949" t="s">
        <v>151</v>
      </c>
      <c r="B1949">
        <v>1128299</v>
      </c>
      <c r="C1949" s="2">
        <v>44546</v>
      </c>
      <c r="D1949" t="s">
        <v>28</v>
      </c>
      <c r="E1949" t="s">
        <v>183</v>
      </c>
      <c r="F1949" t="s">
        <v>188</v>
      </c>
      <c r="G1949" t="s">
        <v>144</v>
      </c>
      <c r="H1949" s="3">
        <v>0.90000000000000024</v>
      </c>
      <c r="I1949">
        <v>6250</v>
      </c>
      <c r="J1949" s="4">
        <v>5625.0000000000018</v>
      </c>
      <c r="K1949" s="4">
        <v>1968.7500000000005</v>
      </c>
      <c r="L1949" s="5">
        <v>0.35</v>
      </c>
      <c r="M1949" t="s">
        <v>23</v>
      </c>
      <c r="N1949" t="s">
        <v>364</v>
      </c>
    </row>
    <row r="1950" spans="1:14">
      <c r="A1950" t="s">
        <v>152</v>
      </c>
      <c r="B1950">
        <v>1197831</v>
      </c>
      <c r="C1950" s="2">
        <v>44201</v>
      </c>
      <c r="D1950" t="s">
        <v>139</v>
      </c>
      <c r="E1950" t="s">
        <v>201</v>
      </c>
      <c r="F1950" t="s">
        <v>210</v>
      </c>
      <c r="G1950" t="s">
        <v>27</v>
      </c>
      <c r="H1950" s="3">
        <v>0.2</v>
      </c>
      <c r="I1950">
        <v>6750</v>
      </c>
      <c r="J1950" s="4">
        <v>1350</v>
      </c>
      <c r="K1950" s="4">
        <v>405</v>
      </c>
      <c r="L1950" s="5">
        <v>0.3</v>
      </c>
      <c r="M1950" t="s">
        <v>125</v>
      </c>
      <c r="N1950" t="s">
        <v>361</v>
      </c>
    </row>
    <row r="1951" spans="1:14">
      <c r="A1951" t="s">
        <v>152</v>
      </c>
      <c r="B1951">
        <v>1197831</v>
      </c>
      <c r="C1951" s="2">
        <v>44201</v>
      </c>
      <c r="D1951" t="s">
        <v>139</v>
      </c>
      <c r="E1951" t="s">
        <v>201</v>
      </c>
      <c r="F1951" t="s">
        <v>210</v>
      </c>
      <c r="G1951" t="s">
        <v>145</v>
      </c>
      <c r="H1951" s="3">
        <v>0.3</v>
      </c>
      <c r="I1951">
        <v>6750</v>
      </c>
      <c r="J1951" s="4">
        <v>2025</v>
      </c>
      <c r="K1951" s="4">
        <v>607.5</v>
      </c>
      <c r="L1951" s="5">
        <v>0.3</v>
      </c>
      <c r="M1951" t="s">
        <v>125</v>
      </c>
      <c r="N1951" t="s">
        <v>361</v>
      </c>
    </row>
    <row r="1952" spans="1:14">
      <c r="A1952" t="s">
        <v>152</v>
      </c>
      <c r="B1952">
        <v>1197831</v>
      </c>
      <c r="C1952" s="2">
        <v>44201</v>
      </c>
      <c r="D1952" t="s">
        <v>139</v>
      </c>
      <c r="E1952" t="s">
        <v>201</v>
      </c>
      <c r="F1952" t="s">
        <v>210</v>
      </c>
      <c r="G1952" t="s">
        <v>146</v>
      </c>
      <c r="H1952" s="3">
        <v>0.3</v>
      </c>
      <c r="I1952">
        <v>4750</v>
      </c>
      <c r="J1952" s="4">
        <v>1425</v>
      </c>
      <c r="K1952" s="4">
        <v>427.5</v>
      </c>
      <c r="L1952" s="5">
        <v>0.3</v>
      </c>
      <c r="M1952" t="s">
        <v>125</v>
      </c>
      <c r="N1952" t="s">
        <v>361</v>
      </c>
    </row>
    <row r="1953" spans="1:14">
      <c r="A1953" t="s">
        <v>152</v>
      </c>
      <c r="B1953">
        <v>1197831</v>
      </c>
      <c r="C1953" s="2">
        <v>44201</v>
      </c>
      <c r="D1953" t="s">
        <v>139</v>
      </c>
      <c r="E1953" t="s">
        <v>201</v>
      </c>
      <c r="F1953" t="s">
        <v>210</v>
      </c>
      <c r="G1953" t="s">
        <v>148</v>
      </c>
      <c r="H1953" s="3">
        <v>0.35</v>
      </c>
      <c r="I1953">
        <v>4750</v>
      </c>
      <c r="J1953" s="4">
        <v>1662.5</v>
      </c>
      <c r="K1953" s="4">
        <v>665</v>
      </c>
      <c r="L1953" s="5">
        <v>0.4</v>
      </c>
      <c r="M1953" t="s">
        <v>125</v>
      </c>
      <c r="N1953" t="s">
        <v>361</v>
      </c>
    </row>
    <row r="1954" spans="1:14">
      <c r="A1954" t="s">
        <v>152</v>
      </c>
      <c r="B1954">
        <v>1197831</v>
      </c>
      <c r="C1954" s="2">
        <v>44201</v>
      </c>
      <c r="D1954" t="s">
        <v>139</v>
      </c>
      <c r="E1954" t="s">
        <v>201</v>
      </c>
      <c r="F1954" t="s">
        <v>210</v>
      </c>
      <c r="G1954" t="s">
        <v>147</v>
      </c>
      <c r="H1954" s="3">
        <v>0.4</v>
      </c>
      <c r="I1954">
        <v>3250</v>
      </c>
      <c r="J1954" s="4">
        <v>1300</v>
      </c>
      <c r="K1954" s="4">
        <v>325</v>
      </c>
      <c r="L1954" s="5">
        <v>0.25</v>
      </c>
      <c r="M1954" t="s">
        <v>125</v>
      </c>
      <c r="N1954" t="s">
        <v>361</v>
      </c>
    </row>
    <row r="1955" spans="1:14">
      <c r="A1955" t="s">
        <v>152</v>
      </c>
      <c r="B1955">
        <v>1197831</v>
      </c>
      <c r="C1955" s="2">
        <v>44201</v>
      </c>
      <c r="D1955" t="s">
        <v>139</v>
      </c>
      <c r="E1955" t="s">
        <v>201</v>
      </c>
      <c r="F1955" t="s">
        <v>210</v>
      </c>
      <c r="G1955" t="s">
        <v>144</v>
      </c>
      <c r="H1955" s="3">
        <v>0.35</v>
      </c>
      <c r="I1955">
        <v>4750</v>
      </c>
      <c r="J1955" s="4">
        <v>1662.5</v>
      </c>
      <c r="K1955" s="4">
        <v>748.125</v>
      </c>
      <c r="L1955" s="5">
        <v>0.45</v>
      </c>
      <c r="M1955" t="s">
        <v>125</v>
      </c>
      <c r="N1955" t="s">
        <v>361</v>
      </c>
    </row>
    <row r="1956" spans="1:14">
      <c r="A1956" t="s">
        <v>152</v>
      </c>
      <c r="B1956">
        <v>1197831</v>
      </c>
      <c r="C1956" s="2">
        <v>44231</v>
      </c>
      <c r="D1956" t="s">
        <v>139</v>
      </c>
      <c r="E1956" t="s">
        <v>201</v>
      </c>
      <c r="F1956" t="s">
        <v>210</v>
      </c>
      <c r="G1956" t="s">
        <v>27</v>
      </c>
      <c r="H1956" s="3">
        <v>0.25</v>
      </c>
      <c r="I1956">
        <v>6250</v>
      </c>
      <c r="J1956" s="4">
        <v>1562.5</v>
      </c>
      <c r="K1956" s="4">
        <v>468.75</v>
      </c>
      <c r="L1956" s="5">
        <v>0.3</v>
      </c>
      <c r="M1956" t="s">
        <v>126</v>
      </c>
      <c r="N1956" t="s">
        <v>361</v>
      </c>
    </row>
    <row r="1957" spans="1:14">
      <c r="A1957" t="s">
        <v>152</v>
      </c>
      <c r="B1957">
        <v>1197831</v>
      </c>
      <c r="C1957" s="2">
        <v>44231</v>
      </c>
      <c r="D1957" t="s">
        <v>139</v>
      </c>
      <c r="E1957" t="s">
        <v>201</v>
      </c>
      <c r="F1957" t="s">
        <v>210</v>
      </c>
      <c r="G1957" t="s">
        <v>145</v>
      </c>
      <c r="H1957" s="3">
        <v>0.35</v>
      </c>
      <c r="I1957">
        <v>6000</v>
      </c>
      <c r="J1957" s="4">
        <v>2100</v>
      </c>
      <c r="K1957" s="4">
        <v>630</v>
      </c>
      <c r="L1957" s="5">
        <v>0.3</v>
      </c>
      <c r="M1957" t="s">
        <v>126</v>
      </c>
      <c r="N1957" t="s">
        <v>361</v>
      </c>
    </row>
    <row r="1958" spans="1:14">
      <c r="A1958" t="s">
        <v>152</v>
      </c>
      <c r="B1958">
        <v>1197831</v>
      </c>
      <c r="C1958" s="2">
        <v>44231</v>
      </c>
      <c r="D1958" t="s">
        <v>139</v>
      </c>
      <c r="E1958" t="s">
        <v>201</v>
      </c>
      <c r="F1958" t="s">
        <v>210</v>
      </c>
      <c r="G1958" t="s">
        <v>146</v>
      </c>
      <c r="H1958" s="3">
        <v>0.35</v>
      </c>
      <c r="I1958">
        <v>4250</v>
      </c>
      <c r="J1958" s="4">
        <v>1487.5</v>
      </c>
      <c r="K1958" s="4">
        <v>446.25</v>
      </c>
      <c r="L1958" s="5">
        <v>0.3</v>
      </c>
      <c r="M1958" t="s">
        <v>126</v>
      </c>
      <c r="N1958" t="s">
        <v>361</v>
      </c>
    </row>
    <row r="1959" spans="1:14">
      <c r="A1959" t="s">
        <v>152</v>
      </c>
      <c r="B1959">
        <v>1197831</v>
      </c>
      <c r="C1959" s="2">
        <v>44231</v>
      </c>
      <c r="D1959" t="s">
        <v>139</v>
      </c>
      <c r="E1959" t="s">
        <v>201</v>
      </c>
      <c r="F1959" t="s">
        <v>210</v>
      </c>
      <c r="G1959" t="s">
        <v>148</v>
      </c>
      <c r="H1959" s="3">
        <v>0.35</v>
      </c>
      <c r="I1959">
        <v>3750</v>
      </c>
      <c r="J1959" s="4">
        <v>1312.5</v>
      </c>
      <c r="K1959" s="4">
        <v>525</v>
      </c>
      <c r="L1959" s="5">
        <v>0.4</v>
      </c>
      <c r="M1959" t="s">
        <v>126</v>
      </c>
      <c r="N1959" t="s">
        <v>361</v>
      </c>
    </row>
    <row r="1960" spans="1:14">
      <c r="A1960" t="s">
        <v>152</v>
      </c>
      <c r="B1960">
        <v>1197831</v>
      </c>
      <c r="C1960" s="2">
        <v>44231</v>
      </c>
      <c r="D1960" t="s">
        <v>139</v>
      </c>
      <c r="E1960" t="s">
        <v>201</v>
      </c>
      <c r="F1960" t="s">
        <v>210</v>
      </c>
      <c r="G1960" t="s">
        <v>147</v>
      </c>
      <c r="H1960" s="3">
        <v>0.4</v>
      </c>
      <c r="I1960">
        <v>2500</v>
      </c>
      <c r="J1960" s="4">
        <v>1000</v>
      </c>
      <c r="K1960" s="4">
        <v>250</v>
      </c>
      <c r="L1960" s="5">
        <v>0.25</v>
      </c>
      <c r="M1960" t="s">
        <v>126</v>
      </c>
      <c r="N1960" t="s">
        <v>361</v>
      </c>
    </row>
    <row r="1961" spans="1:14">
      <c r="A1961" t="s">
        <v>152</v>
      </c>
      <c r="B1961">
        <v>1197831</v>
      </c>
      <c r="C1961" s="2">
        <v>44231</v>
      </c>
      <c r="D1961" t="s">
        <v>139</v>
      </c>
      <c r="E1961" t="s">
        <v>201</v>
      </c>
      <c r="F1961" t="s">
        <v>210</v>
      </c>
      <c r="G1961" t="s">
        <v>144</v>
      </c>
      <c r="H1961" s="3">
        <v>0.35</v>
      </c>
      <c r="I1961">
        <v>4500</v>
      </c>
      <c r="J1961" s="4">
        <v>1575</v>
      </c>
      <c r="K1961" s="4">
        <v>708.75</v>
      </c>
      <c r="L1961" s="5">
        <v>0.45</v>
      </c>
      <c r="M1961" t="s">
        <v>126</v>
      </c>
      <c r="N1961" t="s">
        <v>361</v>
      </c>
    </row>
    <row r="1962" spans="1:14">
      <c r="A1962" t="s">
        <v>152</v>
      </c>
      <c r="B1962">
        <v>1197831</v>
      </c>
      <c r="C1962" s="2">
        <v>44261</v>
      </c>
      <c r="D1962" t="s">
        <v>139</v>
      </c>
      <c r="E1962" t="s">
        <v>201</v>
      </c>
      <c r="F1962" t="s">
        <v>210</v>
      </c>
      <c r="G1962" t="s">
        <v>27</v>
      </c>
      <c r="H1962" s="3">
        <v>0.3</v>
      </c>
      <c r="I1962">
        <v>6250</v>
      </c>
      <c r="J1962" s="4">
        <v>1875</v>
      </c>
      <c r="K1962" s="4">
        <v>656.25</v>
      </c>
      <c r="L1962" s="5">
        <v>0.35</v>
      </c>
      <c r="M1962" t="s">
        <v>24</v>
      </c>
      <c r="N1962" t="s">
        <v>361</v>
      </c>
    </row>
    <row r="1963" spans="1:14">
      <c r="A1963" t="s">
        <v>152</v>
      </c>
      <c r="B1963">
        <v>1197831</v>
      </c>
      <c r="C1963" s="2">
        <v>44261</v>
      </c>
      <c r="D1963" t="s">
        <v>139</v>
      </c>
      <c r="E1963" t="s">
        <v>201</v>
      </c>
      <c r="F1963" t="s">
        <v>210</v>
      </c>
      <c r="G1963" t="s">
        <v>145</v>
      </c>
      <c r="H1963" s="3">
        <v>0.4</v>
      </c>
      <c r="I1963">
        <v>6250</v>
      </c>
      <c r="J1963" s="4">
        <v>2500</v>
      </c>
      <c r="K1963" s="4">
        <v>875</v>
      </c>
      <c r="L1963" s="5">
        <v>0.35</v>
      </c>
      <c r="M1963" t="s">
        <v>24</v>
      </c>
      <c r="N1963" t="s">
        <v>361</v>
      </c>
    </row>
    <row r="1964" spans="1:14">
      <c r="A1964" t="s">
        <v>152</v>
      </c>
      <c r="B1964">
        <v>1197831</v>
      </c>
      <c r="C1964" s="2">
        <v>44261</v>
      </c>
      <c r="D1964" t="s">
        <v>139</v>
      </c>
      <c r="E1964" t="s">
        <v>201</v>
      </c>
      <c r="F1964" t="s">
        <v>210</v>
      </c>
      <c r="G1964" t="s">
        <v>146</v>
      </c>
      <c r="H1964" s="3">
        <v>0.3</v>
      </c>
      <c r="I1964">
        <v>4500</v>
      </c>
      <c r="J1964" s="4">
        <v>1350</v>
      </c>
      <c r="K1964" s="4">
        <v>472.49999999999994</v>
      </c>
      <c r="L1964" s="5">
        <v>0.35</v>
      </c>
      <c r="M1964" t="s">
        <v>24</v>
      </c>
      <c r="N1964" t="s">
        <v>361</v>
      </c>
    </row>
    <row r="1965" spans="1:14">
      <c r="A1965" t="s">
        <v>152</v>
      </c>
      <c r="B1965">
        <v>1197831</v>
      </c>
      <c r="C1965" s="2">
        <v>44261</v>
      </c>
      <c r="D1965" t="s">
        <v>139</v>
      </c>
      <c r="E1965" t="s">
        <v>201</v>
      </c>
      <c r="F1965" t="s">
        <v>210</v>
      </c>
      <c r="G1965" t="s">
        <v>148</v>
      </c>
      <c r="H1965" s="3">
        <v>0.35000000000000003</v>
      </c>
      <c r="I1965">
        <v>3500</v>
      </c>
      <c r="J1965" s="4">
        <v>1225.0000000000002</v>
      </c>
      <c r="K1965" s="4">
        <v>551.25000000000011</v>
      </c>
      <c r="L1965" s="5">
        <v>0.45</v>
      </c>
      <c r="M1965" t="s">
        <v>24</v>
      </c>
      <c r="N1965" t="s">
        <v>361</v>
      </c>
    </row>
    <row r="1966" spans="1:14">
      <c r="A1966" t="s">
        <v>152</v>
      </c>
      <c r="B1966">
        <v>1197831</v>
      </c>
      <c r="C1966" s="2">
        <v>44261</v>
      </c>
      <c r="D1966" t="s">
        <v>139</v>
      </c>
      <c r="E1966" t="s">
        <v>201</v>
      </c>
      <c r="F1966" t="s">
        <v>210</v>
      </c>
      <c r="G1966" t="s">
        <v>147</v>
      </c>
      <c r="H1966" s="3">
        <v>0.4</v>
      </c>
      <c r="I1966">
        <v>2500</v>
      </c>
      <c r="J1966" s="4">
        <v>1000</v>
      </c>
      <c r="K1966" s="4">
        <v>300</v>
      </c>
      <c r="L1966" s="5">
        <v>0.3</v>
      </c>
      <c r="M1966" t="s">
        <v>24</v>
      </c>
      <c r="N1966" t="s">
        <v>361</v>
      </c>
    </row>
    <row r="1967" spans="1:14">
      <c r="A1967" t="s">
        <v>152</v>
      </c>
      <c r="B1967">
        <v>1197831</v>
      </c>
      <c r="C1967" s="2">
        <v>44261</v>
      </c>
      <c r="D1967" t="s">
        <v>139</v>
      </c>
      <c r="E1967" t="s">
        <v>201</v>
      </c>
      <c r="F1967" t="s">
        <v>210</v>
      </c>
      <c r="G1967" t="s">
        <v>144</v>
      </c>
      <c r="H1967" s="3">
        <v>0.35000000000000003</v>
      </c>
      <c r="I1967">
        <v>4000</v>
      </c>
      <c r="J1967" s="4">
        <v>1400.0000000000002</v>
      </c>
      <c r="K1967" s="4">
        <v>700.00000000000011</v>
      </c>
      <c r="L1967" s="5">
        <v>0.5</v>
      </c>
      <c r="M1967" t="s">
        <v>24</v>
      </c>
      <c r="N1967" t="s">
        <v>361</v>
      </c>
    </row>
    <row r="1968" spans="1:14">
      <c r="A1968" t="s">
        <v>152</v>
      </c>
      <c r="B1968">
        <v>1197831</v>
      </c>
      <c r="C1968" s="2">
        <v>44291</v>
      </c>
      <c r="D1968" t="s">
        <v>139</v>
      </c>
      <c r="E1968" t="s">
        <v>201</v>
      </c>
      <c r="F1968" t="s">
        <v>210</v>
      </c>
      <c r="G1968" t="s">
        <v>27</v>
      </c>
      <c r="H1968" s="3">
        <v>0.19999999999999998</v>
      </c>
      <c r="I1968">
        <v>6500</v>
      </c>
      <c r="J1968" s="4">
        <v>1300</v>
      </c>
      <c r="K1968" s="4">
        <v>454.99999999999994</v>
      </c>
      <c r="L1968" s="5">
        <v>0.35</v>
      </c>
      <c r="M1968" t="s">
        <v>127</v>
      </c>
      <c r="N1968" t="s">
        <v>362</v>
      </c>
    </row>
    <row r="1969" spans="1:14">
      <c r="A1969" t="s">
        <v>152</v>
      </c>
      <c r="B1969">
        <v>1197831</v>
      </c>
      <c r="C1969" s="2">
        <v>44291</v>
      </c>
      <c r="D1969" t="s">
        <v>139</v>
      </c>
      <c r="E1969" t="s">
        <v>201</v>
      </c>
      <c r="F1969" t="s">
        <v>210</v>
      </c>
      <c r="G1969" t="s">
        <v>145</v>
      </c>
      <c r="H1969" s="3">
        <v>0.30000000000000004</v>
      </c>
      <c r="I1969">
        <v>6500</v>
      </c>
      <c r="J1969" s="4">
        <v>1950.0000000000002</v>
      </c>
      <c r="K1969" s="4">
        <v>682.5</v>
      </c>
      <c r="L1969" s="5">
        <v>0.35</v>
      </c>
      <c r="M1969" t="s">
        <v>127</v>
      </c>
      <c r="N1969" t="s">
        <v>362</v>
      </c>
    </row>
    <row r="1970" spans="1:14">
      <c r="A1970" t="s">
        <v>152</v>
      </c>
      <c r="B1970">
        <v>1197831</v>
      </c>
      <c r="C1970" s="2">
        <v>44291</v>
      </c>
      <c r="D1970" t="s">
        <v>139</v>
      </c>
      <c r="E1970" t="s">
        <v>201</v>
      </c>
      <c r="F1970" t="s">
        <v>210</v>
      </c>
      <c r="G1970" t="s">
        <v>146</v>
      </c>
      <c r="H1970" s="3">
        <v>0.24999999999999997</v>
      </c>
      <c r="I1970">
        <v>4750</v>
      </c>
      <c r="J1970" s="4">
        <v>1187.4999999999998</v>
      </c>
      <c r="K1970" s="4">
        <v>415.62499999999989</v>
      </c>
      <c r="L1970" s="5">
        <v>0.35</v>
      </c>
      <c r="M1970" t="s">
        <v>127</v>
      </c>
      <c r="N1970" t="s">
        <v>362</v>
      </c>
    </row>
    <row r="1971" spans="1:14">
      <c r="A1971" t="s">
        <v>152</v>
      </c>
      <c r="B1971">
        <v>1197831</v>
      </c>
      <c r="C1971" s="2">
        <v>44291</v>
      </c>
      <c r="D1971" t="s">
        <v>139</v>
      </c>
      <c r="E1971" t="s">
        <v>201</v>
      </c>
      <c r="F1971" t="s">
        <v>210</v>
      </c>
      <c r="G1971" t="s">
        <v>148</v>
      </c>
      <c r="H1971" s="3">
        <v>0.30000000000000004</v>
      </c>
      <c r="I1971">
        <v>3750</v>
      </c>
      <c r="J1971" s="4">
        <v>1125.0000000000002</v>
      </c>
      <c r="K1971" s="4">
        <v>506.25000000000011</v>
      </c>
      <c r="L1971" s="5">
        <v>0.45</v>
      </c>
      <c r="M1971" t="s">
        <v>127</v>
      </c>
      <c r="N1971" t="s">
        <v>362</v>
      </c>
    </row>
    <row r="1972" spans="1:14">
      <c r="A1972" t="s">
        <v>152</v>
      </c>
      <c r="B1972">
        <v>1197831</v>
      </c>
      <c r="C1972" s="2">
        <v>44291</v>
      </c>
      <c r="D1972" t="s">
        <v>139</v>
      </c>
      <c r="E1972" t="s">
        <v>201</v>
      </c>
      <c r="F1972" t="s">
        <v>210</v>
      </c>
      <c r="G1972" t="s">
        <v>147</v>
      </c>
      <c r="H1972" s="3">
        <v>0.35</v>
      </c>
      <c r="I1972">
        <v>2750</v>
      </c>
      <c r="J1972" s="4">
        <v>962.49999999999989</v>
      </c>
      <c r="K1972" s="4">
        <v>288.74999999999994</v>
      </c>
      <c r="L1972" s="5">
        <v>0.3</v>
      </c>
      <c r="M1972" t="s">
        <v>127</v>
      </c>
      <c r="N1972" t="s">
        <v>362</v>
      </c>
    </row>
    <row r="1973" spans="1:14">
      <c r="A1973" t="s">
        <v>152</v>
      </c>
      <c r="B1973">
        <v>1197831</v>
      </c>
      <c r="C1973" s="2">
        <v>44291</v>
      </c>
      <c r="D1973" t="s">
        <v>139</v>
      </c>
      <c r="E1973" t="s">
        <v>201</v>
      </c>
      <c r="F1973" t="s">
        <v>210</v>
      </c>
      <c r="G1973" t="s">
        <v>144</v>
      </c>
      <c r="H1973" s="3">
        <v>0.30000000000000004</v>
      </c>
      <c r="I1973">
        <v>5500</v>
      </c>
      <c r="J1973" s="4">
        <v>1650.0000000000002</v>
      </c>
      <c r="K1973" s="4">
        <v>825.00000000000011</v>
      </c>
      <c r="L1973" s="5">
        <v>0.5</v>
      </c>
      <c r="M1973" t="s">
        <v>127</v>
      </c>
      <c r="N1973" t="s">
        <v>362</v>
      </c>
    </row>
    <row r="1974" spans="1:14">
      <c r="A1974" t="s">
        <v>152</v>
      </c>
      <c r="B1974">
        <v>1197831</v>
      </c>
      <c r="C1974" s="2">
        <v>44321</v>
      </c>
      <c r="D1974" t="s">
        <v>139</v>
      </c>
      <c r="E1974" t="s">
        <v>201</v>
      </c>
      <c r="F1974" t="s">
        <v>210</v>
      </c>
      <c r="G1974" t="s">
        <v>27</v>
      </c>
      <c r="H1974" s="3">
        <v>0.19999999999999998</v>
      </c>
      <c r="I1974">
        <v>7000</v>
      </c>
      <c r="J1974" s="4">
        <v>1399.9999999999998</v>
      </c>
      <c r="K1974" s="4">
        <v>489.99999999999989</v>
      </c>
      <c r="L1974" s="5">
        <v>0.35</v>
      </c>
      <c r="M1974" t="s">
        <v>128</v>
      </c>
      <c r="N1974" t="s">
        <v>362</v>
      </c>
    </row>
    <row r="1975" spans="1:14">
      <c r="A1975" t="s">
        <v>152</v>
      </c>
      <c r="B1975">
        <v>1197831</v>
      </c>
      <c r="C1975" s="2">
        <v>44321</v>
      </c>
      <c r="D1975" t="s">
        <v>139</v>
      </c>
      <c r="E1975" t="s">
        <v>201</v>
      </c>
      <c r="F1975" t="s">
        <v>210</v>
      </c>
      <c r="G1975" t="s">
        <v>145</v>
      </c>
      <c r="H1975" s="3">
        <v>0.30000000000000004</v>
      </c>
      <c r="I1975">
        <v>7250</v>
      </c>
      <c r="J1975" s="4">
        <v>2175.0000000000005</v>
      </c>
      <c r="K1975" s="4">
        <v>761.25000000000011</v>
      </c>
      <c r="L1975" s="5">
        <v>0.35</v>
      </c>
      <c r="M1975" t="s">
        <v>128</v>
      </c>
      <c r="N1975" t="s">
        <v>362</v>
      </c>
    </row>
    <row r="1976" spans="1:14">
      <c r="A1976" t="s">
        <v>152</v>
      </c>
      <c r="B1976">
        <v>1197831</v>
      </c>
      <c r="C1976" s="2">
        <v>44321</v>
      </c>
      <c r="D1976" t="s">
        <v>139</v>
      </c>
      <c r="E1976" t="s">
        <v>201</v>
      </c>
      <c r="F1976" t="s">
        <v>210</v>
      </c>
      <c r="G1976" t="s">
        <v>146</v>
      </c>
      <c r="H1976" s="3">
        <v>0.24999999999999997</v>
      </c>
      <c r="I1976">
        <v>5750</v>
      </c>
      <c r="J1976" s="4">
        <v>1437.4999999999998</v>
      </c>
      <c r="K1976" s="4">
        <v>503.12499999999989</v>
      </c>
      <c r="L1976" s="5">
        <v>0.35</v>
      </c>
      <c r="M1976" t="s">
        <v>128</v>
      </c>
      <c r="N1976" t="s">
        <v>362</v>
      </c>
    </row>
    <row r="1977" spans="1:14">
      <c r="A1977" t="s">
        <v>152</v>
      </c>
      <c r="B1977">
        <v>1197831</v>
      </c>
      <c r="C1977" s="2">
        <v>44321</v>
      </c>
      <c r="D1977" t="s">
        <v>139</v>
      </c>
      <c r="E1977" t="s">
        <v>201</v>
      </c>
      <c r="F1977" t="s">
        <v>210</v>
      </c>
      <c r="G1977" t="s">
        <v>148</v>
      </c>
      <c r="H1977" s="3">
        <v>0.35000000000000003</v>
      </c>
      <c r="I1977">
        <v>5000</v>
      </c>
      <c r="J1977" s="4">
        <v>1750.0000000000002</v>
      </c>
      <c r="K1977" s="4">
        <v>787.50000000000011</v>
      </c>
      <c r="L1977" s="5">
        <v>0.45</v>
      </c>
      <c r="M1977" t="s">
        <v>128</v>
      </c>
      <c r="N1977" t="s">
        <v>362</v>
      </c>
    </row>
    <row r="1978" spans="1:14">
      <c r="A1978" t="s">
        <v>152</v>
      </c>
      <c r="B1978">
        <v>1197831</v>
      </c>
      <c r="C1978" s="2">
        <v>44321</v>
      </c>
      <c r="D1978" t="s">
        <v>139</v>
      </c>
      <c r="E1978" t="s">
        <v>201</v>
      </c>
      <c r="F1978" t="s">
        <v>210</v>
      </c>
      <c r="G1978" t="s">
        <v>147</v>
      </c>
      <c r="H1978" s="3">
        <v>0.5</v>
      </c>
      <c r="I1978">
        <v>4000</v>
      </c>
      <c r="J1978" s="4">
        <v>2000</v>
      </c>
      <c r="K1978" s="4">
        <v>600</v>
      </c>
      <c r="L1978" s="5">
        <v>0.3</v>
      </c>
      <c r="M1978" t="s">
        <v>128</v>
      </c>
      <c r="N1978" t="s">
        <v>362</v>
      </c>
    </row>
    <row r="1979" spans="1:14">
      <c r="A1979" t="s">
        <v>152</v>
      </c>
      <c r="B1979">
        <v>1197831</v>
      </c>
      <c r="C1979" s="2">
        <v>44321</v>
      </c>
      <c r="D1979" t="s">
        <v>139</v>
      </c>
      <c r="E1979" t="s">
        <v>201</v>
      </c>
      <c r="F1979" t="s">
        <v>210</v>
      </c>
      <c r="G1979" t="s">
        <v>144</v>
      </c>
      <c r="H1979" s="3">
        <v>0.45</v>
      </c>
      <c r="I1979">
        <v>7500</v>
      </c>
      <c r="J1979" s="4">
        <v>3375</v>
      </c>
      <c r="K1979" s="4">
        <v>1687.5</v>
      </c>
      <c r="L1979" s="5">
        <v>0.5</v>
      </c>
      <c r="M1979" t="s">
        <v>128</v>
      </c>
      <c r="N1979" t="s">
        <v>362</v>
      </c>
    </row>
    <row r="1980" spans="1:14">
      <c r="A1980" t="s">
        <v>152</v>
      </c>
      <c r="B1980">
        <v>1197831</v>
      </c>
      <c r="C1980" s="2">
        <v>44351</v>
      </c>
      <c r="D1980" t="s">
        <v>139</v>
      </c>
      <c r="E1980" t="s">
        <v>201</v>
      </c>
      <c r="F1980" t="s">
        <v>210</v>
      </c>
      <c r="G1980" t="s">
        <v>27</v>
      </c>
      <c r="H1980" s="3">
        <v>0.45</v>
      </c>
      <c r="I1980">
        <v>7500</v>
      </c>
      <c r="J1980" s="4">
        <v>3375</v>
      </c>
      <c r="K1980" s="4">
        <v>1181.25</v>
      </c>
      <c r="L1980" s="5">
        <v>0.35</v>
      </c>
      <c r="M1980" t="s">
        <v>129</v>
      </c>
      <c r="N1980" t="s">
        <v>362</v>
      </c>
    </row>
    <row r="1981" spans="1:14">
      <c r="A1981" t="s">
        <v>152</v>
      </c>
      <c r="B1981">
        <v>1197831</v>
      </c>
      <c r="C1981" s="2">
        <v>44351</v>
      </c>
      <c r="D1981" t="s">
        <v>139</v>
      </c>
      <c r="E1981" t="s">
        <v>201</v>
      </c>
      <c r="F1981" t="s">
        <v>210</v>
      </c>
      <c r="G1981" t="s">
        <v>145</v>
      </c>
      <c r="H1981" s="3">
        <v>0.5</v>
      </c>
      <c r="I1981">
        <v>7500</v>
      </c>
      <c r="J1981" s="4">
        <v>3750</v>
      </c>
      <c r="K1981" s="4">
        <v>1312.5</v>
      </c>
      <c r="L1981" s="5">
        <v>0.35</v>
      </c>
      <c r="M1981" t="s">
        <v>129</v>
      </c>
      <c r="N1981" t="s">
        <v>362</v>
      </c>
    </row>
    <row r="1982" spans="1:14">
      <c r="A1982" t="s">
        <v>152</v>
      </c>
      <c r="B1982">
        <v>1197831</v>
      </c>
      <c r="C1982" s="2">
        <v>44351</v>
      </c>
      <c r="D1982" t="s">
        <v>139</v>
      </c>
      <c r="E1982" t="s">
        <v>201</v>
      </c>
      <c r="F1982" t="s">
        <v>210</v>
      </c>
      <c r="G1982" t="s">
        <v>146</v>
      </c>
      <c r="H1982" s="3">
        <v>0.5</v>
      </c>
      <c r="I1982">
        <v>6000</v>
      </c>
      <c r="J1982" s="4">
        <v>3000</v>
      </c>
      <c r="K1982" s="4">
        <v>1050</v>
      </c>
      <c r="L1982" s="5">
        <v>0.35</v>
      </c>
      <c r="M1982" t="s">
        <v>129</v>
      </c>
      <c r="N1982" t="s">
        <v>362</v>
      </c>
    </row>
    <row r="1983" spans="1:14">
      <c r="A1983" t="s">
        <v>152</v>
      </c>
      <c r="B1983">
        <v>1197831</v>
      </c>
      <c r="C1983" s="2">
        <v>44351</v>
      </c>
      <c r="D1983" t="s">
        <v>139</v>
      </c>
      <c r="E1983" t="s">
        <v>201</v>
      </c>
      <c r="F1983" t="s">
        <v>210</v>
      </c>
      <c r="G1983" t="s">
        <v>148</v>
      </c>
      <c r="H1983" s="3">
        <v>0.5</v>
      </c>
      <c r="I1983">
        <v>5500</v>
      </c>
      <c r="J1983" s="4">
        <v>2750</v>
      </c>
      <c r="K1983" s="4">
        <v>1237.5</v>
      </c>
      <c r="L1983" s="5">
        <v>0.45</v>
      </c>
      <c r="M1983" t="s">
        <v>129</v>
      </c>
      <c r="N1983" t="s">
        <v>362</v>
      </c>
    </row>
    <row r="1984" spans="1:14">
      <c r="A1984" t="s">
        <v>152</v>
      </c>
      <c r="B1984">
        <v>1197831</v>
      </c>
      <c r="C1984" s="2">
        <v>44351</v>
      </c>
      <c r="D1984" t="s">
        <v>139</v>
      </c>
      <c r="E1984" t="s">
        <v>201</v>
      </c>
      <c r="F1984" t="s">
        <v>210</v>
      </c>
      <c r="G1984" t="s">
        <v>147</v>
      </c>
      <c r="H1984" s="3">
        <v>0.55000000000000004</v>
      </c>
      <c r="I1984">
        <v>4500</v>
      </c>
      <c r="J1984" s="4">
        <v>2475</v>
      </c>
      <c r="K1984" s="4">
        <v>742.5</v>
      </c>
      <c r="L1984" s="5">
        <v>0.3</v>
      </c>
      <c r="M1984" t="s">
        <v>129</v>
      </c>
      <c r="N1984" t="s">
        <v>362</v>
      </c>
    </row>
    <row r="1985" spans="1:14">
      <c r="A1985" t="s">
        <v>152</v>
      </c>
      <c r="B1985">
        <v>1197831</v>
      </c>
      <c r="C1985" s="2">
        <v>44351</v>
      </c>
      <c r="D1985" t="s">
        <v>139</v>
      </c>
      <c r="E1985" t="s">
        <v>201</v>
      </c>
      <c r="F1985" t="s">
        <v>210</v>
      </c>
      <c r="G1985" t="s">
        <v>144</v>
      </c>
      <c r="H1985" s="3">
        <v>0.60000000000000009</v>
      </c>
      <c r="I1985">
        <v>8250</v>
      </c>
      <c r="J1985" s="4">
        <v>4950.0000000000009</v>
      </c>
      <c r="K1985" s="4">
        <v>2475.0000000000005</v>
      </c>
      <c r="L1985" s="5">
        <v>0.5</v>
      </c>
      <c r="M1985" t="s">
        <v>129</v>
      </c>
      <c r="N1985" t="s">
        <v>362</v>
      </c>
    </row>
    <row r="1986" spans="1:14">
      <c r="A1986" t="s">
        <v>152</v>
      </c>
      <c r="B1986">
        <v>1197831</v>
      </c>
      <c r="C1986" s="2">
        <v>44383</v>
      </c>
      <c r="D1986" t="s">
        <v>139</v>
      </c>
      <c r="E1986" t="s">
        <v>201</v>
      </c>
      <c r="F1986" t="s">
        <v>210</v>
      </c>
      <c r="G1986" t="s">
        <v>27</v>
      </c>
      <c r="H1986" s="3">
        <v>0.5</v>
      </c>
      <c r="I1986">
        <v>7750</v>
      </c>
      <c r="J1986" s="4">
        <v>3875</v>
      </c>
      <c r="K1986" s="4">
        <v>1549.9999999999998</v>
      </c>
      <c r="L1986" s="5">
        <v>0.39999999999999997</v>
      </c>
      <c r="M1986" t="s">
        <v>130</v>
      </c>
      <c r="N1986" t="s">
        <v>363</v>
      </c>
    </row>
    <row r="1987" spans="1:14">
      <c r="A1987" t="s">
        <v>152</v>
      </c>
      <c r="B1987">
        <v>1197831</v>
      </c>
      <c r="C1987" s="2">
        <v>44383</v>
      </c>
      <c r="D1987" t="s">
        <v>139</v>
      </c>
      <c r="E1987" t="s">
        <v>201</v>
      </c>
      <c r="F1987" t="s">
        <v>210</v>
      </c>
      <c r="G1987" t="s">
        <v>145</v>
      </c>
      <c r="H1987" s="3">
        <v>0.55000000000000004</v>
      </c>
      <c r="I1987">
        <v>7750</v>
      </c>
      <c r="J1987" s="4">
        <v>4262.5</v>
      </c>
      <c r="K1987" s="4">
        <v>1704.9999999999998</v>
      </c>
      <c r="L1987" s="5">
        <v>0.39999999999999997</v>
      </c>
      <c r="M1987" t="s">
        <v>130</v>
      </c>
      <c r="N1987" t="s">
        <v>363</v>
      </c>
    </row>
    <row r="1988" spans="1:14">
      <c r="A1988" t="s">
        <v>152</v>
      </c>
      <c r="B1988">
        <v>1197831</v>
      </c>
      <c r="C1988" s="2">
        <v>44383</v>
      </c>
      <c r="D1988" t="s">
        <v>139</v>
      </c>
      <c r="E1988" t="s">
        <v>201</v>
      </c>
      <c r="F1988" t="s">
        <v>210</v>
      </c>
      <c r="G1988" t="s">
        <v>146</v>
      </c>
      <c r="H1988" s="3">
        <v>0.5</v>
      </c>
      <c r="I1988">
        <v>9250</v>
      </c>
      <c r="J1988" s="4">
        <v>4625</v>
      </c>
      <c r="K1988" s="4">
        <v>1849.9999999999998</v>
      </c>
      <c r="L1988" s="5">
        <v>0.39999999999999997</v>
      </c>
      <c r="M1988" t="s">
        <v>130</v>
      </c>
      <c r="N1988" t="s">
        <v>363</v>
      </c>
    </row>
    <row r="1989" spans="1:14">
      <c r="A1989" t="s">
        <v>152</v>
      </c>
      <c r="B1989">
        <v>1197831</v>
      </c>
      <c r="C1989" s="2">
        <v>44383</v>
      </c>
      <c r="D1989" t="s">
        <v>139</v>
      </c>
      <c r="E1989" t="s">
        <v>201</v>
      </c>
      <c r="F1989" t="s">
        <v>210</v>
      </c>
      <c r="G1989" t="s">
        <v>148</v>
      </c>
      <c r="H1989" s="3">
        <v>0.5</v>
      </c>
      <c r="I1989">
        <v>5250</v>
      </c>
      <c r="J1989" s="4">
        <v>2625</v>
      </c>
      <c r="K1989" s="4">
        <v>1312.5</v>
      </c>
      <c r="L1989" s="5">
        <v>0.5</v>
      </c>
      <c r="M1989" t="s">
        <v>130</v>
      </c>
      <c r="N1989" t="s">
        <v>363</v>
      </c>
    </row>
    <row r="1990" spans="1:14">
      <c r="A1990" t="s">
        <v>152</v>
      </c>
      <c r="B1990">
        <v>1197831</v>
      </c>
      <c r="C1990" s="2">
        <v>44383</v>
      </c>
      <c r="D1990" t="s">
        <v>139</v>
      </c>
      <c r="E1990" t="s">
        <v>201</v>
      </c>
      <c r="F1990" t="s">
        <v>210</v>
      </c>
      <c r="G1990" t="s">
        <v>147</v>
      </c>
      <c r="H1990" s="3">
        <v>0.55000000000000004</v>
      </c>
      <c r="I1990">
        <v>5250</v>
      </c>
      <c r="J1990" s="4">
        <v>2887.5000000000005</v>
      </c>
      <c r="K1990" s="4">
        <v>1010.6250000000001</v>
      </c>
      <c r="L1990" s="5">
        <v>0.35</v>
      </c>
      <c r="M1990" t="s">
        <v>130</v>
      </c>
      <c r="N1990" t="s">
        <v>363</v>
      </c>
    </row>
    <row r="1991" spans="1:14">
      <c r="A1991" t="s">
        <v>152</v>
      </c>
      <c r="B1991">
        <v>1197831</v>
      </c>
      <c r="C1991" s="2">
        <v>44383</v>
      </c>
      <c r="D1991" t="s">
        <v>139</v>
      </c>
      <c r="E1991" t="s">
        <v>201</v>
      </c>
      <c r="F1991" t="s">
        <v>210</v>
      </c>
      <c r="G1991" t="s">
        <v>144</v>
      </c>
      <c r="H1991" s="3">
        <v>0.65</v>
      </c>
      <c r="I1991">
        <v>8000</v>
      </c>
      <c r="J1991" s="4">
        <v>5200</v>
      </c>
      <c r="K1991" s="4">
        <v>2860.0000000000005</v>
      </c>
      <c r="L1991" s="5">
        <v>0.55000000000000004</v>
      </c>
      <c r="M1991" t="s">
        <v>130</v>
      </c>
      <c r="N1991" t="s">
        <v>363</v>
      </c>
    </row>
    <row r="1992" spans="1:14">
      <c r="A1992" t="s">
        <v>152</v>
      </c>
      <c r="B1992">
        <v>1197831</v>
      </c>
      <c r="C1992" s="2">
        <v>44416</v>
      </c>
      <c r="D1992" t="s">
        <v>139</v>
      </c>
      <c r="E1992" t="s">
        <v>201</v>
      </c>
      <c r="F1992" t="s">
        <v>210</v>
      </c>
      <c r="G1992" t="s">
        <v>27</v>
      </c>
      <c r="H1992" s="3">
        <v>0.5</v>
      </c>
      <c r="I1992">
        <v>7500</v>
      </c>
      <c r="J1992" s="4">
        <v>3750</v>
      </c>
      <c r="K1992" s="4">
        <v>1499.9999999999998</v>
      </c>
      <c r="L1992" s="5">
        <v>0.39999999999999997</v>
      </c>
      <c r="M1992" t="s">
        <v>131</v>
      </c>
      <c r="N1992" t="s">
        <v>363</v>
      </c>
    </row>
    <row r="1993" spans="1:14">
      <c r="A1993" t="s">
        <v>152</v>
      </c>
      <c r="B1993">
        <v>1197831</v>
      </c>
      <c r="C1993" s="2">
        <v>44416</v>
      </c>
      <c r="D1993" t="s">
        <v>139</v>
      </c>
      <c r="E1993" t="s">
        <v>201</v>
      </c>
      <c r="F1993" t="s">
        <v>210</v>
      </c>
      <c r="G1993" t="s">
        <v>145</v>
      </c>
      <c r="H1993" s="3">
        <v>0.55000000000000004</v>
      </c>
      <c r="I1993">
        <v>7500</v>
      </c>
      <c r="J1993" s="4">
        <v>4125</v>
      </c>
      <c r="K1993" s="4">
        <v>1649.9999999999998</v>
      </c>
      <c r="L1993" s="5">
        <v>0.39999999999999997</v>
      </c>
      <c r="M1993" t="s">
        <v>131</v>
      </c>
      <c r="N1993" t="s">
        <v>363</v>
      </c>
    </row>
    <row r="1994" spans="1:14">
      <c r="A1994" t="s">
        <v>152</v>
      </c>
      <c r="B1994">
        <v>1197831</v>
      </c>
      <c r="C1994" s="2">
        <v>44416</v>
      </c>
      <c r="D1994" t="s">
        <v>139</v>
      </c>
      <c r="E1994" t="s">
        <v>201</v>
      </c>
      <c r="F1994" t="s">
        <v>210</v>
      </c>
      <c r="G1994" t="s">
        <v>146</v>
      </c>
      <c r="H1994" s="3">
        <v>0.5</v>
      </c>
      <c r="I1994">
        <v>9250</v>
      </c>
      <c r="J1994" s="4">
        <v>4625</v>
      </c>
      <c r="K1994" s="4">
        <v>1849.9999999999998</v>
      </c>
      <c r="L1994" s="5">
        <v>0.39999999999999997</v>
      </c>
      <c r="M1994" t="s">
        <v>131</v>
      </c>
      <c r="N1994" t="s">
        <v>363</v>
      </c>
    </row>
    <row r="1995" spans="1:14">
      <c r="A1995" t="s">
        <v>152</v>
      </c>
      <c r="B1995">
        <v>1197831</v>
      </c>
      <c r="C1995" s="2">
        <v>44416</v>
      </c>
      <c r="D1995" t="s">
        <v>139</v>
      </c>
      <c r="E1995" t="s">
        <v>201</v>
      </c>
      <c r="F1995" t="s">
        <v>210</v>
      </c>
      <c r="G1995" t="s">
        <v>148</v>
      </c>
      <c r="H1995" s="3">
        <v>0.5</v>
      </c>
      <c r="I1995">
        <v>4750</v>
      </c>
      <c r="J1995" s="4">
        <v>2375</v>
      </c>
      <c r="K1995" s="4">
        <v>1187.5</v>
      </c>
      <c r="L1995" s="5">
        <v>0.5</v>
      </c>
      <c r="M1995" t="s">
        <v>131</v>
      </c>
      <c r="N1995" t="s">
        <v>363</v>
      </c>
    </row>
    <row r="1996" spans="1:14">
      <c r="A1996" t="s">
        <v>152</v>
      </c>
      <c r="B1996">
        <v>1197831</v>
      </c>
      <c r="C1996" s="2">
        <v>44416</v>
      </c>
      <c r="D1996" t="s">
        <v>139</v>
      </c>
      <c r="E1996" t="s">
        <v>201</v>
      </c>
      <c r="F1996" t="s">
        <v>210</v>
      </c>
      <c r="G1996" t="s">
        <v>147</v>
      </c>
      <c r="H1996" s="3">
        <v>0.55000000000000004</v>
      </c>
      <c r="I1996">
        <v>4750</v>
      </c>
      <c r="J1996" s="4">
        <v>2612.5</v>
      </c>
      <c r="K1996" s="4">
        <v>914.37499999999989</v>
      </c>
      <c r="L1996" s="5">
        <v>0.35</v>
      </c>
      <c r="M1996" t="s">
        <v>131</v>
      </c>
      <c r="N1996" t="s">
        <v>363</v>
      </c>
    </row>
    <row r="1997" spans="1:14">
      <c r="A1997" t="s">
        <v>152</v>
      </c>
      <c r="B1997">
        <v>1197831</v>
      </c>
      <c r="C1997" s="2">
        <v>44416</v>
      </c>
      <c r="D1997" t="s">
        <v>139</v>
      </c>
      <c r="E1997" t="s">
        <v>201</v>
      </c>
      <c r="F1997" t="s">
        <v>210</v>
      </c>
      <c r="G1997" t="s">
        <v>144</v>
      </c>
      <c r="H1997" s="3">
        <v>0.6</v>
      </c>
      <c r="I1997">
        <v>7250</v>
      </c>
      <c r="J1997" s="4">
        <v>4350</v>
      </c>
      <c r="K1997" s="4">
        <v>2392.5</v>
      </c>
      <c r="L1997" s="5">
        <v>0.55000000000000004</v>
      </c>
      <c r="M1997" t="s">
        <v>131</v>
      </c>
      <c r="N1997" t="s">
        <v>363</v>
      </c>
    </row>
    <row r="1998" spans="1:14">
      <c r="A1998" t="s">
        <v>152</v>
      </c>
      <c r="B1998">
        <v>1197831</v>
      </c>
      <c r="C1998" s="2">
        <v>44444</v>
      </c>
      <c r="D1998" t="s">
        <v>139</v>
      </c>
      <c r="E1998" t="s">
        <v>201</v>
      </c>
      <c r="F1998" t="s">
        <v>210</v>
      </c>
      <c r="G1998" t="s">
        <v>27</v>
      </c>
      <c r="H1998" s="3">
        <v>0.55000000000000004</v>
      </c>
      <c r="I1998">
        <v>6750</v>
      </c>
      <c r="J1998" s="4">
        <v>3712.5000000000005</v>
      </c>
      <c r="K1998" s="4">
        <v>1485</v>
      </c>
      <c r="L1998" s="5">
        <v>0.39999999999999997</v>
      </c>
      <c r="M1998" t="s">
        <v>132</v>
      </c>
      <c r="N1998" t="s">
        <v>363</v>
      </c>
    </row>
    <row r="1999" spans="1:14">
      <c r="A1999" t="s">
        <v>152</v>
      </c>
      <c r="B1999">
        <v>1197831</v>
      </c>
      <c r="C1999" s="2">
        <v>44444</v>
      </c>
      <c r="D1999" t="s">
        <v>139</v>
      </c>
      <c r="E1999" t="s">
        <v>201</v>
      </c>
      <c r="F1999" t="s">
        <v>210</v>
      </c>
      <c r="G1999" t="s">
        <v>145</v>
      </c>
      <c r="H1999" s="3">
        <v>0.55000000000000004</v>
      </c>
      <c r="I1999">
        <v>6250</v>
      </c>
      <c r="J1999" s="4">
        <v>3437.5000000000005</v>
      </c>
      <c r="K1999" s="4">
        <v>1375</v>
      </c>
      <c r="L1999" s="5">
        <v>0.39999999999999997</v>
      </c>
      <c r="M1999" t="s">
        <v>132</v>
      </c>
      <c r="N1999" t="s">
        <v>363</v>
      </c>
    </row>
    <row r="2000" spans="1:14">
      <c r="A2000" t="s">
        <v>152</v>
      </c>
      <c r="B2000">
        <v>1197831</v>
      </c>
      <c r="C2000" s="2">
        <v>44444</v>
      </c>
      <c r="D2000" t="s">
        <v>139</v>
      </c>
      <c r="E2000" t="s">
        <v>201</v>
      </c>
      <c r="F2000" t="s">
        <v>210</v>
      </c>
      <c r="G2000" t="s">
        <v>146</v>
      </c>
      <c r="H2000" s="3">
        <v>0.6</v>
      </c>
      <c r="I2000">
        <v>6750</v>
      </c>
      <c r="J2000" s="4">
        <v>4050</v>
      </c>
      <c r="K2000" s="4">
        <v>1619.9999999999998</v>
      </c>
      <c r="L2000" s="5">
        <v>0.39999999999999997</v>
      </c>
      <c r="M2000" t="s">
        <v>132</v>
      </c>
      <c r="N2000" t="s">
        <v>363</v>
      </c>
    </row>
    <row r="2001" spans="1:14">
      <c r="A2001" t="s">
        <v>152</v>
      </c>
      <c r="B2001">
        <v>1197831</v>
      </c>
      <c r="C2001" s="2">
        <v>44444</v>
      </c>
      <c r="D2001" t="s">
        <v>139</v>
      </c>
      <c r="E2001" t="s">
        <v>201</v>
      </c>
      <c r="F2001" t="s">
        <v>210</v>
      </c>
      <c r="G2001" t="s">
        <v>148</v>
      </c>
      <c r="H2001" s="3">
        <v>0.6</v>
      </c>
      <c r="I2001">
        <v>4000</v>
      </c>
      <c r="J2001" s="4">
        <v>2400</v>
      </c>
      <c r="K2001" s="4">
        <v>1200</v>
      </c>
      <c r="L2001" s="5">
        <v>0.5</v>
      </c>
      <c r="M2001" t="s">
        <v>132</v>
      </c>
      <c r="N2001" t="s">
        <v>363</v>
      </c>
    </row>
    <row r="2002" spans="1:14">
      <c r="A2002" t="s">
        <v>152</v>
      </c>
      <c r="B2002">
        <v>1197831</v>
      </c>
      <c r="C2002" s="2">
        <v>44444</v>
      </c>
      <c r="D2002" t="s">
        <v>139</v>
      </c>
      <c r="E2002" t="s">
        <v>201</v>
      </c>
      <c r="F2002" t="s">
        <v>210</v>
      </c>
      <c r="G2002" t="s">
        <v>147</v>
      </c>
      <c r="H2002" s="3">
        <v>0.55000000000000004</v>
      </c>
      <c r="I2002">
        <v>4000</v>
      </c>
      <c r="J2002" s="4">
        <v>2200</v>
      </c>
      <c r="K2002" s="4">
        <v>770</v>
      </c>
      <c r="L2002" s="5">
        <v>0.35</v>
      </c>
      <c r="M2002" t="s">
        <v>132</v>
      </c>
      <c r="N2002" t="s">
        <v>363</v>
      </c>
    </row>
    <row r="2003" spans="1:14">
      <c r="A2003" t="s">
        <v>152</v>
      </c>
      <c r="B2003">
        <v>1197831</v>
      </c>
      <c r="C2003" s="2">
        <v>44444</v>
      </c>
      <c r="D2003" t="s">
        <v>139</v>
      </c>
      <c r="E2003" t="s">
        <v>201</v>
      </c>
      <c r="F2003" t="s">
        <v>210</v>
      </c>
      <c r="G2003" t="s">
        <v>144</v>
      </c>
      <c r="H2003" s="3">
        <v>0.5</v>
      </c>
      <c r="I2003">
        <v>6250</v>
      </c>
      <c r="J2003" s="4">
        <v>3125</v>
      </c>
      <c r="K2003" s="4">
        <v>1718.7500000000002</v>
      </c>
      <c r="L2003" s="5">
        <v>0.55000000000000004</v>
      </c>
      <c r="M2003" t="s">
        <v>132</v>
      </c>
      <c r="N2003" t="s">
        <v>363</v>
      </c>
    </row>
    <row r="2004" spans="1:14">
      <c r="A2004" t="s">
        <v>152</v>
      </c>
      <c r="B2004">
        <v>1197831</v>
      </c>
      <c r="C2004" s="2">
        <v>44473</v>
      </c>
      <c r="D2004" t="s">
        <v>139</v>
      </c>
      <c r="E2004" t="s">
        <v>201</v>
      </c>
      <c r="F2004" t="s">
        <v>210</v>
      </c>
      <c r="G2004" t="s">
        <v>27</v>
      </c>
      <c r="H2004" s="3">
        <v>0.4</v>
      </c>
      <c r="I2004">
        <v>5750</v>
      </c>
      <c r="J2004" s="4">
        <v>2300</v>
      </c>
      <c r="K2004" s="4">
        <v>919.99999999999989</v>
      </c>
      <c r="L2004" s="5">
        <v>0.39999999999999997</v>
      </c>
      <c r="M2004" t="s">
        <v>133</v>
      </c>
      <c r="N2004" t="s">
        <v>364</v>
      </c>
    </row>
    <row r="2005" spans="1:14">
      <c r="A2005" t="s">
        <v>152</v>
      </c>
      <c r="B2005">
        <v>1197831</v>
      </c>
      <c r="C2005" s="2">
        <v>44473</v>
      </c>
      <c r="D2005" t="s">
        <v>139</v>
      </c>
      <c r="E2005" t="s">
        <v>201</v>
      </c>
      <c r="F2005" t="s">
        <v>210</v>
      </c>
      <c r="G2005" t="s">
        <v>145</v>
      </c>
      <c r="H2005" s="3">
        <v>0.4</v>
      </c>
      <c r="I2005">
        <v>5750</v>
      </c>
      <c r="J2005" s="4">
        <v>2300</v>
      </c>
      <c r="K2005" s="4">
        <v>919.99999999999989</v>
      </c>
      <c r="L2005" s="5">
        <v>0.39999999999999997</v>
      </c>
      <c r="M2005" t="s">
        <v>133</v>
      </c>
      <c r="N2005" t="s">
        <v>364</v>
      </c>
    </row>
    <row r="2006" spans="1:14">
      <c r="A2006" t="s">
        <v>152</v>
      </c>
      <c r="B2006">
        <v>1197831</v>
      </c>
      <c r="C2006" s="2">
        <v>44473</v>
      </c>
      <c r="D2006" t="s">
        <v>139</v>
      </c>
      <c r="E2006" t="s">
        <v>201</v>
      </c>
      <c r="F2006" t="s">
        <v>210</v>
      </c>
      <c r="G2006" t="s">
        <v>146</v>
      </c>
      <c r="H2006" s="3">
        <v>0.45</v>
      </c>
      <c r="I2006">
        <v>5250</v>
      </c>
      <c r="J2006" s="4">
        <v>2362.5</v>
      </c>
      <c r="K2006" s="4">
        <v>944.99999999999989</v>
      </c>
      <c r="L2006" s="5">
        <v>0.39999999999999997</v>
      </c>
      <c r="M2006" t="s">
        <v>133</v>
      </c>
      <c r="N2006" t="s">
        <v>364</v>
      </c>
    </row>
    <row r="2007" spans="1:14">
      <c r="A2007" t="s">
        <v>152</v>
      </c>
      <c r="B2007">
        <v>1197831</v>
      </c>
      <c r="C2007" s="2">
        <v>44473</v>
      </c>
      <c r="D2007" t="s">
        <v>139</v>
      </c>
      <c r="E2007" t="s">
        <v>201</v>
      </c>
      <c r="F2007" t="s">
        <v>210</v>
      </c>
      <c r="G2007" t="s">
        <v>148</v>
      </c>
      <c r="H2007" s="3">
        <v>0.45</v>
      </c>
      <c r="I2007">
        <v>3750</v>
      </c>
      <c r="J2007" s="4">
        <v>1687.5</v>
      </c>
      <c r="K2007" s="4">
        <v>843.75</v>
      </c>
      <c r="L2007" s="5">
        <v>0.5</v>
      </c>
      <c r="M2007" t="s">
        <v>133</v>
      </c>
      <c r="N2007" t="s">
        <v>364</v>
      </c>
    </row>
    <row r="2008" spans="1:14">
      <c r="A2008" t="s">
        <v>152</v>
      </c>
      <c r="B2008">
        <v>1197831</v>
      </c>
      <c r="C2008" s="2">
        <v>44473</v>
      </c>
      <c r="D2008" t="s">
        <v>139</v>
      </c>
      <c r="E2008" t="s">
        <v>201</v>
      </c>
      <c r="F2008" t="s">
        <v>210</v>
      </c>
      <c r="G2008" t="s">
        <v>147</v>
      </c>
      <c r="H2008" s="3">
        <v>0.35000000000000003</v>
      </c>
      <c r="I2008">
        <v>3500</v>
      </c>
      <c r="J2008" s="4">
        <v>1225.0000000000002</v>
      </c>
      <c r="K2008" s="4">
        <v>428.75000000000006</v>
      </c>
      <c r="L2008" s="5">
        <v>0.35</v>
      </c>
      <c r="M2008" t="s">
        <v>133</v>
      </c>
      <c r="N2008" t="s">
        <v>364</v>
      </c>
    </row>
    <row r="2009" spans="1:14">
      <c r="A2009" t="s">
        <v>152</v>
      </c>
      <c r="B2009">
        <v>1197831</v>
      </c>
      <c r="C2009" s="2">
        <v>44473</v>
      </c>
      <c r="D2009" t="s">
        <v>139</v>
      </c>
      <c r="E2009" t="s">
        <v>201</v>
      </c>
      <c r="F2009" t="s">
        <v>210</v>
      </c>
      <c r="G2009" t="s">
        <v>144</v>
      </c>
      <c r="H2009" s="3">
        <v>0.45</v>
      </c>
      <c r="I2009">
        <v>5250</v>
      </c>
      <c r="J2009" s="4">
        <v>2362.5</v>
      </c>
      <c r="K2009" s="4">
        <v>1299.375</v>
      </c>
      <c r="L2009" s="5">
        <v>0.55000000000000004</v>
      </c>
      <c r="M2009" t="s">
        <v>133</v>
      </c>
      <c r="N2009" t="s">
        <v>364</v>
      </c>
    </row>
    <row r="2010" spans="1:14">
      <c r="A2010" t="s">
        <v>152</v>
      </c>
      <c r="B2010">
        <v>1197831</v>
      </c>
      <c r="C2010" s="2">
        <v>44505</v>
      </c>
      <c r="D2010" t="s">
        <v>139</v>
      </c>
      <c r="E2010" t="s">
        <v>201</v>
      </c>
      <c r="F2010" t="s">
        <v>210</v>
      </c>
      <c r="G2010" t="s">
        <v>27</v>
      </c>
      <c r="H2010" s="3">
        <v>0.35000000000000003</v>
      </c>
      <c r="I2010">
        <v>6750</v>
      </c>
      <c r="J2010" s="4">
        <v>2362.5</v>
      </c>
      <c r="K2010" s="4">
        <v>944.99999999999989</v>
      </c>
      <c r="L2010" s="5">
        <v>0.39999999999999997</v>
      </c>
      <c r="M2010" t="s">
        <v>134</v>
      </c>
      <c r="N2010" t="s">
        <v>364</v>
      </c>
    </row>
    <row r="2011" spans="1:14">
      <c r="A2011" t="s">
        <v>152</v>
      </c>
      <c r="B2011">
        <v>1197831</v>
      </c>
      <c r="C2011" s="2">
        <v>44505</v>
      </c>
      <c r="D2011" t="s">
        <v>139</v>
      </c>
      <c r="E2011" t="s">
        <v>201</v>
      </c>
      <c r="F2011" t="s">
        <v>210</v>
      </c>
      <c r="G2011" t="s">
        <v>145</v>
      </c>
      <c r="H2011" s="3">
        <v>0.35000000000000003</v>
      </c>
      <c r="I2011">
        <v>6750</v>
      </c>
      <c r="J2011" s="4">
        <v>2362.5</v>
      </c>
      <c r="K2011" s="4">
        <v>944.99999999999989</v>
      </c>
      <c r="L2011" s="5">
        <v>0.39999999999999997</v>
      </c>
      <c r="M2011" t="s">
        <v>134</v>
      </c>
      <c r="N2011" t="s">
        <v>364</v>
      </c>
    </row>
    <row r="2012" spans="1:14">
      <c r="A2012" t="s">
        <v>152</v>
      </c>
      <c r="B2012">
        <v>1197831</v>
      </c>
      <c r="C2012" s="2">
        <v>44505</v>
      </c>
      <c r="D2012" t="s">
        <v>139</v>
      </c>
      <c r="E2012" t="s">
        <v>201</v>
      </c>
      <c r="F2012" t="s">
        <v>210</v>
      </c>
      <c r="G2012" t="s">
        <v>146</v>
      </c>
      <c r="H2012" s="3">
        <v>0.6</v>
      </c>
      <c r="I2012">
        <v>6000</v>
      </c>
      <c r="J2012" s="4">
        <v>3600</v>
      </c>
      <c r="K2012" s="4">
        <v>1439.9999999999998</v>
      </c>
      <c r="L2012" s="5">
        <v>0.39999999999999997</v>
      </c>
      <c r="M2012" t="s">
        <v>134</v>
      </c>
      <c r="N2012" t="s">
        <v>364</v>
      </c>
    </row>
    <row r="2013" spans="1:14">
      <c r="A2013" t="s">
        <v>152</v>
      </c>
      <c r="B2013">
        <v>1197831</v>
      </c>
      <c r="C2013" s="2">
        <v>44505</v>
      </c>
      <c r="D2013" t="s">
        <v>139</v>
      </c>
      <c r="E2013" t="s">
        <v>201</v>
      </c>
      <c r="F2013" t="s">
        <v>210</v>
      </c>
      <c r="G2013" t="s">
        <v>148</v>
      </c>
      <c r="H2013" s="3">
        <v>0.6</v>
      </c>
      <c r="I2013">
        <v>4500</v>
      </c>
      <c r="J2013" s="4">
        <v>2700</v>
      </c>
      <c r="K2013" s="4">
        <v>1350</v>
      </c>
      <c r="L2013" s="5">
        <v>0.5</v>
      </c>
      <c r="M2013" t="s">
        <v>134</v>
      </c>
      <c r="N2013" t="s">
        <v>364</v>
      </c>
    </row>
    <row r="2014" spans="1:14">
      <c r="A2014" t="s">
        <v>152</v>
      </c>
      <c r="B2014">
        <v>1197831</v>
      </c>
      <c r="C2014" s="2">
        <v>44505</v>
      </c>
      <c r="D2014" t="s">
        <v>139</v>
      </c>
      <c r="E2014" t="s">
        <v>201</v>
      </c>
      <c r="F2014" t="s">
        <v>210</v>
      </c>
      <c r="G2014" t="s">
        <v>147</v>
      </c>
      <c r="H2014" s="3">
        <v>0.54999999999999993</v>
      </c>
      <c r="I2014">
        <v>4250</v>
      </c>
      <c r="J2014" s="4">
        <v>2337.4999999999995</v>
      </c>
      <c r="K2014" s="4">
        <v>818.12499999999977</v>
      </c>
      <c r="L2014" s="5">
        <v>0.35</v>
      </c>
      <c r="M2014" t="s">
        <v>134</v>
      </c>
      <c r="N2014" t="s">
        <v>364</v>
      </c>
    </row>
    <row r="2015" spans="1:14">
      <c r="A2015" t="s">
        <v>152</v>
      </c>
      <c r="B2015">
        <v>1197831</v>
      </c>
      <c r="C2015" s="2">
        <v>44505</v>
      </c>
      <c r="D2015" t="s">
        <v>139</v>
      </c>
      <c r="E2015" t="s">
        <v>201</v>
      </c>
      <c r="F2015" t="s">
        <v>210</v>
      </c>
      <c r="G2015" t="s">
        <v>144</v>
      </c>
      <c r="H2015" s="3">
        <v>0.65</v>
      </c>
      <c r="I2015">
        <v>6250</v>
      </c>
      <c r="J2015" s="4">
        <v>4062.5</v>
      </c>
      <c r="K2015" s="4">
        <v>2234.375</v>
      </c>
      <c r="L2015" s="5">
        <v>0.55000000000000004</v>
      </c>
      <c r="M2015" t="s">
        <v>134</v>
      </c>
      <c r="N2015" t="s">
        <v>364</v>
      </c>
    </row>
    <row r="2016" spans="1:14">
      <c r="A2016" t="s">
        <v>152</v>
      </c>
      <c r="B2016">
        <v>1197831</v>
      </c>
      <c r="C2016" s="2">
        <v>44534</v>
      </c>
      <c r="D2016" t="s">
        <v>139</v>
      </c>
      <c r="E2016" t="s">
        <v>201</v>
      </c>
      <c r="F2016" t="s">
        <v>210</v>
      </c>
      <c r="G2016" t="s">
        <v>27</v>
      </c>
      <c r="H2016" s="3">
        <v>0.54999999999999993</v>
      </c>
      <c r="I2016">
        <v>7750</v>
      </c>
      <c r="J2016" s="4">
        <v>4262.4999999999991</v>
      </c>
      <c r="K2016" s="4">
        <v>1704.9999999999995</v>
      </c>
      <c r="L2016" s="5">
        <v>0.39999999999999997</v>
      </c>
      <c r="M2016" t="s">
        <v>23</v>
      </c>
      <c r="N2016" t="s">
        <v>364</v>
      </c>
    </row>
    <row r="2017" spans="1:14">
      <c r="A2017" t="s">
        <v>152</v>
      </c>
      <c r="B2017">
        <v>1197831</v>
      </c>
      <c r="C2017" s="2">
        <v>44534</v>
      </c>
      <c r="D2017" t="s">
        <v>139</v>
      </c>
      <c r="E2017" t="s">
        <v>201</v>
      </c>
      <c r="F2017" t="s">
        <v>210</v>
      </c>
      <c r="G2017" t="s">
        <v>145</v>
      </c>
      <c r="H2017" s="3">
        <v>0.54999999999999993</v>
      </c>
      <c r="I2017">
        <v>7750</v>
      </c>
      <c r="J2017" s="4">
        <v>4262.4999999999991</v>
      </c>
      <c r="K2017" s="4">
        <v>1704.9999999999995</v>
      </c>
      <c r="L2017" s="5">
        <v>0.39999999999999997</v>
      </c>
      <c r="M2017" t="s">
        <v>23</v>
      </c>
      <c r="N2017" t="s">
        <v>364</v>
      </c>
    </row>
    <row r="2018" spans="1:14">
      <c r="A2018" t="s">
        <v>152</v>
      </c>
      <c r="B2018">
        <v>1197831</v>
      </c>
      <c r="C2018" s="2">
        <v>44534</v>
      </c>
      <c r="D2018" t="s">
        <v>139</v>
      </c>
      <c r="E2018" t="s">
        <v>201</v>
      </c>
      <c r="F2018" t="s">
        <v>210</v>
      </c>
      <c r="G2018" t="s">
        <v>146</v>
      </c>
      <c r="H2018" s="3">
        <v>0.6</v>
      </c>
      <c r="I2018">
        <v>6750</v>
      </c>
      <c r="J2018" s="4">
        <v>4050</v>
      </c>
      <c r="K2018" s="4">
        <v>1619.9999999999998</v>
      </c>
      <c r="L2018" s="5">
        <v>0.39999999999999997</v>
      </c>
      <c r="M2018" t="s">
        <v>23</v>
      </c>
      <c r="N2018" t="s">
        <v>364</v>
      </c>
    </row>
    <row r="2019" spans="1:14">
      <c r="A2019" t="s">
        <v>152</v>
      </c>
      <c r="B2019">
        <v>1197831</v>
      </c>
      <c r="C2019" s="2">
        <v>44534</v>
      </c>
      <c r="D2019" t="s">
        <v>139</v>
      </c>
      <c r="E2019" t="s">
        <v>201</v>
      </c>
      <c r="F2019" t="s">
        <v>210</v>
      </c>
      <c r="G2019" t="s">
        <v>148</v>
      </c>
      <c r="H2019" s="3">
        <v>0.6</v>
      </c>
      <c r="I2019">
        <v>5250</v>
      </c>
      <c r="J2019" s="4">
        <v>3150</v>
      </c>
      <c r="K2019" s="4">
        <v>1575</v>
      </c>
      <c r="L2019" s="5">
        <v>0.5</v>
      </c>
      <c r="M2019" t="s">
        <v>23</v>
      </c>
      <c r="N2019" t="s">
        <v>364</v>
      </c>
    </row>
    <row r="2020" spans="1:14">
      <c r="A2020" t="s">
        <v>152</v>
      </c>
      <c r="B2020">
        <v>1197831</v>
      </c>
      <c r="C2020" s="2">
        <v>44534</v>
      </c>
      <c r="D2020" t="s">
        <v>139</v>
      </c>
      <c r="E2020" t="s">
        <v>201</v>
      </c>
      <c r="F2020" t="s">
        <v>210</v>
      </c>
      <c r="G2020" t="s">
        <v>147</v>
      </c>
      <c r="H2020" s="3">
        <v>0.54999999999999993</v>
      </c>
      <c r="I2020">
        <v>4750</v>
      </c>
      <c r="J2020" s="4">
        <v>2612.4999999999995</v>
      </c>
      <c r="K2020" s="4">
        <v>914.37499999999977</v>
      </c>
      <c r="L2020" s="5">
        <v>0.35</v>
      </c>
      <c r="M2020" t="s">
        <v>23</v>
      </c>
      <c r="N2020" t="s">
        <v>364</v>
      </c>
    </row>
    <row r="2021" spans="1:14">
      <c r="A2021" t="s">
        <v>152</v>
      </c>
      <c r="B2021">
        <v>1197831</v>
      </c>
      <c r="C2021" s="2">
        <v>44534</v>
      </c>
      <c r="D2021" t="s">
        <v>139</v>
      </c>
      <c r="E2021" t="s">
        <v>201</v>
      </c>
      <c r="F2021" t="s">
        <v>210</v>
      </c>
      <c r="G2021" t="s">
        <v>144</v>
      </c>
      <c r="H2021" s="3">
        <v>0.65</v>
      </c>
      <c r="I2021">
        <v>7250</v>
      </c>
      <c r="J2021" s="4">
        <v>4712.5</v>
      </c>
      <c r="K2021" s="4">
        <v>2591.875</v>
      </c>
      <c r="L2021" s="5">
        <v>0.55000000000000004</v>
      </c>
      <c r="M2021" t="s">
        <v>23</v>
      </c>
      <c r="N2021" t="s">
        <v>364</v>
      </c>
    </row>
    <row r="2022" spans="1:14">
      <c r="A2022" t="s">
        <v>151</v>
      </c>
      <c r="B2022">
        <v>1128299</v>
      </c>
      <c r="C2022" s="2">
        <v>44219</v>
      </c>
      <c r="D2022" t="s">
        <v>28</v>
      </c>
      <c r="E2022" t="s">
        <v>217</v>
      </c>
      <c r="F2022" t="s">
        <v>226</v>
      </c>
      <c r="G2022" t="s">
        <v>27</v>
      </c>
      <c r="H2022" s="3">
        <v>0.29999999999999993</v>
      </c>
      <c r="I2022">
        <v>4250</v>
      </c>
      <c r="J2022" s="4">
        <v>1274.9999999999998</v>
      </c>
      <c r="K2022" s="4">
        <v>446.24999999999989</v>
      </c>
      <c r="L2022" s="5">
        <v>0.35</v>
      </c>
      <c r="M2022" t="s">
        <v>125</v>
      </c>
      <c r="N2022" t="s">
        <v>361</v>
      </c>
    </row>
    <row r="2023" spans="1:14">
      <c r="A2023" t="s">
        <v>151</v>
      </c>
      <c r="B2023">
        <v>1128299</v>
      </c>
      <c r="C2023" s="2">
        <v>44219</v>
      </c>
      <c r="D2023" t="s">
        <v>28</v>
      </c>
      <c r="E2023" t="s">
        <v>217</v>
      </c>
      <c r="F2023" t="s">
        <v>226</v>
      </c>
      <c r="G2023" t="s">
        <v>145</v>
      </c>
      <c r="H2023" s="3">
        <v>0.4</v>
      </c>
      <c r="I2023">
        <v>4250</v>
      </c>
      <c r="J2023" s="4">
        <v>1700</v>
      </c>
      <c r="K2023" s="4">
        <v>680</v>
      </c>
      <c r="L2023" s="5">
        <v>0.4</v>
      </c>
      <c r="M2023" t="s">
        <v>125</v>
      </c>
      <c r="N2023" t="s">
        <v>361</v>
      </c>
    </row>
    <row r="2024" spans="1:14">
      <c r="A2024" t="s">
        <v>151</v>
      </c>
      <c r="B2024">
        <v>1128299</v>
      </c>
      <c r="C2024" s="2">
        <v>44219</v>
      </c>
      <c r="D2024" t="s">
        <v>28</v>
      </c>
      <c r="E2024" t="s">
        <v>217</v>
      </c>
      <c r="F2024" t="s">
        <v>226</v>
      </c>
      <c r="G2024" t="s">
        <v>146</v>
      </c>
      <c r="H2024" s="3">
        <v>0.4</v>
      </c>
      <c r="I2024">
        <v>4250</v>
      </c>
      <c r="J2024" s="4">
        <v>1700</v>
      </c>
      <c r="K2024" s="4">
        <v>595</v>
      </c>
      <c r="L2024" s="5">
        <v>0.35</v>
      </c>
      <c r="M2024" t="s">
        <v>125</v>
      </c>
      <c r="N2024" t="s">
        <v>361</v>
      </c>
    </row>
    <row r="2025" spans="1:14">
      <c r="A2025" t="s">
        <v>151</v>
      </c>
      <c r="B2025">
        <v>1128299</v>
      </c>
      <c r="C2025" s="2">
        <v>44219</v>
      </c>
      <c r="D2025" t="s">
        <v>28</v>
      </c>
      <c r="E2025" t="s">
        <v>217</v>
      </c>
      <c r="F2025" t="s">
        <v>226</v>
      </c>
      <c r="G2025" t="s">
        <v>148</v>
      </c>
      <c r="H2025" s="3">
        <v>0.4</v>
      </c>
      <c r="I2025">
        <v>2750</v>
      </c>
      <c r="J2025" s="4">
        <v>1100</v>
      </c>
      <c r="K2025" s="4">
        <v>385</v>
      </c>
      <c r="L2025" s="5">
        <v>0.35</v>
      </c>
      <c r="M2025" t="s">
        <v>125</v>
      </c>
      <c r="N2025" t="s">
        <v>361</v>
      </c>
    </row>
    <row r="2026" spans="1:14">
      <c r="A2026" t="s">
        <v>151</v>
      </c>
      <c r="B2026">
        <v>1128299</v>
      </c>
      <c r="C2026" s="2">
        <v>44219</v>
      </c>
      <c r="D2026" t="s">
        <v>28</v>
      </c>
      <c r="E2026" t="s">
        <v>217</v>
      </c>
      <c r="F2026" t="s">
        <v>226</v>
      </c>
      <c r="G2026" t="s">
        <v>147</v>
      </c>
      <c r="H2026" s="3">
        <v>0.45000000000000007</v>
      </c>
      <c r="I2026">
        <v>2250</v>
      </c>
      <c r="J2026" s="4">
        <v>1012.5000000000001</v>
      </c>
      <c r="K2026" s="4">
        <v>303.75</v>
      </c>
      <c r="L2026" s="5">
        <v>0.3</v>
      </c>
      <c r="M2026" t="s">
        <v>125</v>
      </c>
      <c r="N2026" t="s">
        <v>361</v>
      </c>
    </row>
    <row r="2027" spans="1:14">
      <c r="A2027" t="s">
        <v>151</v>
      </c>
      <c r="B2027">
        <v>1128299</v>
      </c>
      <c r="C2027" s="2">
        <v>44219</v>
      </c>
      <c r="D2027" t="s">
        <v>28</v>
      </c>
      <c r="E2027" t="s">
        <v>217</v>
      </c>
      <c r="F2027" t="s">
        <v>226</v>
      </c>
      <c r="G2027" t="s">
        <v>144</v>
      </c>
      <c r="H2027" s="3">
        <v>0.4</v>
      </c>
      <c r="I2027">
        <v>4250</v>
      </c>
      <c r="J2027" s="4">
        <v>1700</v>
      </c>
      <c r="K2027" s="4">
        <v>425</v>
      </c>
      <c r="L2027" s="5">
        <v>0.25</v>
      </c>
      <c r="M2027" t="s">
        <v>125</v>
      </c>
      <c r="N2027" t="s">
        <v>361</v>
      </c>
    </row>
    <row r="2028" spans="1:14">
      <c r="A2028" t="s">
        <v>151</v>
      </c>
      <c r="B2028">
        <v>1128299</v>
      </c>
      <c r="C2028" s="2">
        <v>44250</v>
      </c>
      <c r="D2028" t="s">
        <v>28</v>
      </c>
      <c r="E2028" t="s">
        <v>217</v>
      </c>
      <c r="F2028" t="s">
        <v>226</v>
      </c>
      <c r="G2028" t="s">
        <v>27</v>
      </c>
      <c r="H2028" s="3">
        <v>0.29999999999999993</v>
      </c>
      <c r="I2028">
        <v>4750</v>
      </c>
      <c r="J2028" s="4">
        <v>1424.9999999999998</v>
      </c>
      <c r="K2028" s="4">
        <v>498.74999999999989</v>
      </c>
      <c r="L2028" s="5">
        <v>0.35</v>
      </c>
      <c r="M2028" t="s">
        <v>126</v>
      </c>
      <c r="N2028" t="s">
        <v>361</v>
      </c>
    </row>
    <row r="2029" spans="1:14">
      <c r="A2029" t="s">
        <v>151</v>
      </c>
      <c r="B2029">
        <v>1128299</v>
      </c>
      <c r="C2029" s="2">
        <v>44250</v>
      </c>
      <c r="D2029" t="s">
        <v>28</v>
      </c>
      <c r="E2029" t="s">
        <v>217</v>
      </c>
      <c r="F2029" t="s">
        <v>226</v>
      </c>
      <c r="G2029" t="s">
        <v>145</v>
      </c>
      <c r="H2029" s="3">
        <v>0.4</v>
      </c>
      <c r="I2029">
        <v>3750</v>
      </c>
      <c r="J2029" s="4">
        <v>1500</v>
      </c>
      <c r="K2029" s="4">
        <v>600</v>
      </c>
      <c r="L2029" s="5">
        <v>0.4</v>
      </c>
      <c r="M2029" t="s">
        <v>126</v>
      </c>
      <c r="N2029" t="s">
        <v>361</v>
      </c>
    </row>
    <row r="2030" spans="1:14">
      <c r="A2030" t="s">
        <v>151</v>
      </c>
      <c r="B2030">
        <v>1128299</v>
      </c>
      <c r="C2030" s="2">
        <v>44250</v>
      </c>
      <c r="D2030" t="s">
        <v>28</v>
      </c>
      <c r="E2030" t="s">
        <v>217</v>
      </c>
      <c r="F2030" t="s">
        <v>226</v>
      </c>
      <c r="G2030" t="s">
        <v>146</v>
      </c>
      <c r="H2030" s="3">
        <v>0.4</v>
      </c>
      <c r="I2030">
        <v>3750</v>
      </c>
      <c r="J2030" s="4">
        <v>1500</v>
      </c>
      <c r="K2030" s="4">
        <v>525</v>
      </c>
      <c r="L2030" s="5">
        <v>0.35</v>
      </c>
      <c r="M2030" t="s">
        <v>126</v>
      </c>
      <c r="N2030" t="s">
        <v>361</v>
      </c>
    </row>
    <row r="2031" spans="1:14">
      <c r="A2031" t="s">
        <v>151</v>
      </c>
      <c r="B2031">
        <v>1128299</v>
      </c>
      <c r="C2031" s="2">
        <v>44250</v>
      </c>
      <c r="D2031" t="s">
        <v>28</v>
      </c>
      <c r="E2031" t="s">
        <v>217</v>
      </c>
      <c r="F2031" t="s">
        <v>226</v>
      </c>
      <c r="G2031" t="s">
        <v>148</v>
      </c>
      <c r="H2031" s="3">
        <v>0.4</v>
      </c>
      <c r="I2031">
        <v>2250</v>
      </c>
      <c r="J2031" s="4">
        <v>900</v>
      </c>
      <c r="K2031" s="4">
        <v>315</v>
      </c>
      <c r="L2031" s="5">
        <v>0.35</v>
      </c>
      <c r="M2031" t="s">
        <v>126</v>
      </c>
      <c r="N2031" t="s">
        <v>361</v>
      </c>
    </row>
    <row r="2032" spans="1:14">
      <c r="A2032" t="s">
        <v>151</v>
      </c>
      <c r="B2032">
        <v>1128299</v>
      </c>
      <c r="C2032" s="2">
        <v>44250</v>
      </c>
      <c r="D2032" t="s">
        <v>28</v>
      </c>
      <c r="E2032" t="s">
        <v>217</v>
      </c>
      <c r="F2032" t="s">
        <v>226</v>
      </c>
      <c r="G2032" t="s">
        <v>147</v>
      </c>
      <c r="H2032" s="3">
        <v>0.45000000000000007</v>
      </c>
      <c r="I2032">
        <v>1500</v>
      </c>
      <c r="J2032" s="4">
        <v>675.00000000000011</v>
      </c>
      <c r="K2032" s="4">
        <v>202.50000000000003</v>
      </c>
      <c r="L2032" s="5">
        <v>0.3</v>
      </c>
      <c r="M2032" t="s">
        <v>126</v>
      </c>
      <c r="N2032" t="s">
        <v>361</v>
      </c>
    </row>
    <row r="2033" spans="1:14">
      <c r="A2033" t="s">
        <v>151</v>
      </c>
      <c r="B2033">
        <v>1128299</v>
      </c>
      <c r="C2033" s="2">
        <v>44250</v>
      </c>
      <c r="D2033" t="s">
        <v>28</v>
      </c>
      <c r="E2033" t="s">
        <v>217</v>
      </c>
      <c r="F2033" t="s">
        <v>226</v>
      </c>
      <c r="G2033" t="s">
        <v>144</v>
      </c>
      <c r="H2033" s="3">
        <v>0.4</v>
      </c>
      <c r="I2033">
        <v>3500</v>
      </c>
      <c r="J2033" s="4">
        <v>1400</v>
      </c>
      <c r="K2033" s="4">
        <v>350</v>
      </c>
      <c r="L2033" s="5">
        <v>0.25</v>
      </c>
      <c r="M2033" t="s">
        <v>126</v>
      </c>
      <c r="N2033" t="s">
        <v>361</v>
      </c>
    </row>
    <row r="2034" spans="1:14">
      <c r="A2034" t="s">
        <v>151</v>
      </c>
      <c r="B2034">
        <v>1128299</v>
      </c>
      <c r="C2034" s="2">
        <v>44277</v>
      </c>
      <c r="D2034" t="s">
        <v>28</v>
      </c>
      <c r="E2034" t="s">
        <v>217</v>
      </c>
      <c r="F2034" t="s">
        <v>226</v>
      </c>
      <c r="G2034" t="s">
        <v>27</v>
      </c>
      <c r="H2034" s="3">
        <v>0.4</v>
      </c>
      <c r="I2034">
        <v>5000</v>
      </c>
      <c r="J2034" s="4">
        <v>2000</v>
      </c>
      <c r="K2034" s="4">
        <v>700</v>
      </c>
      <c r="L2034" s="5">
        <v>0.35</v>
      </c>
      <c r="M2034" t="s">
        <v>24</v>
      </c>
      <c r="N2034" t="s">
        <v>361</v>
      </c>
    </row>
    <row r="2035" spans="1:14">
      <c r="A2035" t="s">
        <v>151</v>
      </c>
      <c r="B2035">
        <v>1128299</v>
      </c>
      <c r="C2035" s="2">
        <v>44277</v>
      </c>
      <c r="D2035" t="s">
        <v>28</v>
      </c>
      <c r="E2035" t="s">
        <v>217</v>
      </c>
      <c r="F2035" t="s">
        <v>226</v>
      </c>
      <c r="G2035" t="s">
        <v>145</v>
      </c>
      <c r="H2035" s="3">
        <v>0.5</v>
      </c>
      <c r="I2035">
        <v>3500</v>
      </c>
      <c r="J2035" s="4">
        <v>1750</v>
      </c>
      <c r="K2035" s="4">
        <v>700</v>
      </c>
      <c r="L2035" s="5">
        <v>0.4</v>
      </c>
      <c r="M2035" t="s">
        <v>24</v>
      </c>
      <c r="N2035" t="s">
        <v>361</v>
      </c>
    </row>
    <row r="2036" spans="1:14">
      <c r="A2036" t="s">
        <v>151</v>
      </c>
      <c r="B2036">
        <v>1128299</v>
      </c>
      <c r="C2036" s="2">
        <v>44277</v>
      </c>
      <c r="D2036" t="s">
        <v>28</v>
      </c>
      <c r="E2036" t="s">
        <v>217</v>
      </c>
      <c r="F2036" t="s">
        <v>226</v>
      </c>
      <c r="G2036" t="s">
        <v>146</v>
      </c>
      <c r="H2036" s="3">
        <v>0.5</v>
      </c>
      <c r="I2036">
        <v>3500</v>
      </c>
      <c r="J2036" s="4">
        <v>1750</v>
      </c>
      <c r="K2036" s="4">
        <v>612.5</v>
      </c>
      <c r="L2036" s="5">
        <v>0.35</v>
      </c>
      <c r="M2036" t="s">
        <v>24</v>
      </c>
      <c r="N2036" t="s">
        <v>361</v>
      </c>
    </row>
    <row r="2037" spans="1:14">
      <c r="A2037" t="s">
        <v>151</v>
      </c>
      <c r="B2037">
        <v>1128299</v>
      </c>
      <c r="C2037" s="2">
        <v>44277</v>
      </c>
      <c r="D2037" t="s">
        <v>28</v>
      </c>
      <c r="E2037" t="s">
        <v>217</v>
      </c>
      <c r="F2037" t="s">
        <v>226</v>
      </c>
      <c r="G2037" t="s">
        <v>148</v>
      </c>
      <c r="H2037" s="3">
        <v>0.5</v>
      </c>
      <c r="I2037">
        <v>2250</v>
      </c>
      <c r="J2037" s="4">
        <v>1125</v>
      </c>
      <c r="K2037" s="4">
        <v>393.75</v>
      </c>
      <c r="L2037" s="5">
        <v>0.35</v>
      </c>
      <c r="M2037" t="s">
        <v>24</v>
      </c>
      <c r="N2037" t="s">
        <v>361</v>
      </c>
    </row>
    <row r="2038" spans="1:14">
      <c r="A2038" t="s">
        <v>151</v>
      </c>
      <c r="B2038">
        <v>1128299</v>
      </c>
      <c r="C2038" s="2">
        <v>44277</v>
      </c>
      <c r="D2038" t="s">
        <v>28</v>
      </c>
      <c r="E2038" t="s">
        <v>217</v>
      </c>
      <c r="F2038" t="s">
        <v>226</v>
      </c>
      <c r="G2038" t="s">
        <v>147</v>
      </c>
      <c r="H2038" s="3">
        <v>0.55000000000000004</v>
      </c>
      <c r="I2038">
        <v>1250</v>
      </c>
      <c r="J2038" s="4">
        <v>687.5</v>
      </c>
      <c r="K2038" s="4">
        <v>206.25</v>
      </c>
      <c r="L2038" s="5">
        <v>0.3</v>
      </c>
      <c r="M2038" t="s">
        <v>24</v>
      </c>
      <c r="N2038" t="s">
        <v>361</v>
      </c>
    </row>
    <row r="2039" spans="1:14">
      <c r="A2039" t="s">
        <v>151</v>
      </c>
      <c r="B2039">
        <v>1128299</v>
      </c>
      <c r="C2039" s="2">
        <v>44277</v>
      </c>
      <c r="D2039" t="s">
        <v>28</v>
      </c>
      <c r="E2039" t="s">
        <v>217</v>
      </c>
      <c r="F2039" t="s">
        <v>226</v>
      </c>
      <c r="G2039" t="s">
        <v>144</v>
      </c>
      <c r="H2039" s="3">
        <v>0.5</v>
      </c>
      <c r="I2039">
        <v>3250</v>
      </c>
      <c r="J2039" s="4">
        <v>1625</v>
      </c>
      <c r="K2039" s="4">
        <v>406.25</v>
      </c>
      <c r="L2039" s="5">
        <v>0.25</v>
      </c>
      <c r="M2039" t="s">
        <v>24</v>
      </c>
      <c r="N2039" t="s">
        <v>361</v>
      </c>
    </row>
    <row r="2040" spans="1:14">
      <c r="A2040" t="s">
        <v>151</v>
      </c>
      <c r="B2040">
        <v>1128299</v>
      </c>
      <c r="C2040" s="2">
        <v>44309</v>
      </c>
      <c r="D2040" t="s">
        <v>28</v>
      </c>
      <c r="E2040" t="s">
        <v>217</v>
      </c>
      <c r="F2040" t="s">
        <v>226</v>
      </c>
      <c r="G2040" t="s">
        <v>27</v>
      </c>
      <c r="H2040" s="3">
        <v>0.5</v>
      </c>
      <c r="I2040">
        <v>5000</v>
      </c>
      <c r="J2040" s="4">
        <v>2500</v>
      </c>
      <c r="K2040" s="4">
        <v>875</v>
      </c>
      <c r="L2040" s="5">
        <v>0.35</v>
      </c>
      <c r="M2040" t="s">
        <v>127</v>
      </c>
      <c r="N2040" t="s">
        <v>362</v>
      </c>
    </row>
    <row r="2041" spans="1:14">
      <c r="A2041" t="s">
        <v>151</v>
      </c>
      <c r="B2041">
        <v>1128299</v>
      </c>
      <c r="C2041" s="2">
        <v>44309</v>
      </c>
      <c r="D2041" t="s">
        <v>28</v>
      </c>
      <c r="E2041" t="s">
        <v>217</v>
      </c>
      <c r="F2041" t="s">
        <v>226</v>
      </c>
      <c r="G2041" t="s">
        <v>145</v>
      </c>
      <c r="H2041" s="3">
        <v>0.55000000000000004</v>
      </c>
      <c r="I2041">
        <v>3000</v>
      </c>
      <c r="J2041" s="4">
        <v>1650.0000000000002</v>
      </c>
      <c r="K2041" s="4">
        <v>660.00000000000011</v>
      </c>
      <c r="L2041" s="5">
        <v>0.4</v>
      </c>
      <c r="M2041" t="s">
        <v>127</v>
      </c>
      <c r="N2041" t="s">
        <v>362</v>
      </c>
    </row>
    <row r="2042" spans="1:14">
      <c r="A2042" t="s">
        <v>151</v>
      </c>
      <c r="B2042">
        <v>1128299</v>
      </c>
      <c r="C2042" s="2">
        <v>44309</v>
      </c>
      <c r="D2042" t="s">
        <v>28</v>
      </c>
      <c r="E2042" t="s">
        <v>217</v>
      </c>
      <c r="F2042" t="s">
        <v>226</v>
      </c>
      <c r="G2042" t="s">
        <v>146</v>
      </c>
      <c r="H2042" s="3">
        <v>0.55000000000000004</v>
      </c>
      <c r="I2042">
        <v>3500</v>
      </c>
      <c r="J2042" s="4">
        <v>1925.0000000000002</v>
      </c>
      <c r="K2042" s="4">
        <v>673.75</v>
      </c>
      <c r="L2042" s="5">
        <v>0.35</v>
      </c>
      <c r="M2042" t="s">
        <v>127</v>
      </c>
      <c r="N2042" t="s">
        <v>362</v>
      </c>
    </row>
    <row r="2043" spans="1:14">
      <c r="A2043" t="s">
        <v>151</v>
      </c>
      <c r="B2043">
        <v>1128299</v>
      </c>
      <c r="C2043" s="2">
        <v>44309</v>
      </c>
      <c r="D2043" t="s">
        <v>28</v>
      </c>
      <c r="E2043" t="s">
        <v>217</v>
      </c>
      <c r="F2043" t="s">
        <v>226</v>
      </c>
      <c r="G2043" t="s">
        <v>148</v>
      </c>
      <c r="H2043" s="3">
        <v>0.5</v>
      </c>
      <c r="I2043">
        <v>2500</v>
      </c>
      <c r="J2043" s="4">
        <v>1250</v>
      </c>
      <c r="K2043" s="4">
        <v>437.5</v>
      </c>
      <c r="L2043" s="5">
        <v>0.35</v>
      </c>
      <c r="M2043" t="s">
        <v>127</v>
      </c>
      <c r="N2043" t="s">
        <v>362</v>
      </c>
    </row>
    <row r="2044" spans="1:14">
      <c r="A2044" t="s">
        <v>151</v>
      </c>
      <c r="B2044">
        <v>1128299</v>
      </c>
      <c r="C2044" s="2">
        <v>44309</v>
      </c>
      <c r="D2044" t="s">
        <v>28</v>
      </c>
      <c r="E2044" t="s">
        <v>217</v>
      </c>
      <c r="F2044" t="s">
        <v>226</v>
      </c>
      <c r="G2044" t="s">
        <v>147</v>
      </c>
      <c r="H2044" s="3">
        <v>0.55000000000000004</v>
      </c>
      <c r="I2044">
        <v>1500</v>
      </c>
      <c r="J2044" s="4">
        <v>825.00000000000011</v>
      </c>
      <c r="K2044" s="4">
        <v>247.50000000000003</v>
      </c>
      <c r="L2044" s="5">
        <v>0.3</v>
      </c>
      <c r="M2044" t="s">
        <v>127</v>
      </c>
      <c r="N2044" t="s">
        <v>362</v>
      </c>
    </row>
    <row r="2045" spans="1:14">
      <c r="A2045" t="s">
        <v>151</v>
      </c>
      <c r="B2045">
        <v>1128299</v>
      </c>
      <c r="C2045" s="2">
        <v>44309</v>
      </c>
      <c r="D2045" t="s">
        <v>28</v>
      </c>
      <c r="E2045" t="s">
        <v>217</v>
      </c>
      <c r="F2045" t="s">
        <v>226</v>
      </c>
      <c r="G2045" t="s">
        <v>144</v>
      </c>
      <c r="H2045" s="3">
        <v>0.70000000000000007</v>
      </c>
      <c r="I2045">
        <v>3250</v>
      </c>
      <c r="J2045" s="4">
        <v>2275</v>
      </c>
      <c r="K2045" s="4">
        <v>568.75</v>
      </c>
      <c r="L2045" s="5">
        <v>0.25</v>
      </c>
      <c r="M2045" t="s">
        <v>127</v>
      </c>
      <c r="N2045" t="s">
        <v>362</v>
      </c>
    </row>
    <row r="2046" spans="1:14">
      <c r="A2046" t="s">
        <v>151</v>
      </c>
      <c r="B2046">
        <v>1128299</v>
      </c>
      <c r="C2046" s="2">
        <v>44340</v>
      </c>
      <c r="D2046" t="s">
        <v>28</v>
      </c>
      <c r="E2046" t="s">
        <v>217</v>
      </c>
      <c r="F2046" t="s">
        <v>226</v>
      </c>
      <c r="G2046" t="s">
        <v>27</v>
      </c>
      <c r="H2046" s="3">
        <v>0.5</v>
      </c>
      <c r="I2046">
        <v>5250</v>
      </c>
      <c r="J2046" s="4">
        <v>2625</v>
      </c>
      <c r="K2046" s="4">
        <v>918.74999999999989</v>
      </c>
      <c r="L2046" s="5">
        <v>0.35</v>
      </c>
      <c r="M2046" t="s">
        <v>128</v>
      </c>
      <c r="N2046" t="s">
        <v>362</v>
      </c>
    </row>
    <row r="2047" spans="1:14">
      <c r="A2047" t="s">
        <v>151</v>
      </c>
      <c r="B2047">
        <v>1128299</v>
      </c>
      <c r="C2047" s="2">
        <v>44340</v>
      </c>
      <c r="D2047" t="s">
        <v>28</v>
      </c>
      <c r="E2047" t="s">
        <v>217</v>
      </c>
      <c r="F2047" t="s">
        <v>226</v>
      </c>
      <c r="G2047" t="s">
        <v>145</v>
      </c>
      <c r="H2047" s="3">
        <v>0.55000000000000004</v>
      </c>
      <c r="I2047">
        <v>3750</v>
      </c>
      <c r="J2047" s="4">
        <v>2062.5</v>
      </c>
      <c r="K2047" s="4">
        <v>825</v>
      </c>
      <c r="L2047" s="5">
        <v>0.4</v>
      </c>
      <c r="M2047" t="s">
        <v>128</v>
      </c>
      <c r="N2047" t="s">
        <v>362</v>
      </c>
    </row>
    <row r="2048" spans="1:14">
      <c r="A2048" t="s">
        <v>151</v>
      </c>
      <c r="B2048">
        <v>1128299</v>
      </c>
      <c r="C2048" s="2">
        <v>44340</v>
      </c>
      <c r="D2048" t="s">
        <v>28</v>
      </c>
      <c r="E2048" t="s">
        <v>217</v>
      </c>
      <c r="F2048" t="s">
        <v>226</v>
      </c>
      <c r="G2048" t="s">
        <v>146</v>
      </c>
      <c r="H2048" s="3">
        <v>0.55000000000000004</v>
      </c>
      <c r="I2048">
        <v>4000</v>
      </c>
      <c r="J2048" s="4">
        <v>2200</v>
      </c>
      <c r="K2048" s="4">
        <v>770</v>
      </c>
      <c r="L2048" s="5">
        <v>0.35</v>
      </c>
      <c r="M2048" t="s">
        <v>128</v>
      </c>
      <c r="N2048" t="s">
        <v>362</v>
      </c>
    </row>
    <row r="2049" spans="1:14">
      <c r="A2049" t="s">
        <v>151</v>
      </c>
      <c r="B2049">
        <v>1128299</v>
      </c>
      <c r="C2049" s="2">
        <v>44340</v>
      </c>
      <c r="D2049" t="s">
        <v>28</v>
      </c>
      <c r="E2049" t="s">
        <v>217</v>
      </c>
      <c r="F2049" t="s">
        <v>226</v>
      </c>
      <c r="G2049" t="s">
        <v>148</v>
      </c>
      <c r="H2049" s="3">
        <v>0.5</v>
      </c>
      <c r="I2049">
        <v>3000</v>
      </c>
      <c r="J2049" s="4">
        <v>1500</v>
      </c>
      <c r="K2049" s="4">
        <v>525</v>
      </c>
      <c r="L2049" s="5">
        <v>0.35</v>
      </c>
      <c r="M2049" t="s">
        <v>128</v>
      </c>
      <c r="N2049" t="s">
        <v>362</v>
      </c>
    </row>
    <row r="2050" spans="1:14">
      <c r="A2050" t="s">
        <v>151</v>
      </c>
      <c r="B2050">
        <v>1128299</v>
      </c>
      <c r="C2050" s="2">
        <v>44340</v>
      </c>
      <c r="D2050" t="s">
        <v>28</v>
      </c>
      <c r="E2050" t="s">
        <v>217</v>
      </c>
      <c r="F2050" t="s">
        <v>226</v>
      </c>
      <c r="G2050" t="s">
        <v>147</v>
      </c>
      <c r="H2050" s="3">
        <v>0.55000000000000004</v>
      </c>
      <c r="I2050">
        <v>2000</v>
      </c>
      <c r="J2050" s="4">
        <v>1100</v>
      </c>
      <c r="K2050" s="4">
        <v>330</v>
      </c>
      <c r="L2050" s="5">
        <v>0.3</v>
      </c>
      <c r="M2050" t="s">
        <v>128</v>
      </c>
      <c r="N2050" t="s">
        <v>362</v>
      </c>
    </row>
    <row r="2051" spans="1:14">
      <c r="A2051" t="s">
        <v>151</v>
      </c>
      <c r="B2051">
        <v>1128299</v>
      </c>
      <c r="C2051" s="2">
        <v>44340</v>
      </c>
      <c r="D2051" t="s">
        <v>28</v>
      </c>
      <c r="E2051" t="s">
        <v>217</v>
      </c>
      <c r="F2051" t="s">
        <v>226</v>
      </c>
      <c r="G2051" t="s">
        <v>144</v>
      </c>
      <c r="H2051" s="3">
        <v>0.70000000000000007</v>
      </c>
      <c r="I2051">
        <v>3750</v>
      </c>
      <c r="J2051" s="4">
        <v>2625.0000000000005</v>
      </c>
      <c r="K2051" s="4">
        <v>656.25000000000011</v>
      </c>
      <c r="L2051" s="5">
        <v>0.25</v>
      </c>
      <c r="M2051" t="s">
        <v>128</v>
      </c>
      <c r="N2051" t="s">
        <v>362</v>
      </c>
    </row>
    <row r="2052" spans="1:14">
      <c r="A2052" t="s">
        <v>151</v>
      </c>
      <c r="B2052">
        <v>1128299</v>
      </c>
      <c r="C2052" s="2">
        <v>44370</v>
      </c>
      <c r="D2052" t="s">
        <v>28</v>
      </c>
      <c r="E2052" t="s">
        <v>217</v>
      </c>
      <c r="F2052" t="s">
        <v>226</v>
      </c>
      <c r="G2052" t="s">
        <v>27</v>
      </c>
      <c r="H2052" s="3">
        <v>0.5</v>
      </c>
      <c r="I2052">
        <v>6250</v>
      </c>
      <c r="J2052" s="4">
        <v>3125</v>
      </c>
      <c r="K2052" s="4">
        <v>1093.75</v>
      </c>
      <c r="L2052" s="5">
        <v>0.35</v>
      </c>
      <c r="M2052" t="s">
        <v>129</v>
      </c>
      <c r="N2052" t="s">
        <v>362</v>
      </c>
    </row>
    <row r="2053" spans="1:14">
      <c r="A2053" t="s">
        <v>151</v>
      </c>
      <c r="B2053">
        <v>1128299</v>
      </c>
      <c r="C2053" s="2">
        <v>44370</v>
      </c>
      <c r="D2053" t="s">
        <v>28</v>
      </c>
      <c r="E2053" t="s">
        <v>217</v>
      </c>
      <c r="F2053" t="s">
        <v>226</v>
      </c>
      <c r="G2053" t="s">
        <v>145</v>
      </c>
      <c r="H2053" s="3">
        <v>0.55000000000000004</v>
      </c>
      <c r="I2053">
        <v>4750</v>
      </c>
      <c r="J2053" s="4">
        <v>2612.5</v>
      </c>
      <c r="K2053" s="4">
        <v>1045</v>
      </c>
      <c r="L2053" s="5">
        <v>0.4</v>
      </c>
      <c r="M2053" t="s">
        <v>129</v>
      </c>
      <c r="N2053" t="s">
        <v>362</v>
      </c>
    </row>
    <row r="2054" spans="1:14">
      <c r="A2054" t="s">
        <v>151</v>
      </c>
      <c r="B2054">
        <v>1128299</v>
      </c>
      <c r="C2054" s="2">
        <v>44370</v>
      </c>
      <c r="D2054" t="s">
        <v>28</v>
      </c>
      <c r="E2054" t="s">
        <v>217</v>
      </c>
      <c r="F2054" t="s">
        <v>226</v>
      </c>
      <c r="G2054" t="s">
        <v>146</v>
      </c>
      <c r="H2054" s="3">
        <v>0.55000000000000004</v>
      </c>
      <c r="I2054">
        <v>4750</v>
      </c>
      <c r="J2054" s="4">
        <v>2612.5</v>
      </c>
      <c r="K2054" s="4">
        <v>914.37499999999989</v>
      </c>
      <c r="L2054" s="5">
        <v>0.35</v>
      </c>
      <c r="M2054" t="s">
        <v>129</v>
      </c>
      <c r="N2054" t="s">
        <v>362</v>
      </c>
    </row>
    <row r="2055" spans="1:14">
      <c r="A2055" t="s">
        <v>151</v>
      </c>
      <c r="B2055">
        <v>1128299</v>
      </c>
      <c r="C2055" s="2">
        <v>44370</v>
      </c>
      <c r="D2055" t="s">
        <v>28</v>
      </c>
      <c r="E2055" t="s">
        <v>217</v>
      </c>
      <c r="F2055" t="s">
        <v>226</v>
      </c>
      <c r="G2055" t="s">
        <v>148</v>
      </c>
      <c r="H2055" s="3">
        <v>0.5</v>
      </c>
      <c r="I2055">
        <v>3500</v>
      </c>
      <c r="J2055" s="4">
        <v>1750</v>
      </c>
      <c r="K2055" s="4">
        <v>612.5</v>
      </c>
      <c r="L2055" s="5">
        <v>0.35</v>
      </c>
      <c r="M2055" t="s">
        <v>129</v>
      </c>
      <c r="N2055" t="s">
        <v>362</v>
      </c>
    </row>
    <row r="2056" spans="1:14">
      <c r="A2056" t="s">
        <v>151</v>
      </c>
      <c r="B2056">
        <v>1128299</v>
      </c>
      <c r="C2056" s="2">
        <v>44370</v>
      </c>
      <c r="D2056" t="s">
        <v>28</v>
      </c>
      <c r="E2056" t="s">
        <v>217</v>
      </c>
      <c r="F2056" t="s">
        <v>226</v>
      </c>
      <c r="G2056" t="s">
        <v>147</v>
      </c>
      <c r="H2056" s="3">
        <v>0.55000000000000004</v>
      </c>
      <c r="I2056">
        <v>2250</v>
      </c>
      <c r="J2056" s="4">
        <v>1237.5</v>
      </c>
      <c r="K2056" s="4">
        <v>371.25</v>
      </c>
      <c r="L2056" s="5">
        <v>0.3</v>
      </c>
      <c r="M2056" t="s">
        <v>129</v>
      </c>
      <c r="N2056" t="s">
        <v>362</v>
      </c>
    </row>
    <row r="2057" spans="1:14">
      <c r="A2057" t="s">
        <v>151</v>
      </c>
      <c r="B2057">
        <v>1128299</v>
      </c>
      <c r="C2057" s="2">
        <v>44370</v>
      </c>
      <c r="D2057" t="s">
        <v>28</v>
      </c>
      <c r="E2057" t="s">
        <v>217</v>
      </c>
      <c r="F2057" t="s">
        <v>226</v>
      </c>
      <c r="G2057" t="s">
        <v>144</v>
      </c>
      <c r="H2057" s="3">
        <v>0.70000000000000007</v>
      </c>
      <c r="I2057">
        <v>5250</v>
      </c>
      <c r="J2057" s="4">
        <v>3675.0000000000005</v>
      </c>
      <c r="K2057" s="4">
        <v>918.75000000000011</v>
      </c>
      <c r="L2057" s="5">
        <v>0.25</v>
      </c>
      <c r="M2057" t="s">
        <v>129</v>
      </c>
      <c r="N2057" t="s">
        <v>362</v>
      </c>
    </row>
    <row r="2058" spans="1:14">
      <c r="A2058" t="s">
        <v>151</v>
      </c>
      <c r="B2058">
        <v>1128299</v>
      </c>
      <c r="C2058" s="2">
        <v>44399</v>
      </c>
      <c r="D2058" t="s">
        <v>28</v>
      </c>
      <c r="E2058" t="s">
        <v>217</v>
      </c>
      <c r="F2058" t="s">
        <v>226</v>
      </c>
      <c r="G2058" t="s">
        <v>27</v>
      </c>
      <c r="H2058" s="3">
        <v>0.5</v>
      </c>
      <c r="I2058">
        <v>6750</v>
      </c>
      <c r="J2058" s="4">
        <v>3375</v>
      </c>
      <c r="K2058" s="4">
        <v>1181.25</v>
      </c>
      <c r="L2058" s="5">
        <v>0.35</v>
      </c>
      <c r="M2058" t="s">
        <v>130</v>
      </c>
      <c r="N2058" t="s">
        <v>363</v>
      </c>
    </row>
    <row r="2059" spans="1:14">
      <c r="A2059" t="s">
        <v>151</v>
      </c>
      <c r="B2059">
        <v>1128299</v>
      </c>
      <c r="C2059" s="2">
        <v>44399</v>
      </c>
      <c r="D2059" t="s">
        <v>28</v>
      </c>
      <c r="E2059" t="s">
        <v>217</v>
      </c>
      <c r="F2059" t="s">
        <v>226</v>
      </c>
      <c r="G2059" t="s">
        <v>145</v>
      </c>
      <c r="H2059" s="3">
        <v>0.55000000000000004</v>
      </c>
      <c r="I2059">
        <v>5250</v>
      </c>
      <c r="J2059" s="4">
        <v>2887.5000000000005</v>
      </c>
      <c r="K2059" s="4">
        <v>1155.0000000000002</v>
      </c>
      <c r="L2059" s="5">
        <v>0.4</v>
      </c>
      <c r="M2059" t="s">
        <v>130</v>
      </c>
      <c r="N2059" t="s">
        <v>363</v>
      </c>
    </row>
    <row r="2060" spans="1:14">
      <c r="A2060" t="s">
        <v>151</v>
      </c>
      <c r="B2060">
        <v>1128299</v>
      </c>
      <c r="C2060" s="2">
        <v>44399</v>
      </c>
      <c r="D2060" t="s">
        <v>28</v>
      </c>
      <c r="E2060" t="s">
        <v>217</v>
      </c>
      <c r="F2060" t="s">
        <v>226</v>
      </c>
      <c r="G2060" t="s">
        <v>146</v>
      </c>
      <c r="H2060" s="3">
        <v>0.55000000000000004</v>
      </c>
      <c r="I2060">
        <v>4750</v>
      </c>
      <c r="J2060" s="4">
        <v>2612.5</v>
      </c>
      <c r="K2060" s="4">
        <v>914.37499999999989</v>
      </c>
      <c r="L2060" s="5">
        <v>0.35</v>
      </c>
      <c r="M2060" t="s">
        <v>130</v>
      </c>
      <c r="N2060" t="s">
        <v>363</v>
      </c>
    </row>
    <row r="2061" spans="1:14">
      <c r="A2061" t="s">
        <v>151</v>
      </c>
      <c r="B2061">
        <v>1128299</v>
      </c>
      <c r="C2061" s="2">
        <v>44399</v>
      </c>
      <c r="D2061" t="s">
        <v>28</v>
      </c>
      <c r="E2061" t="s">
        <v>217</v>
      </c>
      <c r="F2061" t="s">
        <v>226</v>
      </c>
      <c r="G2061" t="s">
        <v>148</v>
      </c>
      <c r="H2061" s="3">
        <v>0.5</v>
      </c>
      <c r="I2061">
        <v>3750</v>
      </c>
      <c r="J2061" s="4">
        <v>1875</v>
      </c>
      <c r="K2061" s="4">
        <v>656.25</v>
      </c>
      <c r="L2061" s="5">
        <v>0.35</v>
      </c>
      <c r="M2061" t="s">
        <v>130</v>
      </c>
      <c r="N2061" t="s">
        <v>363</v>
      </c>
    </row>
    <row r="2062" spans="1:14">
      <c r="A2062" t="s">
        <v>151</v>
      </c>
      <c r="B2062">
        <v>1128299</v>
      </c>
      <c r="C2062" s="2">
        <v>44399</v>
      </c>
      <c r="D2062" t="s">
        <v>28</v>
      </c>
      <c r="E2062" t="s">
        <v>217</v>
      </c>
      <c r="F2062" t="s">
        <v>226</v>
      </c>
      <c r="G2062" t="s">
        <v>147</v>
      </c>
      <c r="H2062" s="3">
        <v>0.55000000000000004</v>
      </c>
      <c r="I2062">
        <v>4250</v>
      </c>
      <c r="J2062" s="4">
        <v>2337.5</v>
      </c>
      <c r="K2062" s="4">
        <v>701.25</v>
      </c>
      <c r="L2062" s="5">
        <v>0.3</v>
      </c>
      <c r="M2062" t="s">
        <v>130</v>
      </c>
      <c r="N2062" t="s">
        <v>363</v>
      </c>
    </row>
    <row r="2063" spans="1:14">
      <c r="A2063" t="s">
        <v>151</v>
      </c>
      <c r="B2063">
        <v>1128299</v>
      </c>
      <c r="C2063" s="2">
        <v>44399</v>
      </c>
      <c r="D2063" t="s">
        <v>28</v>
      </c>
      <c r="E2063" t="s">
        <v>217</v>
      </c>
      <c r="F2063" t="s">
        <v>226</v>
      </c>
      <c r="G2063" t="s">
        <v>144</v>
      </c>
      <c r="H2063" s="3">
        <v>0.70000000000000007</v>
      </c>
      <c r="I2063">
        <v>4250</v>
      </c>
      <c r="J2063" s="4">
        <v>2975.0000000000005</v>
      </c>
      <c r="K2063" s="4">
        <v>743.75000000000011</v>
      </c>
      <c r="L2063" s="5">
        <v>0.25</v>
      </c>
      <c r="M2063" t="s">
        <v>130</v>
      </c>
      <c r="N2063" t="s">
        <v>363</v>
      </c>
    </row>
    <row r="2064" spans="1:14">
      <c r="A2064" t="s">
        <v>151</v>
      </c>
      <c r="B2064">
        <v>1128299</v>
      </c>
      <c r="C2064" s="2">
        <v>44431</v>
      </c>
      <c r="D2064" t="s">
        <v>28</v>
      </c>
      <c r="E2064" t="s">
        <v>217</v>
      </c>
      <c r="F2064" t="s">
        <v>226</v>
      </c>
      <c r="G2064" t="s">
        <v>27</v>
      </c>
      <c r="H2064" s="3">
        <v>0.55000000000000004</v>
      </c>
      <c r="I2064">
        <v>6250</v>
      </c>
      <c r="J2064" s="4">
        <v>3437.5000000000005</v>
      </c>
      <c r="K2064" s="4">
        <v>1203.125</v>
      </c>
      <c r="L2064" s="5">
        <v>0.35</v>
      </c>
      <c r="M2064" t="s">
        <v>131</v>
      </c>
      <c r="N2064" t="s">
        <v>363</v>
      </c>
    </row>
    <row r="2065" spans="1:14">
      <c r="A2065" t="s">
        <v>151</v>
      </c>
      <c r="B2065">
        <v>1128299</v>
      </c>
      <c r="C2065" s="2">
        <v>44431</v>
      </c>
      <c r="D2065" t="s">
        <v>28</v>
      </c>
      <c r="E2065" t="s">
        <v>217</v>
      </c>
      <c r="F2065" t="s">
        <v>226</v>
      </c>
      <c r="G2065" t="s">
        <v>145</v>
      </c>
      <c r="H2065" s="3">
        <v>0.60000000000000009</v>
      </c>
      <c r="I2065">
        <v>5750</v>
      </c>
      <c r="J2065" s="4">
        <v>3450.0000000000005</v>
      </c>
      <c r="K2065" s="4">
        <v>1380.0000000000002</v>
      </c>
      <c r="L2065" s="5">
        <v>0.4</v>
      </c>
      <c r="M2065" t="s">
        <v>131</v>
      </c>
      <c r="N2065" t="s">
        <v>363</v>
      </c>
    </row>
    <row r="2066" spans="1:14">
      <c r="A2066" t="s">
        <v>151</v>
      </c>
      <c r="B2066">
        <v>1128299</v>
      </c>
      <c r="C2066" s="2">
        <v>44431</v>
      </c>
      <c r="D2066" t="s">
        <v>28</v>
      </c>
      <c r="E2066" t="s">
        <v>217</v>
      </c>
      <c r="F2066" t="s">
        <v>226</v>
      </c>
      <c r="G2066" t="s">
        <v>146</v>
      </c>
      <c r="H2066" s="3">
        <v>0.55000000000000004</v>
      </c>
      <c r="I2066">
        <v>4500</v>
      </c>
      <c r="J2066" s="4">
        <v>2475</v>
      </c>
      <c r="K2066" s="4">
        <v>866.25</v>
      </c>
      <c r="L2066" s="5">
        <v>0.35</v>
      </c>
      <c r="M2066" t="s">
        <v>131</v>
      </c>
      <c r="N2066" t="s">
        <v>363</v>
      </c>
    </row>
    <row r="2067" spans="1:14">
      <c r="A2067" t="s">
        <v>151</v>
      </c>
      <c r="B2067">
        <v>1128299</v>
      </c>
      <c r="C2067" s="2">
        <v>44431</v>
      </c>
      <c r="D2067" t="s">
        <v>28</v>
      </c>
      <c r="E2067" t="s">
        <v>217</v>
      </c>
      <c r="F2067" t="s">
        <v>226</v>
      </c>
      <c r="G2067" t="s">
        <v>148</v>
      </c>
      <c r="H2067" s="3">
        <v>0.55000000000000004</v>
      </c>
      <c r="I2067">
        <v>4000</v>
      </c>
      <c r="J2067" s="4">
        <v>2200</v>
      </c>
      <c r="K2067" s="4">
        <v>770</v>
      </c>
      <c r="L2067" s="5">
        <v>0.35</v>
      </c>
      <c r="M2067" t="s">
        <v>131</v>
      </c>
      <c r="N2067" t="s">
        <v>363</v>
      </c>
    </row>
    <row r="2068" spans="1:14">
      <c r="A2068" t="s">
        <v>151</v>
      </c>
      <c r="B2068">
        <v>1128299</v>
      </c>
      <c r="C2068" s="2">
        <v>44431</v>
      </c>
      <c r="D2068" t="s">
        <v>28</v>
      </c>
      <c r="E2068" t="s">
        <v>217</v>
      </c>
      <c r="F2068" t="s">
        <v>226</v>
      </c>
      <c r="G2068" t="s">
        <v>147</v>
      </c>
      <c r="H2068" s="3">
        <v>0.65</v>
      </c>
      <c r="I2068">
        <v>4000</v>
      </c>
      <c r="J2068" s="4">
        <v>2600</v>
      </c>
      <c r="K2068" s="4">
        <v>780</v>
      </c>
      <c r="L2068" s="5">
        <v>0.3</v>
      </c>
      <c r="M2068" t="s">
        <v>131</v>
      </c>
      <c r="N2068" t="s">
        <v>363</v>
      </c>
    </row>
    <row r="2069" spans="1:14">
      <c r="A2069" t="s">
        <v>151</v>
      </c>
      <c r="B2069">
        <v>1128299</v>
      </c>
      <c r="C2069" s="2">
        <v>44431</v>
      </c>
      <c r="D2069" t="s">
        <v>28</v>
      </c>
      <c r="E2069" t="s">
        <v>217</v>
      </c>
      <c r="F2069" t="s">
        <v>226</v>
      </c>
      <c r="G2069" t="s">
        <v>144</v>
      </c>
      <c r="H2069" s="3">
        <v>0.70000000000000007</v>
      </c>
      <c r="I2069">
        <v>3750</v>
      </c>
      <c r="J2069" s="4">
        <v>2625.0000000000005</v>
      </c>
      <c r="K2069" s="4">
        <v>656.25000000000011</v>
      </c>
      <c r="L2069" s="5">
        <v>0.25</v>
      </c>
      <c r="M2069" t="s">
        <v>131</v>
      </c>
      <c r="N2069" t="s">
        <v>363</v>
      </c>
    </row>
    <row r="2070" spans="1:14">
      <c r="A2070" t="s">
        <v>151</v>
      </c>
      <c r="B2070">
        <v>1128299</v>
      </c>
      <c r="C2070" s="2">
        <v>44463</v>
      </c>
      <c r="D2070" t="s">
        <v>28</v>
      </c>
      <c r="E2070" t="s">
        <v>217</v>
      </c>
      <c r="F2070" t="s">
        <v>226</v>
      </c>
      <c r="G2070" t="s">
        <v>27</v>
      </c>
      <c r="H2070" s="3">
        <v>0.45000000000000007</v>
      </c>
      <c r="I2070">
        <v>5750</v>
      </c>
      <c r="J2070" s="4">
        <v>2587.5000000000005</v>
      </c>
      <c r="K2070" s="4">
        <v>905.62500000000011</v>
      </c>
      <c r="L2070" s="5">
        <v>0.35</v>
      </c>
      <c r="M2070" t="s">
        <v>132</v>
      </c>
      <c r="N2070" t="s">
        <v>363</v>
      </c>
    </row>
    <row r="2071" spans="1:14">
      <c r="A2071" t="s">
        <v>151</v>
      </c>
      <c r="B2071">
        <v>1128299</v>
      </c>
      <c r="C2071" s="2">
        <v>44463</v>
      </c>
      <c r="D2071" t="s">
        <v>28</v>
      </c>
      <c r="E2071" t="s">
        <v>217</v>
      </c>
      <c r="F2071" t="s">
        <v>226</v>
      </c>
      <c r="G2071" t="s">
        <v>145</v>
      </c>
      <c r="H2071" s="3">
        <v>0.50000000000000011</v>
      </c>
      <c r="I2071">
        <v>5750</v>
      </c>
      <c r="J2071" s="4">
        <v>2875.0000000000005</v>
      </c>
      <c r="K2071" s="4">
        <v>1150.0000000000002</v>
      </c>
      <c r="L2071" s="5">
        <v>0.4</v>
      </c>
      <c r="M2071" t="s">
        <v>132</v>
      </c>
      <c r="N2071" t="s">
        <v>363</v>
      </c>
    </row>
    <row r="2072" spans="1:14">
      <c r="A2072" t="s">
        <v>151</v>
      </c>
      <c r="B2072">
        <v>1128299</v>
      </c>
      <c r="C2072" s="2">
        <v>44463</v>
      </c>
      <c r="D2072" t="s">
        <v>28</v>
      </c>
      <c r="E2072" t="s">
        <v>217</v>
      </c>
      <c r="F2072" t="s">
        <v>226</v>
      </c>
      <c r="G2072" t="s">
        <v>146</v>
      </c>
      <c r="H2072" s="3">
        <v>0.45000000000000007</v>
      </c>
      <c r="I2072">
        <v>4250</v>
      </c>
      <c r="J2072" s="4">
        <v>1912.5000000000002</v>
      </c>
      <c r="K2072" s="4">
        <v>669.375</v>
      </c>
      <c r="L2072" s="5">
        <v>0.35</v>
      </c>
      <c r="M2072" t="s">
        <v>132</v>
      </c>
      <c r="N2072" t="s">
        <v>363</v>
      </c>
    </row>
    <row r="2073" spans="1:14">
      <c r="A2073" t="s">
        <v>151</v>
      </c>
      <c r="B2073">
        <v>1128299</v>
      </c>
      <c r="C2073" s="2">
        <v>44463</v>
      </c>
      <c r="D2073" t="s">
        <v>28</v>
      </c>
      <c r="E2073" t="s">
        <v>217</v>
      </c>
      <c r="F2073" t="s">
        <v>226</v>
      </c>
      <c r="G2073" t="s">
        <v>148</v>
      </c>
      <c r="H2073" s="3">
        <v>0.45000000000000007</v>
      </c>
      <c r="I2073">
        <v>3750</v>
      </c>
      <c r="J2073" s="4">
        <v>1687.5000000000002</v>
      </c>
      <c r="K2073" s="4">
        <v>590.625</v>
      </c>
      <c r="L2073" s="5">
        <v>0.35</v>
      </c>
      <c r="M2073" t="s">
        <v>132</v>
      </c>
      <c r="N2073" t="s">
        <v>363</v>
      </c>
    </row>
    <row r="2074" spans="1:14">
      <c r="A2074" t="s">
        <v>151</v>
      </c>
      <c r="B2074">
        <v>1128299</v>
      </c>
      <c r="C2074" s="2">
        <v>44463</v>
      </c>
      <c r="D2074" t="s">
        <v>28</v>
      </c>
      <c r="E2074" t="s">
        <v>217</v>
      </c>
      <c r="F2074" t="s">
        <v>226</v>
      </c>
      <c r="G2074" t="s">
        <v>147</v>
      </c>
      <c r="H2074" s="3">
        <v>0.55000000000000004</v>
      </c>
      <c r="I2074">
        <v>3750</v>
      </c>
      <c r="J2074" s="4">
        <v>2062.5</v>
      </c>
      <c r="K2074" s="4">
        <v>618.75</v>
      </c>
      <c r="L2074" s="5">
        <v>0.3</v>
      </c>
      <c r="M2074" t="s">
        <v>132</v>
      </c>
      <c r="N2074" t="s">
        <v>363</v>
      </c>
    </row>
    <row r="2075" spans="1:14">
      <c r="A2075" t="s">
        <v>151</v>
      </c>
      <c r="B2075">
        <v>1128299</v>
      </c>
      <c r="C2075" s="2">
        <v>44463</v>
      </c>
      <c r="D2075" t="s">
        <v>28</v>
      </c>
      <c r="E2075" t="s">
        <v>217</v>
      </c>
      <c r="F2075" t="s">
        <v>226</v>
      </c>
      <c r="G2075" t="s">
        <v>144</v>
      </c>
      <c r="H2075" s="3">
        <v>0.60000000000000009</v>
      </c>
      <c r="I2075">
        <v>4250</v>
      </c>
      <c r="J2075" s="4">
        <v>2550.0000000000005</v>
      </c>
      <c r="K2075" s="4">
        <v>637.50000000000011</v>
      </c>
      <c r="L2075" s="5">
        <v>0.25</v>
      </c>
      <c r="M2075" t="s">
        <v>132</v>
      </c>
      <c r="N2075" t="s">
        <v>363</v>
      </c>
    </row>
    <row r="2076" spans="1:14">
      <c r="A2076" t="s">
        <v>151</v>
      </c>
      <c r="B2076">
        <v>1128299</v>
      </c>
      <c r="C2076" s="2">
        <v>44492</v>
      </c>
      <c r="D2076" t="s">
        <v>28</v>
      </c>
      <c r="E2076" t="s">
        <v>217</v>
      </c>
      <c r="F2076" t="s">
        <v>226</v>
      </c>
      <c r="G2076" t="s">
        <v>27</v>
      </c>
      <c r="H2076" s="3">
        <v>0.45000000000000007</v>
      </c>
      <c r="I2076">
        <v>5000</v>
      </c>
      <c r="J2076" s="4">
        <v>2250.0000000000005</v>
      </c>
      <c r="K2076" s="4">
        <v>787.50000000000011</v>
      </c>
      <c r="L2076" s="5">
        <v>0.35</v>
      </c>
      <c r="M2076" t="s">
        <v>133</v>
      </c>
      <c r="N2076" t="s">
        <v>364</v>
      </c>
    </row>
    <row r="2077" spans="1:14">
      <c r="A2077" t="s">
        <v>151</v>
      </c>
      <c r="B2077">
        <v>1128299</v>
      </c>
      <c r="C2077" s="2">
        <v>44492</v>
      </c>
      <c r="D2077" t="s">
        <v>28</v>
      </c>
      <c r="E2077" t="s">
        <v>217</v>
      </c>
      <c r="F2077" t="s">
        <v>226</v>
      </c>
      <c r="G2077" t="s">
        <v>145</v>
      </c>
      <c r="H2077" s="3">
        <v>0.50000000000000011</v>
      </c>
      <c r="I2077">
        <v>5000</v>
      </c>
      <c r="J2077" s="4">
        <v>2500.0000000000005</v>
      </c>
      <c r="K2077" s="4">
        <v>1000.0000000000002</v>
      </c>
      <c r="L2077" s="5">
        <v>0.4</v>
      </c>
      <c r="M2077" t="s">
        <v>133</v>
      </c>
      <c r="N2077" t="s">
        <v>364</v>
      </c>
    </row>
    <row r="2078" spans="1:14">
      <c r="A2078" t="s">
        <v>151</v>
      </c>
      <c r="B2078">
        <v>1128299</v>
      </c>
      <c r="C2078" s="2">
        <v>44492</v>
      </c>
      <c r="D2078" t="s">
        <v>28</v>
      </c>
      <c r="E2078" t="s">
        <v>217</v>
      </c>
      <c r="F2078" t="s">
        <v>226</v>
      </c>
      <c r="G2078" t="s">
        <v>146</v>
      </c>
      <c r="H2078" s="3">
        <v>0.45000000000000007</v>
      </c>
      <c r="I2078">
        <v>3250</v>
      </c>
      <c r="J2078" s="4">
        <v>1462.5000000000002</v>
      </c>
      <c r="K2078" s="4">
        <v>511.87500000000006</v>
      </c>
      <c r="L2078" s="5">
        <v>0.35</v>
      </c>
      <c r="M2078" t="s">
        <v>133</v>
      </c>
      <c r="N2078" t="s">
        <v>364</v>
      </c>
    </row>
    <row r="2079" spans="1:14">
      <c r="A2079" t="s">
        <v>151</v>
      </c>
      <c r="B2079">
        <v>1128299</v>
      </c>
      <c r="C2079" s="2">
        <v>44492</v>
      </c>
      <c r="D2079" t="s">
        <v>28</v>
      </c>
      <c r="E2079" t="s">
        <v>217</v>
      </c>
      <c r="F2079" t="s">
        <v>226</v>
      </c>
      <c r="G2079" t="s">
        <v>148</v>
      </c>
      <c r="H2079" s="3">
        <v>0.45000000000000007</v>
      </c>
      <c r="I2079">
        <v>3000</v>
      </c>
      <c r="J2079" s="4">
        <v>1350.0000000000002</v>
      </c>
      <c r="K2079" s="4">
        <v>472.50000000000006</v>
      </c>
      <c r="L2079" s="5">
        <v>0.35</v>
      </c>
      <c r="M2079" t="s">
        <v>133</v>
      </c>
      <c r="N2079" t="s">
        <v>364</v>
      </c>
    </row>
    <row r="2080" spans="1:14">
      <c r="A2080" t="s">
        <v>151</v>
      </c>
      <c r="B2080">
        <v>1128299</v>
      </c>
      <c r="C2080" s="2">
        <v>44492</v>
      </c>
      <c r="D2080" t="s">
        <v>28</v>
      </c>
      <c r="E2080" t="s">
        <v>217</v>
      </c>
      <c r="F2080" t="s">
        <v>226</v>
      </c>
      <c r="G2080" t="s">
        <v>147</v>
      </c>
      <c r="H2080" s="3">
        <v>0.55000000000000004</v>
      </c>
      <c r="I2080">
        <v>2750</v>
      </c>
      <c r="J2080" s="4">
        <v>1512.5000000000002</v>
      </c>
      <c r="K2080" s="4">
        <v>453.75000000000006</v>
      </c>
      <c r="L2080" s="5">
        <v>0.3</v>
      </c>
      <c r="M2080" t="s">
        <v>133</v>
      </c>
      <c r="N2080" t="s">
        <v>364</v>
      </c>
    </row>
    <row r="2081" spans="1:14">
      <c r="A2081" t="s">
        <v>151</v>
      </c>
      <c r="B2081">
        <v>1128299</v>
      </c>
      <c r="C2081" s="2">
        <v>44492</v>
      </c>
      <c r="D2081" t="s">
        <v>28</v>
      </c>
      <c r="E2081" t="s">
        <v>217</v>
      </c>
      <c r="F2081" t="s">
        <v>226</v>
      </c>
      <c r="G2081" t="s">
        <v>144</v>
      </c>
      <c r="H2081" s="3">
        <v>0.60000000000000009</v>
      </c>
      <c r="I2081">
        <v>3250</v>
      </c>
      <c r="J2081" s="4">
        <v>1950.0000000000002</v>
      </c>
      <c r="K2081" s="4">
        <v>487.50000000000006</v>
      </c>
      <c r="L2081" s="5">
        <v>0.25</v>
      </c>
      <c r="M2081" t="s">
        <v>133</v>
      </c>
      <c r="N2081" t="s">
        <v>364</v>
      </c>
    </row>
    <row r="2082" spans="1:14">
      <c r="A2082" t="s">
        <v>151</v>
      </c>
      <c r="B2082">
        <v>1128299</v>
      </c>
      <c r="C2082" s="2">
        <v>44523</v>
      </c>
      <c r="D2082" t="s">
        <v>28</v>
      </c>
      <c r="E2082" t="s">
        <v>217</v>
      </c>
      <c r="F2082" t="s">
        <v>226</v>
      </c>
      <c r="G2082" t="s">
        <v>27</v>
      </c>
      <c r="H2082" s="3">
        <v>0.45000000000000007</v>
      </c>
      <c r="I2082">
        <v>5000</v>
      </c>
      <c r="J2082" s="4">
        <v>2250.0000000000005</v>
      </c>
      <c r="K2082" s="4">
        <v>787.50000000000011</v>
      </c>
      <c r="L2082" s="5">
        <v>0.35</v>
      </c>
      <c r="M2082" t="s">
        <v>134</v>
      </c>
      <c r="N2082" t="s">
        <v>364</v>
      </c>
    </row>
    <row r="2083" spans="1:14">
      <c r="A2083" t="s">
        <v>151</v>
      </c>
      <c r="B2083">
        <v>1128299</v>
      </c>
      <c r="C2083" s="2">
        <v>44523</v>
      </c>
      <c r="D2083" t="s">
        <v>28</v>
      </c>
      <c r="E2083" t="s">
        <v>217</v>
      </c>
      <c r="F2083" t="s">
        <v>226</v>
      </c>
      <c r="G2083" t="s">
        <v>145</v>
      </c>
      <c r="H2083" s="3">
        <v>0.50000000000000011</v>
      </c>
      <c r="I2083">
        <v>5250</v>
      </c>
      <c r="J2083" s="4">
        <v>2625.0000000000005</v>
      </c>
      <c r="K2083" s="4">
        <v>1050.0000000000002</v>
      </c>
      <c r="L2083" s="5">
        <v>0.4</v>
      </c>
      <c r="M2083" t="s">
        <v>134</v>
      </c>
      <c r="N2083" t="s">
        <v>364</v>
      </c>
    </row>
    <row r="2084" spans="1:14">
      <c r="A2084" t="s">
        <v>151</v>
      </c>
      <c r="B2084">
        <v>1128299</v>
      </c>
      <c r="C2084" s="2">
        <v>44523</v>
      </c>
      <c r="D2084" t="s">
        <v>28</v>
      </c>
      <c r="E2084" t="s">
        <v>217</v>
      </c>
      <c r="F2084" t="s">
        <v>226</v>
      </c>
      <c r="G2084" t="s">
        <v>146</v>
      </c>
      <c r="H2084" s="3">
        <v>0.45000000000000007</v>
      </c>
      <c r="I2084">
        <v>3750</v>
      </c>
      <c r="J2084" s="4">
        <v>1687.5000000000002</v>
      </c>
      <c r="K2084" s="4">
        <v>590.625</v>
      </c>
      <c r="L2084" s="5">
        <v>0.35</v>
      </c>
      <c r="M2084" t="s">
        <v>134</v>
      </c>
      <c r="N2084" t="s">
        <v>364</v>
      </c>
    </row>
    <row r="2085" spans="1:14">
      <c r="A2085" t="s">
        <v>151</v>
      </c>
      <c r="B2085">
        <v>1128299</v>
      </c>
      <c r="C2085" s="2">
        <v>44523</v>
      </c>
      <c r="D2085" t="s">
        <v>28</v>
      </c>
      <c r="E2085" t="s">
        <v>217</v>
      </c>
      <c r="F2085" t="s">
        <v>226</v>
      </c>
      <c r="G2085" t="s">
        <v>148</v>
      </c>
      <c r="H2085" s="3">
        <v>0.45000000000000007</v>
      </c>
      <c r="I2085">
        <v>3500</v>
      </c>
      <c r="J2085" s="4">
        <v>1575.0000000000002</v>
      </c>
      <c r="K2085" s="4">
        <v>551.25</v>
      </c>
      <c r="L2085" s="5">
        <v>0.35</v>
      </c>
      <c r="M2085" t="s">
        <v>134</v>
      </c>
      <c r="N2085" t="s">
        <v>364</v>
      </c>
    </row>
    <row r="2086" spans="1:14">
      <c r="A2086" t="s">
        <v>151</v>
      </c>
      <c r="B2086">
        <v>1128299</v>
      </c>
      <c r="C2086" s="2">
        <v>44523</v>
      </c>
      <c r="D2086" t="s">
        <v>28</v>
      </c>
      <c r="E2086" t="s">
        <v>217</v>
      </c>
      <c r="F2086" t="s">
        <v>226</v>
      </c>
      <c r="G2086" t="s">
        <v>147</v>
      </c>
      <c r="H2086" s="3">
        <v>0.55000000000000004</v>
      </c>
      <c r="I2086">
        <v>3000</v>
      </c>
      <c r="J2086" s="4">
        <v>1650.0000000000002</v>
      </c>
      <c r="K2086" s="4">
        <v>495.00000000000006</v>
      </c>
      <c r="L2086" s="5">
        <v>0.3</v>
      </c>
      <c r="M2086" t="s">
        <v>134</v>
      </c>
      <c r="N2086" t="s">
        <v>364</v>
      </c>
    </row>
    <row r="2087" spans="1:14">
      <c r="A2087" t="s">
        <v>151</v>
      </c>
      <c r="B2087">
        <v>1128299</v>
      </c>
      <c r="C2087" s="2">
        <v>44523</v>
      </c>
      <c r="D2087" t="s">
        <v>28</v>
      </c>
      <c r="E2087" t="s">
        <v>217</v>
      </c>
      <c r="F2087" t="s">
        <v>226</v>
      </c>
      <c r="G2087" t="s">
        <v>144</v>
      </c>
      <c r="H2087" s="3">
        <v>0.60000000000000009</v>
      </c>
      <c r="I2087">
        <v>4250</v>
      </c>
      <c r="J2087" s="4">
        <v>2550.0000000000005</v>
      </c>
      <c r="K2087" s="4">
        <v>637.50000000000011</v>
      </c>
      <c r="L2087" s="5">
        <v>0.25</v>
      </c>
      <c r="M2087" t="s">
        <v>134</v>
      </c>
      <c r="N2087" t="s">
        <v>364</v>
      </c>
    </row>
    <row r="2088" spans="1:14">
      <c r="A2088" t="s">
        <v>151</v>
      </c>
      <c r="B2088">
        <v>1128299</v>
      </c>
      <c r="C2088" s="2">
        <v>44552</v>
      </c>
      <c r="D2088" t="s">
        <v>28</v>
      </c>
      <c r="E2088" t="s">
        <v>217</v>
      </c>
      <c r="F2088" t="s">
        <v>226</v>
      </c>
      <c r="G2088" t="s">
        <v>27</v>
      </c>
      <c r="H2088" s="3">
        <v>0.45000000000000007</v>
      </c>
      <c r="I2088">
        <v>6250</v>
      </c>
      <c r="J2088" s="4">
        <v>2812.5000000000005</v>
      </c>
      <c r="K2088" s="4">
        <v>984.37500000000011</v>
      </c>
      <c r="L2088" s="5">
        <v>0.35</v>
      </c>
      <c r="M2088" t="s">
        <v>23</v>
      </c>
      <c r="N2088" t="s">
        <v>364</v>
      </c>
    </row>
    <row r="2089" spans="1:14">
      <c r="A2089" t="s">
        <v>151</v>
      </c>
      <c r="B2089">
        <v>1128299</v>
      </c>
      <c r="C2089" s="2">
        <v>44552</v>
      </c>
      <c r="D2089" t="s">
        <v>28</v>
      </c>
      <c r="E2089" t="s">
        <v>217</v>
      </c>
      <c r="F2089" t="s">
        <v>226</v>
      </c>
      <c r="G2089" t="s">
        <v>145</v>
      </c>
      <c r="H2089" s="3">
        <v>0.50000000000000011</v>
      </c>
      <c r="I2089">
        <v>6250</v>
      </c>
      <c r="J2089" s="4">
        <v>3125.0000000000009</v>
      </c>
      <c r="K2089" s="4">
        <v>1250.0000000000005</v>
      </c>
      <c r="L2089" s="5">
        <v>0.4</v>
      </c>
      <c r="M2089" t="s">
        <v>23</v>
      </c>
      <c r="N2089" t="s">
        <v>364</v>
      </c>
    </row>
    <row r="2090" spans="1:14">
      <c r="A2090" t="s">
        <v>151</v>
      </c>
      <c r="B2090">
        <v>1128299</v>
      </c>
      <c r="C2090" s="2">
        <v>44552</v>
      </c>
      <c r="D2090" t="s">
        <v>28</v>
      </c>
      <c r="E2090" t="s">
        <v>217</v>
      </c>
      <c r="F2090" t="s">
        <v>226</v>
      </c>
      <c r="G2090" t="s">
        <v>146</v>
      </c>
      <c r="H2090" s="3">
        <v>0.45000000000000007</v>
      </c>
      <c r="I2090">
        <v>4250</v>
      </c>
      <c r="J2090" s="4">
        <v>1912.5000000000002</v>
      </c>
      <c r="K2090" s="4">
        <v>669.375</v>
      </c>
      <c r="L2090" s="5">
        <v>0.35</v>
      </c>
      <c r="M2090" t="s">
        <v>23</v>
      </c>
      <c r="N2090" t="s">
        <v>364</v>
      </c>
    </row>
    <row r="2091" spans="1:14">
      <c r="A2091" t="s">
        <v>151</v>
      </c>
      <c r="B2091">
        <v>1128299</v>
      </c>
      <c r="C2091" s="2">
        <v>44552</v>
      </c>
      <c r="D2091" t="s">
        <v>28</v>
      </c>
      <c r="E2091" t="s">
        <v>217</v>
      </c>
      <c r="F2091" t="s">
        <v>226</v>
      </c>
      <c r="G2091" t="s">
        <v>148</v>
      </c>
      <c r="H2091" s="3">
        <v>0.45000000000000007</v>
      </c>
      <c r="I2091">
        <v>4250</v>
      </c>
      <c r="J2091" s="4">
        <v>1912.5000000000002</v>
      </c>
      <c r="K2091" s="4">
        <v>669.375</v>
      </c>
      <c r="L2091" s="5">
        <v>0.35</v>
      </c>
      <c r="M2091" t="s">
        <v>23</v>
      </c>
      <c r="N2091" t="s">
        <v>364</v>
      </c>
    </row>
    <row r="2092" spans="1:14">
      <c r="A2092" t="s">
        <v>151</v>
      </c>
      <c r="B2092">
        <v>1128299</v>
      </c>
      <c r="C2092" s="2">
        <v>44552</v>
      </c>
      <c r="D2092" t="s">
        <v>28</v>
      </c>
      <c r="E2092" t="s">
        <v>217</v>
      </c>
      <c r="F2092" t="s">
        <v>226</v>
      </c>
      <c r="G2092" t="s">
        <v>147</v>
      </c>
      <c r="H2092" s="3">
        <v>0.55000000000000004</v>
      </c>
      <c r="I2092">
        <v>3500</v>
      </c>
      <c r="J2092" s="4">
        <v>1925.0000000000002</v>
      </c>
      <c r="K2092" s="4">
        <v>577.5</v>
      </c>
      <c r="L2092" s="5">
        <v>0.3</v>
      </c>
      <c r="M2092" t="s">
        <v>23</v>
      </c>
      <c r="N2092" t="s">
        <v>364</v>
      </c>
    </row>
    <row r="2093" spans="1:14">
      <c r="A2093" t="s">
        <v>151</v>
      </c>
      <c r="B2093">
        <v>1128299</v>
      </c>
      <c r="C2093" s="2">
        <v>44552</v>
      </c>
      <c r="D2093" t="s">
        <v>28</v>
      </c>
      <c r="E2093" t="s">
        <v>217</v>
      </c>
      <c r="F2093" t="s">
        <v>226</v>
      </c>
      <c r="G2093" t="s">
        <v>144</v>
      </c>
      <c r="H2093" s="3">
        <v>0.60000000000000009</v>
      </c>
      <c r="I2093">
        <v>4500</v>
      </c>
      <c r="J2093" s="4">
        <v>2700.0000000000005</v>
      </c>
      <c r="K2093" s="4">
        <v>675.00000000000011</v>
      </c>
      <c r="L2093" s="5">
        <v>0.25</v>
      </c>
      <c r="M2093" t="s">
        <v>23</v>
      </c>
      <c r="N2093" t="s">
        <v>364</v>
      </c>
    </row>
    <row r="2094" spans="1:14">
      <c r="A2094" t="s">
        <v>151</v>
      </c>
      <c r="B2094">
        <v>1128299</v>
      </c>
      <c r="C2094" s="2">
        <v>44222</v>
      </c>
      <c r="D2094" t="s">
        <v>28</v>
      </c>
      <c r="E2094" t="s">
        <v>195</v>
      </c>
      <c r="F2094" t="s">
        <v>202</v>
      </c>
      <c r="G2094" t="s">
        <v>27</v>
      </c>
      <c r="H2094" s="3">
        <v>0.34999999999999992</v>
      </c>
      <c r="I2094">
        <v>4750</v>
      </c>
      <c r="J2094" s="4">
        <v>1662.4999999999995</v>
      </c>
      <c r="K2094" s="4">
        <v>581.87499999999977</v>
      </c>
      <c r="L2094" s="5">
        <v>0.35</v>
      </c>
      <c r="M2094" t="s">
        <v>125</v>
      </c>
      <c r="N2094" t="s">
        <v>361</v>
      </c>
    </row>
    <row r="2095" spans="1:14">
      <c r="A2095" t="s">
        <v>151</v>
      </c>
      <c r="B2095">
        <v>1128299</v>
      </c>
      <c r="C2095" s="2">
        <v>44222</v>
      </c>
      <c r="D2095" t="s">
        <v>28</v>
      </c>
      <c r="E2095" t="s">
        <v>195</v>
      </c>
      <c r="F2095" t="s">
        <v>202</v>
      </c>
      <c r="G2095" t="s">
        <v>145</v>
      </c>
      <c r="H2095" s="3">
        <v>0.45</v>
      </c>
      <c r="I2095">
        <v>4750</v>
      </c>
      <c r="J2095" s="4">
        <v>2137.5</v>
      </c>
      <c r="K2095" s="4">
        <v>855</v>
      </c>
      <c r="L2095" s="5">
        <v>0.4</v>
      </c>
      <c r="M2095" t="s">
        <v>125</v>
      </c>
      <c r="N2095" t="s">
        <v>361</v>
      </c>
    </row>
    <row r="2096" spans="1:14">
      <c r="A2096" t="s">
        <v>151</v>
      </c>
      <c r="B2096">
        <v>1128299</v>
      </c>
      <c r="C2096" s="2">
        <v>44222</v>
      </c>
      <c r="D2096" t="s">
        <v>28</v>
      </c>
      <c r="E2096" t="s">
        <v>195</v>
      </c>
      <c r="F2096" t="s">
        <v>202</v>
      </c>
      <c r="G2096" t="s">
        <v>146</v>
      </c>
      <c r="H2096" s="3">
        <v>0.45</v>
      </c>
      <c r="I2096">
        <v>4750</v>
      </c>
      <c r="J2096" s="4">
        <v>2137.5</v>
      </c>
      <c r="K2096" s="4">
        <v>748.125</v>
      </c>
      <c r="L2096" s="5">
        <v>0.35</v>
      </c>
      <c r="M2096" t="s">
        <v>125</v>
      </c>
      <c r="N2096" t="s">
        <v>361</v>
      </c>
    </row>
    <row r="2097" spans="1:14">
      <c r="A2097" t="s">
        <v>151</v>
      </c>
      <c r="B2097">
        <v>1128299</v>
      </c>
      <c r="C2097" s="2">
        <v>44222</v>
      </c>
      <c r="D2097" t="s">
        <v>28</v>
      </c>
      <c r="E2097" t="s">
        <v>195</v>
      </c>
      <c r="F2097" t="s">
        <v>202</v>
      </c>
      <c r="G2097" t="s">
        <v>148</v>
      </c>
      <c r="H2097" s="3">
        <v>0.45</v>
      </c>
      <c r="I2097">
        <v>3250</v>
      </c>
      <c r="J2097" s="4">
        <v>1462.5</v>
      </c>
      <c r="K2097" s="4">
        <v>511.87499999999994</v>
      </c>
      <c r="L2097" s="5">
        <v>0.35</v>
      </c>
      <c r="M2097" t="s">
        <v>125</v>
      </c>
      <c r="N2097" t="s">
        <v>361</v>
      </c>
    </row>
    <row r="2098" spans="1:14">
      <c r="A2098" t="s">
        <v>151</v>
      </c>
      <c r="B2098">
        <v>1128299</v>
      </c>
      <c r="C2098" s="2">
        <v>44222</v>
      </c>
      <c r="D2098" t="s">
        <v>28</v>
      </c>
      <c r="E2098" t="s">
        <v>195</v>
      </c>
      <c r="F2098" t="s">
        <v>202</v>
      </c>
      <c r="G2098" t="s">
        <v>147</v>
      </c>
      <c r="H2098" s="3">
        <v>0.50000000000000011</v>
      </c>
      <c r="I2098">
        <v>2750</v>
      </c>
      <c r="J2098" s="4">
        <v>1375.0000000000002</v>
      </c>
      <c r="K2098" s="4">
        <v>412.50000000000006</v>
      </c>
      <c r="L2098" s="5">
        <v>0.3</v>
      </c>
      <c r="M2098" t="s">
        <v>125</v>
      </c>
      <c r="N2098" t="s">
        <v>361</v>
      </c>
    </row>
    <row r="2099" spans="1:14">
      <c r="A2099" t="s">
        <v>151</v>
      </c>
      <c r="B2099">
        <v>1128299</v>
      </c>
      <c r="C2099" s="2">
        <v>44222</v>
      </c>
      <c r="D2099" t="s">
        <v>28</v>
      </c>
      <c r="E2099" t="s">
        <v>195</v>
      </c>
      <c r="F2099" t="s">
        <v>202</v>
      </c>
      <c r="G2099" t="s">
        <v>144</v>
      </c>
      <c r="H2099" s="3">
        <v>0.45</v>
      </c>
      <c r="I2099">
        <v>4750</v>
      </c>
      <c r="J2099" s="4">
        <v>2137.5</v>
      </c>
      <c r="K2099" s="4">
        <v>534.375</v>
      </c>
      <c r="L2099" s="5">
        <v>0.25</v>
      </c>
      <c r="M2099" t="s">
        <v>125</v>
      </c>
      <c r="N2099" t="s">
        <v>361</v>
      </c>
    </row>
    <row r="2100" spans="1:14">
      <c r="A2100" t="s">
        <v>151</v>
      </c>
      <c r="B2100">
        <v>1128299</v>
      </c>
      <c r="C2100" s="2">
        <v>44253</v>
      </c>
      <c r="D2100" t="s">
        <v>28</v>
      </c>
      <c r="E2100" t="s">
        <v>195</v>
      </c>
      <c r="F2100" t="s">
        <v>202</v>
      </c>
      <c r="G2100" t="s">
        <v>27</v>
      </c>
      <c r="H2100" s="3">
        <v>0.34999999999999992</v>
      </c>
      <c r="I2100">
        <v>5250</v>
      </c>
      <c r="J2100" s="4">
        <v>1837.4999999999995</v>
      </c>
      <c r="K2100" s="4">
        <v>643.12499999999977</v>
      </c>
      <c r="L2100" s="5">
        <v>0.35</v>
      </c>
      <c r="M2100" t="s">
        <v>126</v>
      </c>
      <c r="N2100" t="s">
        <v>361</v>
      </c>
    </row>
    <row r="2101" spans="1:14">
      <c r="A2101" t="s">
        <v>151</v>
      </c>
      <c r="B2101">
        <v>1128299</v>
      </c>
      <c r="C2101" s="2">
        <v>44253</v>
      </c>
      <c r="D2101" t="s">
        <v>28</v>
      </c>
      <c r="E2101" t="s">
        <v>195</v>
      </c>
      <c r="F2101" t="s">
        <v>202</v>
      </c>
      <c r="G2101" t="s">
        <v>145</v>
      </c>
      <c r="H2101" s="3">
        <v>0.45</v>
      </c>
      <c r="I2101">
        <v>4250</v>
      </c>
      <c r="J2101" s="4">
        <v>1912.5</v>
      </c>
      <c r="K2101" s="4">
        <v>765</v>
      </c>
      <c r="L2101" s="5">
        <v>0.4</v>
      </c>
      <c r="M2101" t="s">
        <v>126</v>
      </c>
      <c r="N2101" t="s">
        <v>361</v>
      </c>
    </row>
    <row r="2102" spans="1:14">
      <c r="A2102" t="s">
        <v>151</v>
      </c>
      <c r="B2102">
        <v>1128299</v>
      </c>
      <c r="C2102" s="2">
        <v>44253</v>
      </c>
      <c r="D2102" t="s">
        <v>28</v>
      </c>
      <c r="E2102" t="s">
        <v>195</v>
      </c>
      <c r="F2102" t="s">
        <v>202</v>
      </c>
      <c r="G2102" t="s">
        <v>146</v>
      </c>
      <c r="H2102" s="3">
        <v>0.45</v>
      </c>
      <c r="I2102">
        <v>4250</v>
      </c>
      <c r="J2102" s="4">
        <v>1912.5</v>
      </c>
      <c r="K2102" s="4">
        <v>669.375</v>
      </c>
      <c r="L2102" s="5">
        <v>0.35</v>
      </c>
      <c r="M2102" t="s">
        <v>126</v>
      </c>
      <c r="N2102" t="s">
        <v>361</v>
      </c>
    </row>
    <row r="2103" spans="1:14">
      <c r="A2103" t="s">
        <v>151</v>
      </c>
      <c r="B2103">
        <v>1128299</v>
      </c>
      <c r="C2103" s="2">
        <v>44253</v>
      </c>
      <c r="D2103" t="s">
        <v>28</v>
      </c>
      <c r="E2103" t="s">
        <v>195</v>
      </c>
      <c r="F2103" t="s">
        <v>202</v>
      </c>
      <c r="G2103" t="s">
        <v>148</v>
      </c>
      <c r="H2103" s="3">
        <v>0.45</v>
      </c>
      <c r="I2103">
        <v>2750</v>
      </c>
      <c r="J2103" s="4">
        <v>1237.5</v>
      </c>
      <c r="K2103" s="4">
        <v>433.125</v>
      </c>
      <c r="L2103" s="5">
        <v>0.35</v>
      </c>
      <c r="M2103" t="s">
        <v>126</v>
      </c>
      <c r="N2103" t="s">
        <v>361</v>
      </c>
    </row>
    <row r="2104" spans="1:14">
      <c r="A2104" t="s">
        <v>151</v>
      </c>
      <c r="B2104">
        <v>1128299</v>
      </c>
      <c r="C2104" s="2">
        <v>44253</v>
      </c>
      <c r="D2104" t="s">
        <v>28</v>
      </c>
      <c r="E2104" t="s">
        <v>195</v>
      </c>
      <c r="F2104" t="s">
        <v>202</v>
      </c>
      <c r="G2104" t="s">
        <v>147</v>
      </c>
      <c r="H2104" s="3">
        <v>0.50000000000000011</v>
      </c>
      <c r="I2104">
        <v>2000</v>
      </c>
      <c r="J2104" s="4">
        <v>1000.0000000000002</v>
      </c>
      <c r="K2104" s="4">
        <v>300.00000000000006</v>
      </c>
      <c r="L2104" s="5">
        <v>0.3</v>
      </c>
      <c r="M2104" t="s">
        <v>126</v>
      </c>
      <c r="N2104" t="s">
        <v>361</v>
      </c>
    </row>
    <row r="2105" spans="1:14">
      <c r="A2105" t="s">
        <v>151</v>
      </c>
      <c r="B2105">
        <v>1128299</v>
      </c>
      <c r="C2105" s="2">
        <v>44253</v>
      </c>
      <c r="D2105" t="s">
        <v>28</v>
      </c>
      <c r="E2105" t="s">
        <v>195</v>
      </c>
      <c r="F2105" t="s">
        <v>202</v>
      </c>
      <c r="G2105" t="s">
        <v>144</v>
      </c>
      <c r="H2105" s="3">
        <v>0.45</v>
      </c>
      <c r="I2105">
        <v>4000</v>
      </c>
      <c r="J2105" s="4">
        <v>1800</v>
      </c>
      <c r="K2105" s="4">
        <v>450</v>
      </c>
      <c r="L2105" s="5">
        <v>0.25</v>
      </c>
      <c r="M2105" t="s">
        <v>126</v>
      </c>
      <c r="N2105" t="s">
        <v>361</v>
      </c>
    </row>
    <row r="2106" spans="1:14">
      <c r="A2106" t="s">
        <v>151</v>
      </c>
      <c r="B2106">
        <v>1128299</v>
      </c>
      <c r="C2106" s="2">
        <v>44280</v>
      </c>
      <c r="D2106" t="s">
        <v>28</v>
      </c>
      <c r="E2106" t="s">
        <v>195</v>
      </c>
      <c r="F2106" t="s">
        <v>202</v>
      </c>
      <c r="G2106" t="s">
        <v>27</v>
      </c>
      <c r="H2106" s="3">
        <v>0.45</v>
      </c>
      <c r="I2106">
        <v>5500</v>
      </c>
      <c r="J2106" s="4">
        <v>2475</v>
      </c>
      <c r="K2106" s="4">
        <v>866.25</v>
      </c>
      <c r="L2106" s="5">
        <v>0.35</v>
      </c>
      <c r="M2106" t="s">
        <v>24</v>
      </c>
      <c r="N2106" t="s">
        <v>361</v>
      </c>
    </row>
    <row r="2107" spans="1:14">
      <c r="A2107" t="s">
        <v>151</v>
      </c>
      <c r="B2107">
        <v>1128299</v>
      </c>
      <c r="C2107" s="2">
        <v>44280</v>
      </c>
      <c r="D2107" t="s">
        <v>28</v>
      </c>
      <c r="E2107" t="s">
        <v>195</v>
      </c>
      <c r="F2107" t="s">
        <v>202</v>
      </c>
      <c r="G2107" t="s">
        <v>145</v>
      </c>
      <c r="H2107" s="3">
        <v>0.55000000000000004</v>
      </c>
      <c r="I2107">
        <v>4000</v>
      </c>
      <c r="J2107" s="4">
        <v>2200</v>
      </c>
      <c r="K2107" s="4">
        <v>880</v>
      </c>
      <c r="L2107" s="5">
        <v>0.4</v>
      </c>
      <c r="M2107" t="s">
        <v>24</v>
      </c>
      <c r="N2107" t="s">
        <v>361</v>
      </c>
    </row>
    <row r="2108" spans="1:14">
      <c r="A2108" t="s">
        <v>151</v>
      </c>
      <c r="B2108">
        <v>1128299</v>
      </c>
      <c r="C2108" s="2">
        <v>44280</v>
      </c>
      <c r="D2108" t="s">
        <v>28</v>
      </c>
      <c r="E2108" t="s">
        <v>195</v>
      </c>
      <c r="F2108" t="s">
        <v>202</v>
      </c>
      <c r="G2108" t="s">
        <v>146</v>
      </c>
      <c r="H2108" s="3">
        <v>0.55000000000000004</v>
      </c>
      <c r="I2108">
        <v>4000</v>
      </c>
      <c r="J2108" s="4">
        <v>2200</v>
      </c>
      <c r="K2108" s="4">
        <v>770</v>
      </c>
      <c r="L2108" s="5">
        <v>0.35</v>
      </c>
      <c r="M2108" t="s">
        <v>24</v>
      </c>
      <c r="N2108" t="s">
        <v>361</v>
      </c>
    </row>
    <row r="2109" spans="1:14">
      <c r="A2109" t="s">
        <v>151</v>
      </c>
      <c r="B2109">
        <v>1128299</v>
      </c>
      <c r="C2109" s="2">
        <v>44280</v>
      </c>
      <c r="D2109" t="s">
        <v>28</v>
      </c>
      <c r="E2109" t="s">
        <v>195</v>
      </c>
      <c r="F2109" t="s">
        <v>202</v>
      </c>
      <c r="G2109" t="s">
        <v>148</v>
      </c>
      <c r="H2109" s="3">
        <v>0.55000000000000004</v>
      </c>
      <c r="I2109">
        <v>2750</v>
      </c>
      <c r="J2109" s="4">
        <v>1512.5000000000002</v>
      </c>
      <c r="K2109" s="4">
        <v>529.375</v>
      </c>
      <c r="L2109" s="5">
        <v>0.35</v>
      </c>
      <c r="M2109" t="s">
        <v>24</v>
      </c>
      <c r="N2109" t="s">
        <v>361</v>
      </c>
    </row>
    <row r="2110" spans="1:14">
      <c r="A2110" t="s">
        <v>151</v>
      </c>
      <c r="B2110">
        <v>1128299</v>
      </c>
      <c r="C2110" s="2">
        <v>44280</v>
      </c>
      <c r="D2110" t="s">
        <v>28</v>
      </c>
      <c r="E2110" t="s">
        <v>195</v>
      </c>
      <c r="F2110" t="s">
        <v>202</v>
      </c>
      <c r="G2110" t="s">
        <v>147</v>
      </c>
      <c r="H2110" s="3">
        <v>0.60000000000000009</v>
      </c>
      <c r="I2110">
        <v>1750</v>
      </c>
      <c r="J2110" s="4">
        <v>1050.0000000000002</v>
      </c>
      <c r="K2110" s="4">
        <v>315.00000000000006</v>
      </c>
      <c r="L2110" s="5">
        <v>0.3</v>
      </c>
      <c r="M2110" t="s">
        <v>24</v>
      </c>
      <c r="N2110" t="s">
        <v>361</v>
      </c>
    </row>
    <row r="2111" spans="1:14">
      <c r="A2111" t="s">
        <v>151</v>
      </c>
      <c r="B2111">
        <v>1128299</v>
      </c>
      <c r="C2111" s="2">
        <v>44280</v>
      </c>
      <c r="D2111" t="s">
        <v>28</v>
      </c>
      <c r="E2111" t="s">
        <v>195</v>
      </c>
      <c r="F2111" t="s">
        <v>202</v>
      </c>
      <c r="G2111" t="s">
        <v>144</v>
      </c>
      <c r="H2111" s="3">
        <v>0.55000000000000004</v>
      </c>
      <c r="I2111">
        <v>3750</v>
      </c>
      <c r="J2111" s="4">
        <v>2062.5</v>
      </c>
      <c r="K2111" s="4">
        <v>515.625</v>
      </c>
      <c r="L2111" s="5">
        <v>0.25</v>
      </c>
      <c r="M2111" t="s">
        <v>24</v>
      </c>
      <c r="N2111" t="s">
        <v>361</v>
      </c>
    </row>
    <row r="2112" spans="1:14">
      <c r="A2112" t="s">
        <v>151</v>
      </c>
      <c r="B2112">
        <v>1128299</v>
      </c>
      <c r="C2112" s="2">
        <v>44312</v>
      </c>
      <c r="D2112" t="s">
        <v>28</v>
      </c>
      <c r="E2112" t="s">
        <v>195</v>
      </c>
      <c r="F2112" t="s">
        <v>202</v>
      </c>
      <c r="G2112" t="s">
        <v>27</v>
      </c>
      <c r="H2112" s="3">
        <v>0.55000000000000004</v>
      </c>
      <c r="I2112">
        <v>5500</v>
      </c>
      <c r="J2112" s="4">
        <v>3025.0000000000005</v>
      </c>
      <c r="K2112" s="4">
        <v>1058.75</v>
      </c>
      <c r="L2112" s="5">
        <v>0.35</v>
      </c>
      <c r="M2112" t="s">
        <v>127</v>
      </c>
      <c r="N2112" t="s">
        <v>362</v>
      </c>
    </row>
    <row r="2113" spans="1:14">
      <c r="A2113" t="s">
        <v>151</v>
      </c>
      <c r="B2113">
        <v>1128299</v>
      </c>
      <c r="C2113" s="2">
        <v>44312</v>
      </c>
      <c r="D2113" t="s">
        <v>28</v>
      </c>
      <c r="E2113" t="s">
        <v>195</v>
      </c>
      <c r="F2113" t="s">
        <v>202</v>
      </c>
      <c r="G2113" t="s">
        <v>145</v>
      </c>
      <c r="H2113" s="3">
        <v>0.60000000000000009</v>
      </c>
      <c r="I2113">
        <v>3500</v>
      </c>
      <c r="J2113" s="4">
        <v>2100.0000000000005</v>
      </c>
      <c r="K2113" s="4">
        <v>840.00000000000023</v>
      </c>
      <c r="L2113" s="5">
        <v>0.4</v>
      </c>
      <c r="M2113" t="s">
        <v>127</v>
      </c>
      <c r="N2113" t="s">
        <v>362</v>
      </c>
    </row>
    <row r="2114" spans="1:14">
      <c r="A2114" t="s">
        <v>151</v>
      </c>
      <c r="B2114">
        <v>1128299</v>
      </c>
      <c r="C2114" s="2">
        <v>44312</v>
      </c>
      <c r="D2114" t="s">
        <v>28</v>
      </c>
      <c r="E2114" t="s">
        <v>195</v>
      </c>
      <c r="F2114" t="s">
        <v>202</v>
      </c>
      <c r="G2114" t="s">
        <v>146</v>
      </c>
      <c r="H2114" s="3">
        <v>0.60000000000000009</v>
      </c>
      <c r="I2114">
        <v>4000</v>
      </c>
      <c r="J2114" s="4">
        <v>2400.0000000000005</v>
      </c>
      <c r="K2114" s="4">
        <v>840.00000000000011</v>
      </c>
      <c r="L2114" s="5">
        <v>0.35</v>
      </c>
      <c r="M2114" t="s">
        <v>127</v>
      </c>
      <c r="N2114" t="s">
        <v>362</v>
      </c>
    </row>
    <row r="2115" spans="1:14">
      <c r="A2115" t="s">
        <v>151</v>
      </c>
      <c r="B2115">
        <v>1128299</v>
      </c>
      <c r="C2115" s="2">
        <v>44312</v>
      </c>
      <c r="D2115" t="s">
        <v>28</v>
      </c>
      <c r="E2115" t="s">
        <v>195</v>
      </c>
      <c r="F2115" t="s">
        <v>202</v>
      </c>
      <c r="G2115" t="s">
        <v>148</v>
      </c>
      <c r="H2115" s="3">
        <v>0.55000000000000004</v>
      </c>
      <c r="I2115">
        <v>3000</v>
      </c>
      <c r="J2115" s="4">
        <v>1650.0000000000002</v>
      </c>
      <c r="K2115" s="4">
        <v>577.5</v>
      </c>
      <c r="L2115" s="5">
        <v>0.35</v>
      </c>
      <c r="M2115" t="s">
        <v>127</v>
      </c>
      <c r="N2115" t="s">
        <v>362</v>
      </c>
    </row>
    <row r="2116" spans="1:14">
      <c r="A2116" t="s">
        <v>151</v>
      </c>
      <c r="B2116">
        <v>1128299</v>
      </c>
      <c r="C2116" s="2">
        <v>44312</v>
      </c>
      <c r="D2116" t="s">
        <v>28</v>
      </c>
      <c r="E2116" t="s">
        <v>195</v>
      </c>
      <c r="F2116" t="s">
        <v>202</v>
      </c>
      <c r="G2116" t="s">
        <v>147</v>
      </c>
      <c r="H2116" s="3">
        <v>0.60000000000000009</v>
      </c>
      <c r="I2116">
        <v>2000</v>
      </c>
      <c r="J2116" s="4">
        <v>1200.0000000000002</v>
      </c>
      <c r="K2116" s="4">
        <v>360.00000000000006</v>
      </c>
      <c r="L2116" s="5">
        <v>0.3</v>
      </c>
      <c r="M2116" t="s">
        <v>127</v>
      </c>
      <c r="N2116" t="s">
        <v>362</v>
      </c>
    </row>
    <row r="2117" spans="1:14">
      <c r="A2117" t="s">
        <v>151</v>
      </c>
      <c r="B2117">
        <v>1128299</v>
      </c>
      <c r="C2117" s="2">
        <v>44312</v>
      </c>
      <c r="D2117" t="s">
        <v>28</v>
      </c>
      <c r="E2117" t="s">
        <v>195</v>
      </c>
      <c r="F2117" t="s">
        <v>202</v>
      </c>
      <c r="G2117" t="s">
        <v>144</v>
      </c>
      <c r="H2117" s="3">
        <v>0.75000000000000011</v>
      </c>
      <c r="I2117">
        <v>3750</v>
      </c>
      <c r="J2117" s="4">
        <v>2812.5000000000005</v>
      </c>
      <c r="K2117" s="4">
        <v>703.12500000000011</v>
      </c>
      <c r="L2117" s="5">
        <v>0.25</v>
      </c>
      <c r="M2117" t="s">
        <v>127</v>
      </c>
      <c r="N2117" t="s">
        <v>362</v>
      </c>
    </row>
    <row r="2118" spans="1:14">
      <c r="A2118" t="s">
        <v>151</v>
      </c>
      <c r="B2118">
        <v>1128299</v>
      </c>
      <c r="C2118" s="2">
        <v>44343</v>
      </c>
      <c r="D2118" t="s">
        <v>28</v>
      </c>
      <c r="E2118" t="s">
        <v>195</v>
      </c>
      <c r="F2118" t="s">
        <v>202</v>
      </c>
      <c r="G2118" t="s">
        <v>27</v>
      </c>
      <c r="H2118" s="3">
        <v>0.55000000000000004</v>
      </c>
      <c r="I2118">
        <v>5750</v>
      </c>
      <c r="J2118" s="4">
        <v>3162.5000000000005</v>
      </c>
      <c r="K2118" s="4">
        <v>1106.875</v>
      </c>
      <c r="L2118" s="5">
        <v>0.35</v>
      </c>
      <c r="M2118" t="s">
        <v>128</v>
      </c>
      <c r="N2118" t="s">
        <v>362</v>
      </c>
    </row>
    <row r="2119" spans="1:14">
      <c r="A2119" t="s">
        <v>151</v>
      </c>
      <c r="B2119">
        <v>1128299</v>
      </c>
      <c r="C2119" s="2">
        <v>44343</v>
      </c>
      <c r="D2119" t="s">
        <v>28</v>
      </c>
      <c r="E2119" t="s">
        <v>195</v>
      </c>
      <c r="F2119" t="s">
        <v>202</v>
      </c>
      <c r="G2119" t="s">
        <v>145</v>
      </c>
      <c r="H2119" s="3">
        <v>0.60000000000000009</v>
      </c>
      <c r="I2119">
        <v>4250</v>
      </c>
      <c r="J2119" s="4">
        <v>2550.0000000000005</v>
      </c>
      <c r="K2119" s="4">
        <v>1020.0000000000002</v>
      </c>
      <c r="L2119" s="5">
        <v>0.4</v>
      </c>
      <c r="M2119" t="s">
        <v>128</v>
      </c>
      <c r="N2119" t="s">
        <v>362</v>
      </c>
    </row>
    <row r="2120" spans="1:14">
      <c r="A2120" t="s">
        <v>151</v>
      </c>
      <c r="B2120">
        <v>1128299</v>
      </c>
      <c r="C2120" s="2">
        <v>44343</v>
      </c>
      <c r="D2120" t="s">
        <v>28</v>
      </c>
      <c r="E2120" t="s">
        <v>195</v>
      </c>
      <c r="F2120" t="s">
        <v>202</v>
      </c>
      <c r="G2120" t="s">
        <v>146</v>
      </c>
      <c r="H2120" s="3">
        <v>0.60000000000000009</v>
      </c>
      <c r="I2120">
        <v>4500</v>
      </c>
      <c r="J2120" s="4">
        <v>2700.0000000000005</v>
      </c>
      <c r="K2120" s="4">
        <v>945.00000000000011</v>
      </c>
      <c r="L2120" s="5">
        <v>0.35</v>
      </c>
      <c r="M2120" t="s">
        <v>128</v>
      </c>
      <c r="N2120" t="s">
        <v>362</v>
      </c>
    </row>
    <row r="2121" spans="1:14">
      <c r="A2121" t="s">
        <v>151</v>
      </c>
      <c r="B2121">
        <v>1128299</v>
      </c>
      <c r="C2121" s="2">
        <v>44343</v>
      </c>
      <c r="D2121" t="s">
        <v>28</v>
      </c>
      <c r="E2121" t="s">
        <v>195</v>
      </c>
      <c r="F2121" t="s">
        <v>202</v>
      </c>
      <c r="G2121" t="s">
        <v>148</v>
      </c>
      <c r="H2121" s="3">
        <v>0.55000000000000004</v>
      </c>
      <c r="I2121">
        <v>3500</v>
      </c>
      <c r="J2121" s="4">
        <v>1925.0000000000002</v>
      </c>
      <c r="K2121" s="4">
        <v>673.75</v>
      </c>
      <c r="L2121" s="5">
        <v>0.35</v>
      </c>
      <c r="M2121" t="s">
        <v>128</v>
      </c>
      <c r="N2121" t="s">
        <v>362</v>
      </c>
    </row>
    <row r="2122" spans="1:14">
      <c r="A2122" t="s">
        <v>151</v>
      </c>
      <c r="B2122">
        <v>1128299</v>
      </c>
      <c r="C2122" s="2">
        <v>44343</v>
      </c>
      <c r="D2122" t="s">
        <v>28</v>
      </c>
      <c r="E2122" t="s">
        <v>195</v>
      </c>
      <c r="F2122" t="s">
        <v>202</v>
      </c>
      <c r="G2122" t="s">
        <v>147</v>
      </c>
      <c r="H2122" s="3">
        <v>0.60000000000000009</v>
      </c>
      <c r="I2122">
        <v>2500</v>
      </c>
      <c r="J2122" s="4">
        <v>1500.0000000000002</v>
      </c>
      <c r="K2122" s="4">
        <v>450.00000000000006</v>
      </c>
      <c r="L2122" s="5">
        <v>0.3</v>
      </c>
      <c r="M2122" t="s">
        <v>128</v>
      </c>
      <c r="N2122" t="s">
        <v>362</v>
      </c>
    </row>
    <row r="2123" spans="1:14">
      <c r="A2123" t="s">
        <v>151</v>
      </c>
      <c r="B2123">
        <v>1128299</v>
      </c>
      <c r="C2123" s="2">
        <v>44343</v>
      </c>
      <c r="D2123" t="s">
        <v>28</v>
      </c>
      <c r="E2123" t="s">
        <v>195</v>
      </c>
      <c r="F2123" t="s">
        <v>202</v>
      </c>
      <c r="G2123" t="s">
        <v>144</v>
      </c>
      <c r="H2123" s="3">
        <v>0.75000000000000011</v>
      </c>
      <c r="I2123">
        <v>4250</v>
      </c>
      <c r="J2123" s="4">
        <v>3187.5000000000005</v>
      </c>
      <c r="K2123" s="4">
        <v>796.87500000000011</v>
      </c>
      <c r="L2123" s="5">
        <v>0.25</v>
      </c>
      <c r="M2123" t="s">
        <v>128</v>
      </c>
      <c r="N2123" t="s">
        <v>362</v>
      </c>
    </row>
    <row r="2124" spans="1:14">
      <c r="A2124" t="s">
        <v>151</v>
      </c>
      <c r="B2124">
        <v>1128299</v>
      </c>
      <c r="C2124" s="2">
        <v>44373</v>
      </c>
      <c r="D2124" t="s">
        <v>28</v>
      </c>
      <c r="E2124" t="s">
        <v>195</v>
      </c>
      <c r="F2124" t="s">
        <v>202</v>
      </c>
      <c r="G2124" t="s">
        <v>27</v>
      </c>
      <c r="H2124" s="3">
        <v>0.55000000000000004</v>
      </c>
      <c r="I2124">
        <v>7000</v>
      </c>
      <c r="J2124" s="4">
        <v>3850.0000000000005</v>
      </c>
      <c r="K2124" s="4">
        <v>1347.5</v>
      </c>
      <c r="L2124" s="5">
        <v>0.35</v>
      </c>
      <c r="M2124" t="s">
        <v>129</v>
      </c>
      <c r="N2124" t="s">
        <v>362</v>
      </c>
    </row>
    <row r="2125" spans="1:14">
      <c r="A2125" t="s">
        <v>151</v>
      </c>
      <c r="B2125">
        <v>1128299</v>
      </c>
      <c r="C2125" s="2">
        <v>44373</v>
      </c>
      <c r="D2125" t="s">
        <v>28</v>
      </c>
      <c r="E2125" t="s">
        <v>195</v>
      </c>
      <c r="F2125" t="s">
        <v>202</v>
      </c>
      <c r="G2125" t="s">
        <v>145</v>
      </c>
      <c r="H2125" s="3">
        <v>0.60000000000000009</v>
      </c>
      <c r="I2125">
        <v>5500</v>
      </c>
      <c r="J2125" s="4">
        <v>3300.0000000000005</v>
      </c>
      <c r="K2125" s="4">
        <v>1320.0000000000002</v>
      </c>
      <c r="L2125" s="5">
        <v>0.4</v>
      </c>
      <c r="M2125" t="s">
        <v>129</v>
      </c>
      <c r="N2125" t="s">
        <v>362</v>
      </c>
    </row>
    <row r="2126" spans="1:14">
      <c r="A2126" t="s">
        <v>151</v>
      </c>
      <c r="B2126">
        <v>1128299</v>
      </c>
      <c r="C2126" s="2">
        <v>44373</v>
      </c>
      <c r="D2126" t="s">
        <v>28</v>
      </c>
      <c r="E2126" t="s">
        <v>195</v>
      </c>
      <c r="F2126" t="s">
        <v>202</v>
      </c>
      <c r="G2126" t="s">
        <v>146</v>
      </c>
      <c r="H2126" s="3">
        <v>0.60000000000000009</v>
      </c>
      <c r="I2126">
        <v>5500</v>
      </c>
      <c r="J2126" s="4">
        <v>3300.0000000000005</v>
      </c>
      <c r="K2126" s="4">
        <v>1155</v>
      </c>
      <c r="L2126" s="5">
        <v>0.35</v>
      </c>
      <c r="M2126" t="s">
        <v>129</v>
      </c>
      <c r="N2126" t="s">
        <v>362</v>
      </c>
    </row>
    <row r="2127" spans="1:14">
      <c r="A2127" t="s">
        <v>151</v>
      </c>
      <c r="B2127">
        <v>1128299</v>
      </c>
      <c r="C2127" s="2">
        <v>44373</v>
      </c>
      <c r="D2127" t="s">
        <v>28</v>
      </c>
      <c r="E2127" t="s">
        <v>195</v>
      </c>
      <c r="F2127" t="s">
        <v>202</v>
      </c>
      <c r="G2127" t="s">
        <v>148</v>
      </c>
      <c r="H2127" s="3">
        <v>0.55000000000000004</v>
      </c>
      <c r="I2127">
        <v>4250</v>
      </c>
      <c r="J2127" s="4">
        <v>2337.5</v>
      </c>
      <c r="K2127" s="4">
        <v>818.125</v>
      </c>
      <c r="L2127" s="5">
        <v>0.35</v>
      </c>
      <c r="M2127" t="s">
        <v>129</v>
      </c>
      <c r="N2127" t="s">
        <v>362</v>
      </c>
    </row>
    <row r="2128" spans="1:14">
      <c r="A2128" t="s">
        <v>151</v>
      </c>
      <c r="B2128">
        <v>1128299</v>
      </c>
      <c r="C2128" s="2">
        <v>44373</v>
      </c>
      <c r="D2128" t="s">
        <v>28</v>
      </c>
      <c r="E2128" t="s">
        <v>195</v>
      </c>
      <c r="F2128" t="s">
        <v>202</v>
      </c>
      <c r="G2128" t="s">
        <v>147</v>
      </c>
      <c r="H2128" s="3">
        <v>0.60000000000000009</v>
      </c>
      <c r="I2128">
        <v>3000</v>
      </c>
      <c r="J2128" s="4">
        <v>1800.0000000000002</v>
      </c>
      <c r="K2128" s="4">
        <v>540</v>
      </c>
      <c r="L2128" s="5">
        <v>0.3</v>
      </c>
      <c r="M2128" t="s">
        <v>129</v>
      </c>
      <c r="N2128" t="s">
        <v>362</v>
      </c>
    </row>
    <row r="2129" spans="1:14">
      <c r="A2129" t="s">
        <v>151</v>
      </c>
      <c r="B2129">
        <v>1128299</v>
      </c>
      <c r="C2129" s="2">
        <v>44373</v>
      </c>
      <c r="D2129" t="s">
        <v>28</v>
      </c>
      <c r="E2129" t="s">
        <v>195</v>
      </c>
      <c r="F2129" t="s">
        <v>202</v>
      </c>
      <c r="G2129" t="s">
        <v>144</v>
      </c>
      <c r="H2129" s="3">
        <v>0.75000000000000011</v>
      </c>
      <c r="I2129">
        <v>6000</v>
      </c>
      <c r="J2129" s="4">
        <v>4500.0000000000009</v>
      </c>
      <c r="K2129" s="4">
        <v>1125.0000000000002</v>
      </c>
      <c r="L2129" s="5">
        <v>0.25</v>
      </c>
      <c r="M2129" t="s">
        <v>129</v>
      </c>
      <c r="N2129" t="s">
        <v>362</v>
      </c>
    </row>
    <row r="2130" spans="1:14">
      <c r="A2130" t="s">
        <v>151</v>
      </c>
      <c r="B2130">
        <v>1128299</v>
      </c>
      <c r="C2130" s="2">
        <v>44402</v>
      </c>
      <c r="D2130" t="s">
        <v>28</v>
      </c>
      <c r="E2130" t="s">
        <v>195</v>
      </c>
      <c r="F2130" t="s">
        <v>202</v>
      </c>
      <c r="G2130" t="s">
        <v>27</v>
      </c>
      <c r="H2130" s="3">
        <v>0.55000000000000004</v>
      </c>
      <c r="I2130">
        <v>7500</v>
      </c>
      <c r="J2130" s="4">
        <v>4125</v>
      </c>
      <c r="K2130" s="4">
        <v>1443.75</v>
      </c>
      <c r="L2130" s="5">
        <v>0.35</v>
      </c>
      <c r="M2130" t="s">
        <v>130</v>
      </c>
      <c r="N2130" t="s">
        <v>363</v>
      </c>
    </row>
    <row r="2131" spans="1:14">
      <c r="A2131" t="s">
        <v>151</v>
      </c>
      <c r="B2131">
        <v>1128299</v>
      </c>
      <c r="C2131" s="2">
        <v>44402</v>
      </c>
      <c r="D2131" t="s">
        <v>28</v>
      </c>
      <c r="E2131" t="s">
        <v>195</v>
      </c>
      <c r="F2131" t="s">
        <v>202</v>
      </c>
      <c r="G2131" t="s">
        <v>145</v>
      </c>
      <c r="H2131" s="3">
        <v>0.60000000000000009</v>
      </c>
      <c r="I2131">
        <v>6000</v>
      </c>
      <c r="J2131" s="4">
        <v>3600.0000000000005</v>
      </c>
      <c r="K2131" s="4">
        <v>1440.0000000000002</v>
      </c>
      <c r="L2131" s="5">
        <v>0.4</v>
      </c>
      <c r="M2131" t="s">
        <v>130</v>
      </c>
      <c r="N2131" t="s">
        <v>363</v>
      </c>
    </row>
    <row r="2132" spans="1:14">
      <c r="A2132" t="s">
        <v>151</v>
      </c>
      <c r="B2132">
        <v>1128299</v>
      </c>
      <c r="C2132" s="2">
        <v>44402</v>
      </c>
      <c r="D2132" t="s">
        <v>28</v>
      </c>
      <c r="E2132" t="s">
        <v>195</v>
      </c>
      <c r="F2132" t="s">
        <v>202</v>
      </c>
      <c r="G2132" t="s">
        <v>146</v>
      </c>
      <c r="H2132" s="3">
        <v>0.60000000000000009</v>
      </c>
      <c r="I2132">
        <v>5500</v>
      </c>
      <c r="J2132" s="4">
        <v>3300.0000000000005</v>
      </c>
      <c r="K2132" s="4">
        <v>1155</v>
      </c>
      <c r="L2132" s="5">
        <v>0.35</v>
      </c>
      <c r="M2132" t="s">
        <v>130</v>
      </c>
      <c r="N2132" t="s">
        <v>363</v>
      </c>
    </row>
    <row r="2133" spans="1:14">
      <c r="A2133" t="s">
        <v>151</v>
      </c>
      <c r="B2133">
        <v>1128299</v>
      </c>
      <c r="C2133" s="2">
        <v>44402</v>
      </c>
      <c r="D2133" t="s">
        <v>28</v>
      </c>
      <c r="E2133" t="s">
        <v>195</v>
      </c>
      <c r="F2133" t="s">
        <v>202</v>
      </c>
      <c r="G2133" t="s">
        <v>148</v>
      </c>
      <c r="H2133" s="3">
        <v>0.55000000000000004</v>
      </c>
      <c r="I2133">
        <v>4500</v>
      </c>
      <c r="J2133" s="4">
        <v>2475</v>
      </c>
      <c r="K2133" s="4">
        <v>866.25</v>
      </c>
      <c r="L2133" s="5">
        <v>0.35</v>
      </c>
      <c r="M2133" t="s">
        <v>130</v>
      </c>
      <c r="N2133" t="s">
        <v>363</v>
      </c>
    </row>
    <row r="2134" spans="1:14">
      <c r="A2134" t="s">
        <v>151</v>
      </c>
      <c r="B2134">
        <v>1128299</v>
      </c>
      <c r="C2134" s="2">
        <v>44402</v>
      </c>
      <c r="D2134" t="s">
        <v>28</v>
      </c>
      <c r="E2134" t="s">
        <v>195</v>
      </c>
      <c r="F2134" t="s">
        <v>202</v>
      </c>
      <c r="G2134" t="s">
        <v>147</v>
      </c>
      <c r="H2134" s="3">
        <v>0.60000000000000009</v>
      </c>
      <c r="I2134">
        <v>5000</v>
      </c>
      <c r="J2134" s="4">
        <v>3000.0000000000005</v>
      </c>
      <c r="K2134" s="4">
        <v>900.00000000000011</v>
      </c>
      <c r="L2134" s="5">
        <v>0.3</v>
      </c>
      <c r="M2134" t="s">
        <v>130</v>
      </c>
      <c r="N2134" t="s">
        <v>363</v>
      </c>
    </row>
    <row r="2135" spans="1:14">
      <c r="A2135" t="s">
        <v>151</v>
      </c>
      <c r="B2135">
        <v>1128299</v>
      </c>
      <c r="C2135" s="2">
        <v>44402</v>
      </c>
      <c r="D2135" t="s">
        <v>28</v>
      </c>
      <c r="E2135" t="s">
        <v>195</v>
      </c>
      <c r="F2135" t="s">
        <v>202</v>
      </c>
      <c r="G2135" t="s">
        <v>144</v>
      </c>
      <c r="H2135" s="3">
        <v>0.75000000000000011</v>
      </c>
      <c r="I2135">
        <v>5000</v>
      </c>
      <c r="J2135" s="4">
        <v>3750.0000000000005</v>
      </c>
      <c r="K2135" s="4">
        <v>937.50000000000011</v>
      </c>
      <c r="L2135" s="5">
        <v>0.25</v>
      </c>
      <c r="M2135" t="s">
        <v>130</v>
      </c>
      <c r="N2135" t="s">
        <v>363</v>
      </c>
    </row>
    <row r="2136" spans="1:14">
      <c r="A2136" t="s">
        <v>151</v>
      </c>
      <c r="B2136">
        <v>1128299</v>
      </c>
      <c r="C2136" s="2">
        <v>44434</v>
      </c>
      <c r="D2136" t="s">
        <v>28</v>
      </c>
      <c r="E2136" t="s">
        <v>195</v>
      </c>
      <c r="F2136" t="s">
        <v>202</v>
      </c>
      <c r="G2136" t="s">
        <v>27</v>
      </c>
      <c r="H2136" s="3">
        <v>0.60000000000000009</v>
      </c>
      <c r="I2136">
        <v>7000</v>
      </c>
      <c r="J2136" s="4">
        <v>4200.0000000000009</v>
      </c>
      <c r="K2136" s="4">
        <v>1470.0000000000002</v>
      </c>
      <c r="L2136" s="5">
        <v>0.35</v>
      </c>
      <c r="M2136" t="s">
        <v>131</v>
      </c>
      <c r="N2136" t="s">
        <v>363</v>
      </c>
    </row>
    <row r="2137" spans="1:14">
      <c r="A2137" t="s">
        <v>151</v>
      </c>
      <c r="B2137">
        <v>1128299</v>
      </c>
      <c r="C2137" s="2">
        <v>44434</v>
      </c>
      <c r="D2137" t="s">
        <v>28</v>
      </c>
      <c r="E2137" t="s">
        <v>195</v>
      </c>
      <c r="F2137" t="s">
        <v>202</v>
      </c>
      <c r="G2137" t="s">
        <v>145</v>
      </c>
      <c r="H2137" s="3">
        <v>0.65000000000000013</v>
      </c>
      <c r="I2137">
        <v>6500</v>
      </c>
      <c r="J2137" s="4">
        <v>4225.0000000000009</v>
      </c>
      <c r="K2137" s="4">
        <v>1690.0000000000005</v>
      </c>
      <c r="L2137" s="5">
        <v>0.4</v>
      </c>
      <c r="M2137" t="s">
        <v>131</v>
      </c>
      <c r="N2137" t="s">
        <v>363</v>
      </c>
    </row>
    <row r="2138" spans="1:14">
      <c r="A2138" t="s">
        <v>151</v>
      </c>
      <c r="B2138">
        <v>1128299</v>
      </c>
      <c r="C2138" s="2">
        <v>44434</v>
      </c>
      <c r="D2138" t="s">
        <v>28</v>
      </c>
      <c r="E2138" t="s">
        <v>195</v>
      </c>
      <c r="F2138" t="s">
        <v>202</v>
      </c>
      <c r="G2138" t="s">
        <v>146</v>
      </c>
      <c r="H2138" s="3">
        <v>0.60000000000000009</v>
      </c>
      <c r="I2138">
        <v>5250</v>
      </c>
      <c r="J2138" s="4">
        <v>3150.0000000000005</v>
      </c>
      <c r="K2138" s="4">
        <v>1102.5</v>
      </c>
      <c r="L2138" s="5">
        <v>0.35</v>
      </c>
      <c r="M2138" t="s">
        <v>131</v>
      </c>
      <c r="N2138" t="s">
        <v>363</v>
      </c>
    </row>
    <row r="2139" spans="1:14">
      <c r="A2139" t="s">
        <v>151</v>
      </c>
      <c r="B2139">
        <v>1128299</v>
      </c>
      <c r="C2139" s="2">
        <v>44434</v>
      </c>
      <c r="D2139" t="s">
        <v>28</v>
      </c>
      <c r="E2139" t="s">
        <v>195</v>
      </c>
      <c r="F2139" t="s">
        <v>202</v>
      </c>
      <c r="G2139" t="s">
        <v>148</v>
      </c>
      <c r="H2139" s="3">
        <v>0.60000000000000009</v>
      </c>
      <c r="I2139">
        <v>4750</v>
      </c>
      <c r="J2139" s="4">
        <v>2850.0000000000005</v>
      </c>
      <c r="K2139" s="4">
        <v>997.50000000000011</v>
      </c>
      <c r="L2139" s="5">
        <v>0.35</v>
      </c>
      <c r="M2139" t="s">
        <v>131</v>
      </c>
      <c r="N2139" t="s">
        <v>363</v>
      </c>
    </row>
    <row r="2140" spans="1:14">
      <c r="A2140" t="s">
        <v>151</v>
      </c>
      <c r="B2140">
        <v>1128299</v>
      </c>
      <c r="C2140" s="2">
        <v>44434</v>
      </c>
      <c r="D2140" t="s">
        <v>28</v>
      </c>
      <c r="E2140" t="s">
        <v>195</v>
      </c>
      <c r="F2140" t="s">
        <v>202</v>
      </c>
      <c r="G2140" t="s">
        <v>147</v>
      </c>
      <c r="H2140" s="3">
        <v>0.70000000000000007</v>
      </c>
      <c r="I2140">
        <v>4750</v>
      </c>
      <c r="J2140" s="4">
        <v>3325.0000000000005</v>
      </c>
      <c r="K2140" s="4">
        <v>997.50000000000011</v>
      </c>
      <c r="L2140" s="5">
        <v>0.3</v>
      </c>
      <c r="M2140" t="s">
        <v>131</v>
      </c>
      <c r="N2140" t="s">
        <v>363</v>
      </c>
    </row>
    <row r="2141" spans="1:14">
      <c r="A2141" t="s">
        <v>151</v>
      </c>
      <c r="B2141">
        <v>1128299</v>
      </c>
      <c r="C2141" s="2">
        <v>44434</v>
      </c>
      <c r="D2141" t="s">
        <v>28</v>
      </c>
      <c r="E2141" t="s">
        <v>195</v>
      </c>
      <c r="F2141" t="s">
        <v>202</v>
      </c>
      <c r="G2141" t="s">
        <v>144</v>
      </c>
      <c r="H2141" s="3">
        <v>0.75000000000000011</v>
      </c>
      <c r="I2141">
        <v>4500</v>
      </c>
      <c r="J2141" s="4">
        <v>3375.0000000000005</v>
      </c>
      <c r="K2141" s="4">
        <v>843.75000000000011</v>
      </c>
      <c r="L2141" s="5">
        <v>0.25</v>
      </c>
      <c r="M2141" t="s">
        <v>131</v>
      </c>
      <c r="N2141" t="s">
        <v>363</v>
      </c>
    </row>
    <row r="2142" spans="1:14">
      <c r="A2142" t="s">
        <v>151</v>
      </c>
      <c r="B2142">
        <v>1128299</v>
      </c>
      <c r="C2142" s="2">
        <v>44466</v>
      </c>
      <c r="D2142" t="s">
        <v>28</v>
      </c>
      <c r="E2142" t="s">
        <v>195</v>
      </c>
      <c r="F2142" t="s">
        <v>202</v>
      </c>
      <c r="G2142" t="s">
        <v>27</v>
      </c>
      <c r="H2142" s="3">
        <v>0.50000000000000011</v>
      </c>
      <c r="I2142">
        <v>6250</v>
      </c>
      <c r="J2142" s="4">
        <v>3125.0000000000009</v>
      </c>
      <c r="K2142" s="4">
        <v>1093.7500000000002</v>
      </c>
      <c r="L2142" s="5">
        <v>0.35</v>
      </c>
      <c r="M2142" t="s">
        <v>132</v>
      </c>
      <c r="N2142" t="s">
        <v>363</v>
      </c>
    </row>
    <row r="2143" spans="1:14">
      <c r="A2143" t="s">
        <v>151</v>
      </c>
      <c r="B2143">
        <v>1128299</v>
      </c>
      <c r="C2143" s="2">
        <v>44466</v>
      </c>
      <c r="D2143" t="s">
        <v>28</v>
      </c>
      <c r="E2143" t="s">
        <v>195</v>
      </c>
      <c r="F2143" t="s">
        <v>202</v>
      </c>
      <c r="G2143" t="s">
        <v>145</v>
      </c>
      <c r="H2143" s="3">
        <v>0.55000000000000016</v>
      </c>
      <c r="I2143">
        <v>6250</v>
      </c>
      <c r="J2143" s="4">
        <v>3437.5000000000009</v>
      </c>
      <c r="K2143" s="4">
        <v>1375.0000000000005</v>
      </c>
      <c r="L2143" s="5">
        <v>0.4</v>
      </c>
      <c r="M2143" t="s">
        <v>132</v>
      </c>
      <c r="N2143" t="s">
        <v>363</v>
      </c>
    </row>
    <row r="2144" spans="1:14">
      <c r="A2144" t="s">
        <v>151</v>
      </c>
      <c r="B2144">
        <v>1128299</v>
      </c>
      <c r="C2144" s="2">
        <v>44466</v>
      </c>
      <c r="D2144" t="s">
        <v>28</v>
      </c>
      <c r="E2144" t="s">
        <v>195</v>
      </c>
      <c r="F2144" t="s">
        <v>202</v>
      </c>
      <c r="G2144" t="s">
        <v>146</v>
      </c>
      <c r="H2144" s="3">
        <v>0.50000000000000011</v>
      </c>
      <c r="I2144">
        <v>4750</v>
      </c>
      <c r="J2144" s="4">
        <v>2375.0000000000005</v>
      </c>
      <c r="K2144" s="4">
        <v>831.25000000000011</v>
      </c>
      <c r="L2144" s="5">
        <v>0.35</v>
      </c>
      <c r="M2144" t="s">
        <v>132</v>
      </c>
      <c r="N2144" t="s">
        <v>363</v>
      </c>
    </row>
    <row r="2145" spans="1:14">
      <c r="A2145" t="s">
        <v>151</v>
      </c>
      <c r="B2145">
        <v>1128299</v>
      </c>
      <c r="C2145" s="2">
        <v>44466</v>
      </c>
      <c r="D2145" t="s">
        <v>28</v>
      </c>
      <c r="E2145" t="s">
        <v>195</v>
      </c>
      <c r="F2145" t="s">
        <v>202</v>
      </c>
      <c r="G2145" t="s">
        <v>148</v>
      </c>
      <c r="H2145" s="3">
        <v>0.50000000000000011</v>
      </c>
      <c r="I2145">
        <v>4250</v>
      </c>
      <c r="J2145" s="4">
        <v>2125.0000000000005</v>
      </c>
      <c r="K2145" s="4">
        <v>743.75000000000011</v>
      </c>
      <c r="L2145" s="5">
        <v>0.35</v>
      </c>
      <c r="M2145" t="s">
        <v>132</v>
      </c>
      <c r="N2145" t="s">
        <v>363</v>
      </c>
    </row>
    <row r="2146" spans="1:14">
      <c r="A2146" t="s">
        <v>151</v>
      </c>
      <c r="B2146">
        <v>1128299</v>
      </c>
      <c r="C2146" s="2">
        <v>44466</v>
      </c>
      <c r="D2146" t="s">
        <v>28</v>
      </c>
      <c r="E2146" t="s">
        <v>195</v>
      </c>
      <c r="F2146" t="s">
        <v>202</v>
      </c>
      <c r="G2146" t="s">
        <v>147</v>
      </c>
      <c r="H2146" s="3">
        <v>0.60000000000000009</v>
      </c>
      <c r="I2146">
        <v>4250</v>
      </c>
      <c r="J2146" s="4">
        <v>2550.0000000000005</v>
      </c>
      <c r="K2146" s="4">
        <v>765.00000000000011</v>
      </c>
      <c r="L2146" s="5">
        <v>0.3</v>
      </c>
      <c r="M2146" t="s">
        <v>132</v>
      </c>
      <c r="N2146" t="s">
        <v>363</v>
      </c>
    </row>
    <row r="2147" spans="1:14">
      <c r="A2147" t="s">
        <v>151</v>
      </c>
      <c r="B2147">
        <v>1128299</v>
      </c>
      <c r="C2147" s="2">
        <v>44466</v>
      </c>
      <c r="D2147" t="s">
        <v>28</v>
      </c>
      <c r="E2147" t="s">
        <v>195</v>
      </c>
      <c r="F2147" t="s">
        <v>202</v>
      </c>
      <c r="G2147" t="s">
        <v>144</v>
      </c>
      <c r="H2147" s="3">
        <v>0.65000000000000013</v>
      </c>
      <c r="I2147">
        <v>4750</v>
      </c>
      <c r="J2147" s="4">
        <v>3087.5000000000005</v>
      </c>
      <c r="K2147" s="4">
        <v>771.87500000000011</v>
      </c>
      <c r="L2147" s="5">
        <v>0.25</v>
      </c>
      <c r="M2147" t="s">
        <v>132</v>
      </c>
      <c r="N2147" t="s">
        <v>363</v>
      </c>
    </row>
    <row r="2148" spans="1:14">
      <c r="A2148" t="s">
        <v>151</v>
      </c>
      <c r="B2148">
        <v>1128299</v>
      </c>
      <c r="C2148" s="2">
        <v>44495</v>
      </c>
      <c r="D2148" t="s">
        <v>28</v>
      </c>
      <c r="E2148" t="s">
        <v>195</v>
      </c>
      <c r="F2148" t="s">
        <v>202</v>
      </c>
      <c r="G2148" t="s">
        <v>27</v>
      </c>
      <c r="H2148" s="3">
        <v>0.50000000000000011</v>
      </c>
      <c r="I2148">
        <v>5500</v>
      </c>
      <c r="J2148" s="4">
        <v>2750.0000000000005</v>
      </c>
      <c r="K2148" s="4">
        <v>962.50000000000011</v>
      </c>
      <c r="L2148" s="5">
        <v>0.35</v>
      </c>
      <c r="M2148" t="s">
        <v>133</v>
      </c>
      <c r="N2148" t="s">
        <v>364</v>
      </c>
    </row>
    <row r="2149" spans="1:14">
      <c r="A2149" t="s">
        <v>151</v>
      </c>
      <c r="B2149">
        <v>1128299</v>
      </c>
      <c r="C2149" s="2">
        <v>44495</v>
      </c>
      <c r="D2149" t="s">
        <v>28</v>
      </c>
      <c r="E2149" t="s">
        <v>195</v>
      </c>
      <c r="F2149" t="s">
        <v>202</v>
      </c>
      <c r="G2149" t="s">
        <v>145</v>
      </c>
      <c r="H2149" s="3">
        <v>0.55000000000000016</v>
      </c>
      <c r="I2149">
        <v>5500</v>
      </c>
      <c r="J2149" s="4">
        <v>3025.0000000000009</v>
      </c>
      <c r="K2149" s="4">
        <v>1210.0000000000005</v>
      </c>
      <c r="L2149" s="5">
        <v>0.4</v>
      </c>
      <c r="M2149" t="s">
        <v>133</v>
      </c>
      <c r="N2149" t="s">
        <v>364</v>
      </c>
    </row>
    <row r="2150" spans="1:14">
      <c r="A2150" t="s">
        <v>151</v>
      </c>
      <c r="B2150">
        <v>1128299</v>
      </c>
      <c r="C2150" s="2">
        <v>44495</v>
      </c>
      <c r="D2150" t="s">
        <v>28</v>
      </c>
      <c r="E2150" t="s">
        <v>195</v>
      </c>
      <c r="F2150" t="s">
        <v>202</v>
      </c>
      <c r="G2150" t="s">
        <v>146</v>
      </c>
      <c r="H2150" s="3">
        <v>0.50000000000000011</v>
      </c>
      <c r="I2150">
        <v>3750</v>
      </c>
      <c r="J2150" s="4">
        <v>1875.0000000000005</v>
      </c>
      <c r="K2150" s="4">
        <v>656.25000000000011</v>
      </c>
      <c r="L2150" s="5">
        <v>0.35</v>
      </c>
      <c r="M2150" t="s">
        <v>133</v>
      </c>
      <c r="N2150" t="s">
        <v>364</v>
      </c>
    </row>
    <row r="2151" spans="1:14">
      <c r="A2151" t="s">
        <v>151</v>
      </c>
      <c r="B2151">
        <v>1128299</v>
      </c>
      <c r="C2151" s="2">
        <v>44495</v>
      </c>
      <c r="D2151" t="s">
        <v>28</v>
      </c>
      <c r="E2151" t="s">
        <v>195</v>
      </c>
      <c r="F2151" t="s">
        <v>202</v>
      </c>
      <c r="G2151" t="s">
        <v>148</v>
      </c>
      <c r="H2151" s="3">
        <v>0.50000000000000011</v>
      </c>
      <c r="I2151">
        <v>3500</v>
      </c>
      <c r="J2151" s="4">
        <v>1750.0000000000005</v>
      </c>
      <c r="K2151" s="4">
        <v>612.50000000000011</v>
      </c>
      <c r="L2151" s="5">
        <v>0.35</v>
      </c>
      <c r="M2151" t="s">
        <v>133</v>
      </c>
      <c r="N2151" t="s">
        <v>364</v>
      </c>
    </row>
    <row r="2152" spans="1:14">
      <c r="A2152" t="s">
        <v>151</v>
      </c>
      <c r="B2152">
        <v>1128299</v>
      </c>
      <c r="C2152" s="2">
        <v>44495</v>
      </c>
      <c r="D2152" t="s">
        <v>28</v>
      </c>
      <c r="E2152" t="s">
        <v>195</v>
      </c>
      <c r="F2152" t="s">
        <v>202</v>
      </c>
      <c r="G2152" t="s">
        <v>147</v>
      </c>
      <c r="H2152" s="3">
        <v>0.60000000000000009</v>
      </c>
      <c r="I2152">
        <v>3250</v>
      </c>
      <c r="J2152" s="4">
        <v>1950.0000000000002</v>
      </c>
      <c r="K2152" s="4">
        <v>585</v>
      </c>
      <c r="L2152" s="5">
        <v>0.3</v>
      </c>
      <c r="M2152" t="s">
        <v>133</v>
      </c>
      <c r="N2152" t="s">
        <v>364</v>
      </c>
    </row>
    <row r="2153" spans="1:14">
      <c r="A2153" t="s">
        <v>151</v>
      </c>
      <c r="B2153">
        <v>1128299</v>
      </c>
      <c r="C2153" s="2">
        <v>44495</v>
      </c>
      <c r="D2153" t="s">
        <v>28</v>
      </c>
      <c r="E2153" t="s">
        <v>195</v>
      </c>
      <c r="F2153" t="s">
        <v>202</v>
      </c>
      <c r="G2153" t="s">
        <v>144</v>
      </c>
      <c r="H2153" s="3">
        <v>0.75000000000000011</v>
      </c>
      <c r="I2153">
        <v>3750</v>
      </c>
      <c r="J2153" s="4">
        <v>2812.5000000000005</v>
      </c>
      <c r="K2153" s="4">
        <v>703.12500000000011</v>
      </c>
      <c r="L2153" s="5">
        <v>0.25</v>
      </c>
      <c r="M2153" t="s">
        <v>133</v>
      </c>
      <c r="N2153" t="s">
        <v>364</v>
      </c>
    </row>
    <row r="2154" spans="1:14">
      <c r="A2154" t="s">
        <v>151</v>
      </c>
      <c r="B2154">
        <v>1128299</v>
      </c>
      <c r="C2154" s="2">
        <v>44526</v>
      </c>
      <c r="D2154" t="s">
        <v>28</v>
      </c>
      <c r="E2154" t="s">
        <v>195</v>
      </c>
      <c r="F2154" t="s">
        <v>202</v>
      </c>
      <c r="G2154" t="s">
        <v>27</v>
      </c>
      <c r="H2154" s="3">
        <v>0.60000000000000009</v>
      </c>
      <c r="I2154">
        <v>5500</v>
      </c>
      <c r="J2154" s="4">
        <v>3300.0000000000005</v>
      </c>
      <c r="K2154" s="4">
        <v>1155</v>
      </c>
      <c r="L2154" s="5">
        <v>0.35</v>
      </c>
      <c r="M2154" t="s">
        <v>134</v>
      </c>
      <c r="N2154" t="s">
        <v>364</v>
      </c>
    </row>
    <row r="2155" spans="1:14">
      <c r="A2155" t="s">
        <v>151</v>
      </c>
      <c r="B2155">
        <v>1128299</v>
      </c>
      <c r="C2155" s="2">
        <v>44526</v>
      </c>
      <c r="D2155" t="s">
        <v>28</v>
      </c>
      <c r="E2155" t="s">
        <v>195</v>
      </c>
      <c r="F2155" t="s">
        <v>202</v>
      </c>
      <c r="G2155" t="s">
        <v>145</v>
      </c>
      <c r="H2155" s="3">
        <v>0.65000000000000013</v>
      </c>
      <c r="I2155">
        <v>6000</v>
      </c>
      <c r="J2155" s="4">
        <v>3900.0000000000009</v>
      </c>
      <c r="K2155" s="4">
        <v>1560.0000000000005</v>
      </c>
      <c r="L2155" s="5">
        <v>0.4</v>
      </c>
      <c r="M2155" t="s">
        <v>134</v>
      </c>
      <c r="N2155" t="s">
        <v>364</v>
      </c>
    </row>
    <row r="2156" spans="1:14">
      <c r="A2156" t="s">
        <v>151</v>
      </c>
      <c r="B2156">
        <v>1128299</v>
      </c>
      <c r="C2156" s="2">
        <v>44526</v>
      </c>
      <c r="D2156" t="s">
        <v>28</v>
      </c>
      <c r="E2156" t="s">
        <v>195</v>
      </c>
      <c r="F2156" t="s">
        <v>202</v>
      </c>
      <c r="G2156" t="s">
        <v>146</v>
      </c>
      <c r="H2156" s="3">
        <v>0.60000000000000009</v>
      </c>
      <c r="I2156">
        <v>4500</v>
      </c>
      <c r="J2156" s="4">
        <v>2700.0000000000005</v>
      </c>
      <c r="K2156" s="4">
        <v>945.00000000000011</v>
      </c>
      <c r="L2156" s="5">
        <v>0.35</v>
      </c>
      <c r="M2156" t="s">
        <v>134</v>
      </c>
      <c r="N2156" t="s">
        <v>364</v>
      </c>
    </row>
    <row r="2157" spans="1:14">
      <c r="A2157" t="s">
        <v>151</v>
      </c>
      <c r="B2157">
        <v>1128299</v>
      </c>
      <c r="C2157" s="2">
        <v>44526</v>
      </c>
      <c r="D2157" t="s">
        <v>28</v>
      </c>
      <c r="E2157" t="s">
        <v>195</v>
      </c>
      <c r="F2157" t="s">
        <v>202</v>
      </c>
      <c r="G2157" t="s">
        <v>148</v>
      </c>
      <c r="H2157" s="3">
        <v>0.60000000000000009</v>
      </c>
      <c r="I2157">
        <v>4250</v>
      </c>
      <c r="J2157" s="4">
        <v>2550.0000000000005</v>
      </c>
      <c r="K2157" s="4">
        <v>892.50000000000011</v>
      </c>
      <c r="L2157" s="5">
        <v>0.35</v>
      </c>
      <c r="M2157" t="s">
        <v>134</v>
      </c>
      <c r="N2157" t="s">
        <v>364</v>
      </c>
    </row>
    <row r="2158" spans="1:14">
      <c r="A2158" t="s">
        <v>151</v>
      </c>
      <c r="B2158">
        <v>1128299</v>
      </c>
      <c r="C2158" s="2">
        <v>44526</v>
      </c>
      <c r="D2158" t="s">
        <v>28</v>
      </c>
      <c r="E2158" t="s">
        <v>195</v>
      </c>
      <c r="F2158" t="s">
        <v>202</v>
      </c>
      <c r="G2158" t="s">
        <v>147</v>
      </c>
      <c r="H2158" s="3">
        <v>0.70000000000000007</v>
      </c>
      <c r="I2158">
        <v>3750</v>
      </c>
      <c r="J2158" s="4">
        <v>2625.0000000000005</v>
      </c>
      <c r="K2158" s="4">
        <v>787.50000000000011</v>
      </c>
      <c r="L2158" s="5">
        <v>0.3</v>
      </c>
      <c r="M2158" t="s">
        <v>134</v>
      </c>
      <c r="N2158" t="s">
        <v>364</v>
      </c>
    </row>
    <row r="2159" spans="1:14">
      <c r="A2159" t="s">
        <v>151</v>
      </c>
      <c r="B2159">
        <v>1128299</v>
      </c>
      <c r="C2159" s="2">
        <v>44526</v>
      </c>
      <c r="D2159" t="s">
        <v>28</v>
      </c>
      <c r="E2159" t="s">
        <v>195</v>
      </c>
      <c r="F2159" t="s">
        <v>202</v>
      </c>
      <c r="G2159" t="s">
        <v>144</v>
      </c>
      <c r="H2159" s="3">
        <v>0.75000000000000011</v>
      </c>
      <c r="I2159">
        <v>5000</v>
      </c>
      <c r="J2159" s="4">
        <v>3750.0000000000005</v>
      </c>
      <c r="K2159" s="4">
        <v>937.50000000000011</v>
      </c>
      <c r="L2159" s="5">
        <v>0.25</v>
      </c>
      <c r="M2159" t="s">
        <v>134</v>
      </c>
      <c r="N2159" t="s">
        <v>364</v>
      </c>
    </row>
    <row r="2160" spans="1:14">
      <c r="A2160" t="s">
        <v>151</v>
      </c>
      <c r="B2160">
        <v>1128299</v>
      </c>
      <c r="C2160" s="2">
        <v>44555</v>
      </c>
      <c r="D2160" t="s">
        <v>28</v>
      </c>
      <c r="E2160" t="s">
        <v>195</v>
      </c>
      <c r="F2160" t="s">
        <v>202</v>
      </c>
      <c r="G2160" t="s">
        <v>27</v>
      </c>
      <c r="H2160" s="3">
        <v>0.60000000000000009</v>
      </c>
      <c r="I2160">
        <v>7000</v>
      </c>
      <c r="J2160" s="4">
        <v>4200.0000000000009</v>
      </c>
      <c r="K2160" s="4">
        <v>1470.0000000000002</v>
      </c>
      <c r="L2160" s="5">
        <v>0.35</v>
      </c>
      <c r="M2160" t="s">
        <v>23</v>
      </c>
      <c r="N2160" t="s">
        <v>364</v>
      </c>
    </row>
    <row r="2161" spans="1:14">
      <c r="A2161" t="s">
        <v>151</v>
      </c>
      <c r="B2161">
        <v>1128299</v>
      </c>
      <c r="C2161" s="2">
        <v>44555</v>
      </c>
      <c r="D2161" t="s">
        <v>28</v>
      </c>
      <c r="E2161" t="s">
        <v>195</v>
      </c>
      <c r="F2161" t="s">
        <v>202</v>
      </c>
      <c r="G2161" t="s">
        <v>145</v>
      </c>
      <c r="H2161" s="3">
        <v>0.65000000000000013</v>
      </c>
      <c r="I2161">
        <v>7000</v>
      </c>
      <c r="J2161" s="4">
        <v>4550.0000000000009</v>
      </c>
      <c r="K2161" s="4">
        <v>1820.0000000000005</v>
      </c>
      <c r="L2161" s="5">
        <v>0.4</v>
      </c>
      <c r="M2161" t="s">
        <v>23</v>
      </c>
      <c r="N2161" t="s">
        <v>364</v>
      </c>
    </row>
    <row r="2162" spans="1:14">
      <c r="A2162" t="s">
        <v>151</v>
      </c>
      <c r="B2162">
        <v>1128299</v>
      </c>
      <c r="C2162" s="2">
        <v>44555</v>
      </c>
      <c r="D2162" t="s">
        <v>28</v>
      </c>
      <c r="E2162" t="s">
        <v>195</v>
      </c>
      <c r="F2162" t="s">
        <v>202</v>
      </c>
      <c r="G2162" t="s">
        <v>146</v>
      </c>
      <c r="H2162" s="3">
        <v>0.60000000000000009</v>
      </c>
      <c r="I2162">
        <v>5000</v>
      </c>
      <c r="J2162" s="4">
        <v>3000.0000000000005</v>
      </c>
      <c r="K2162" s="4">
        <v>1050</v>
      </c>
      <c r="L2162" s="5">
        <v>0.35</v>
      </c>
      <c r="M2162" t="s">
        <v>23</v>
      </c>
      <c r="N2162" t="s">
        <v>364</v>
      </c>
    </row>
    <row r="2163" spans="1:14">
      <c r="A2163" t="s">
        <v>151</v>
      </c>
      <c r="B2163">
        <v>1128299</v>
      </c>
      <c r="C2163" s="2">
        <v>44555</v>
      </c>
      <c r="D2163" t="s">
        <v>28</v>
      </c>
      <c r="E2163" t="s">
        <v>195</v>
      </c>
      <c r="F2163" t="s">
        <v>202</v>
      </c>
      <c r="G2163" t="s">
        <v>148</v>
      </c>
      <c r="H2163" s="3">
        <v>0.60000000000000009</v>
      </c>
      <c r="I2163">
        <v>5000</v>
      </c>
      <c r="J2163" s="4">
        <v>3000.0000000000005</v>
      </c>
      <c r="K2163" s="4">
        <v>1050</v>
      </c>
      <c r="L2163" s="5">
        <v>0.35</v>
      </c>
      <c r="M2163" t="s">
        <v>23</v>
      </c>
      <c r="N2163" t="s">
        <v>364</v>
      </c>
    </row>
    <row r="2164" spans="1:14">
      <c r="A2164" t="s">
        <v>151</v>
      </c>
      <c r="B2164">
        <v>1128299</v>
      </c>
      <c r="C2164" s="2">
        <v>44555</v>
      </c>
      <c r="D2164" t="s">
        <v>28</v>
      </c>
      <c r="E2164" t="s">
        <v>195</v>
      </c>
      <c r="F2164" t="s">
        <v>202</v>
      </c>
      <c r="G2164" t="s">
        <v>147</v>
      </c>
      <c r="H2164" s="3">
        <v>0.70000000000000007</v>
      </c>
      <c r="I2164">
        <v>4250</v>
      </c>
      <c r="J2164" s="4">
        <v>2975.0000000000005</v>
      </c>
      <c r="K2164" s="4">
        <v>892.50000000000011</v>
      </c>
      <c r="L2164" s="5">
        <v>0.3</v>
      </c>
      <c r="M2164" t="s">
        <v>23</v>
      </c>
      <c r="N2164" t="s">
        <v>364</v>
      </c>
    </row>
    <row r="2165" spans="1:14">
      <c r="A2165" t="s">
        <v>151</v>
      </c>
      <c r="B2165">
        <v>1128299</v>
      </c>
      <c r="C2165" s="2">
        <v>44555</v>
      </c>
      <c r="D2165" t="s">
        <v>28</v>
      </c>
      <c r="E2165" t="s">
        <v>195</v>
      </c>
      <c r="F2165" t="s">
        <v>202</v>
      </c>
      <c r="G2165" t="s">
        <v>144</v>
      </c>
      <c r="H2165" s="3">
        <v>0.75000000000000011</v>
      </c>
      <c r="I2165">
        <v>5250</v>
      </c>
      <c r="J2165" s="4">
        <v>3937.5000000000005</v>
      </c>
      <c r="K2165" s="4">
        <v>984.37500000000011</v>
      </c>
      <c r="L2165" s="5">
        <v>0.25</v>
      </c>
      <c r="M2165" t="s">
        <v>23</v>
      </c>
      <c r="N2165" t="s">
        <v>364</v>
      </c>
    </row>
    <row r="2166" spans="1:14">
      <c r="A2166" t="s">
        <v>151</v>
      </c>
      <c r="B2166">
        <v>1128299</v>
      </c>
      <c r="C2166" s="2">
        <v>44209</v>
      </c>
      <c r="D2166" t="s">
        <v>28</v>
      </c>
      <c r="E2166" t="s">
        <v>207</v>
      </c>
      <c r="F2166" t="s">
        <v>216</v>
      </c>
      <c r="G2166" t="s">
        <v>27</v>
      </c>
      <c r="H2166" s="3">
        <v>0.29999999999999993</v>
      </c>
      <c r="I2166">
        <v>4500</v>
      </c>
      <c r="J2166" s="4">
        <v>1349.9999999999998</v>
      </c>
      <c r="K2166" s="4">
        <v>539.99999999999989</v>
      </c>
      <c r="L2166" s="5">
        <v>0.4</v>
      </c>
      <c r="M2166" t="s">
        <v>125</v>
      </c>
      <c r="N2166" t="s">
        <v>361</v>
      </c>
    </row>
    <row r="2167" spans="1:14">
      <c r="A2167" t="s">
        <v>151</v>
      </c>
      <c r="B2167">
        <v>1128299</v>
      </c>
      <c r="C2167" s="2">
        <v>44209</v>
      </c>
      <c r="D2167" t="s">
        <v>28</v>
      </c>
      <c r="E2167" t="s">
        <v>207</v>
      </c>
      <c r="F2167" t="s">
        <v>216</v>
      </c>
      <c r="G2167" t="s">
        <v>145</v>
      </c>
      <c r="H2167" s="3">
        <v>0.4</v>
      </c>
      <c r="I2167">
        <v>4500</v>
      </c>
      <c r="J2167" s="4">
        <v>1800</v>
      </c>
      <c r="K2167" s="4">
        <v>720</v>
      </c>
      <c r="L2167" s="5">
        <v>0.4</v>
      </c>
      <c r="M2167" t="s">
        <v>125</v>
      </c>
      <c r="N2167" t="s">
        <v>361</v>
      </c>
    </row>
    <row r="2168" spans="1:14">
      <c r="A2168" t="s">
        <v>151</v>
      </c>
      <c r="B2168">
        <v>1128299</v>
      </c>
      <c r="C2168" s="2">
        <v>44209</v>
      </c>
      <c r="D2168" t="s">
        <v>28</v>
      </c>
      <c r="E2168" t="s">
        <v>207</v>
      </c>
      <c r="F2168" t="s">
        <v>216</v>
      </c>
      <c r="G2168" t="s">
        <v>146</v>
      </c>
      <c r="H2168" s="3">
        <v>0.4</v>
      </c>
      <c r="I2168">
        <v>4500</v>
      </c>
      <c r="J2168" s="4">
        <v>1800</v>
      </c>
      <c r="K2168" s="4">
        <v>630</v>
      </c>
      <c r="L2168" s="5">
        <v>0.35</v>
      </c>
      <c r="M2168" t="s">
        <v>125</v>
      </c>
      <c r="N2168" t="s">
        <v>361</v>
      </c>
    </row>
    <row r="2169" spans="1:14">
      <c r="A2169" t="s">
        <v>151</v>
      </c>
      <c r="B2169">
        <v>1128299</v>
      </c>
      <c r="C2169" s="2">
        <v>44209</v>
      </c>
      <c r="D2169" t="s">
        <v>28</v>
      </c>
      <c r="E2169" t="s">
        <v>207</v>
      </c>
      <c r="F2169" t="s">
        <v>216</v>
      </c>
      <c r="G2169" t="s">
        <v>148</v>
      </c>
      <c r="H2169" s="3">
        <v>0.4</v>
      </c>
      <c r="I2169">
        <v>3000</v>
      </c>
      <c r="J2169" s="4">
        <v>1200</v>
      </c>
      <c r="K2169" s="4">
        <v>480</v>
      </c>
      <c r="L2169" s="5">
        <v>0.4</v>
      </c>
      <c r="M2169" t="s">
        <v>125</v>
      </c>
      <c r="N2169" t="s">
        <v>361</v>
      </c>
    </row>
    <row r="2170" spans="1:14">
      <c r="A2170" t="s">
        <v>151</v>
      </c>
      <c r="B2170">
        <v>1128299</v>
      </c>
      <c r="C2170" s="2">
        <v>44209</v>
      </c>
      <c r="D2170" t="s">
        <v>28</v>
      </c>
      <c r="E2170" t="s">
        <v>207</v>
      </c>
      <c r="F2170" t="s">
        <v>216</v>
      </c>
      <c r="G2170" t="s">
        <v>147</v>
      </c>
      <c r="H2170" s="3">
        <v>0.45000000000000012</v>
      </c>
      <c r="I2170">
        <v>2500</v>
      </c>
      <c r="J2170" s="4">
        <v>1125.0000000000002</v>
      </c>
      <c r="K2170" s="4">
        <v>393.75000000000006</v>
      </c>
      <c r="L2170" s="5">
        <v>0.35</v>
      </c>
      <c r="M2170" t="s">
        <v>125</v>
      </c>
      <c r="N2170" t="s">
        <v>361</v>
      </c>
    </row>
    <row r="2171" spans="1:14">
      <c r="A2171" t="s">
        <v>151</v>
      </c>
      <c r="B2171">
        <v>1128299</v>
      </c>
      <c r="C2171" s="2">
        <v>44209</v>
      </c>
      <c r="D2171" t="s">
        <v>28</v>
      </c>
      <c r="E2171" t="s">
        <v>207</v>
      </c>
      <c r="F2171" t="s">
        <v>216</v>
      </c>
      <c r="G2171" t="s">
        <v>144</v>
      </c>
      <c r="H2171" s="3">
        <v>0.4</v>
      </c>
      <c r="I2171">
        <v>4500</v>
      </c>
      <c r="J2171" s="4">
        <v>1800</v>
      </c>
      <c r="K2171" s="4">
        <v>450</v>
      </c>
      <c r="L2171" s="5">
        <v>0.25</v>
      </c>
      <c r="M2171" t="s">
        <v>125</v>
      </c>
      <c r="N2171" t="s">
        <v>361</v>
      </c>
    </row>
    <row r="2172" spans="1:14">
      <c r="A2172" t="s">
        <v>151</v>
      </c>
      <c r="B2172">
        <v>1128299</v>
      </c>
      <c r="C2172" s="2">
        <v>44240</v>
      </c>
      <c r="D2172" t="s">
        <v>28</v>
      </c>
      <c r="E2172" t="s">
        <v>207</v>
      </c>
      <c r="F2172" t="s">
        <v>216</v>
      </c>
      <c r="G2172" t="s">
        <v>27</v>
      </c>
      <c r="H2172" s="3">
        <v>0.29999999999999993</v>
      </c>
      <c r="I2172">
        <v>5000</v>
      </c>
      <c r="J2172" s="4">
        <v>1499.9999999999998</v>
      </c>
      <c r="K2172" s="4">
        <v>599.99999999999989</v>
      </c>
      <c r="L2172" s="5">
        <v>0.4</v>
      </c>
      <c r="M2172" t="s">
        <v>126</v>
      </c>
      <c r="N2172" t="s">
        <v>361</v>
      </c>
    </row>
    <row r="2173" spans="1:14">
      <c r="A2173" t="s">
        <v>151</v>
      </c>
      <c r="B2173">
        <v>1128299</v>
      </c>
      <c r="C2173" s="2">
        <v>44240</v>
      </c>
      <c r="D2173" t="s">
        <v>28</v>
      </c>
      <c r="E2173" t="s">
        <v>207</v>
      </c>
      <c r="F2173" t="s">
        <v>216</v>
      </c>
      <c r="G2173" t="s">
        <v>145</v>
      </c>
      <c r="H2173" s="3">
        <v>0.4</v>
      </c>
      <c r="I2173">
        <v>4000</v>
      </c>
      <c r="J2173" s="4">
        <v>1600</v>
      </c>
      <c r="K2173" s="4">
        <v>640</v>
      </c>
      <c r="L2173" s="5">
        <v>0.4</v>
      </c>
      <c r="M2173" t="s">
        <v>126</v>
      </c>
      <c r="N2173" t="s">
        <v>361</v>
      </c>
    </row>
    <row r="2174" spans="1:14">
      <c r="A2174" t="s">
        <v>151</v>
      </c>
      <c r="B2174">
        <v>1128299</v>
      </c>
      <c r="C2174" s="2">
        <v>44240</v>
      </c>
      <c r="D2174" t="s">
        <v>28</v>
      </c>
      <c r="E2174" t="s">
        <v>207</v>
      </c>
      <c r="F2174" t="s">
        <v>216</v>
      </c>
      <c r="G2174" t="s">
        <v>146</v>
      </c>
      <c r="H2174" s="3">
        <v>0.4</v>
      </c>
      <c r="I2174">
        <v>4000</v>
      </c>
      <c r="J2174" s="4">
        <v>1600</v>
      </c>
      <c r="K2174" s="4">
        <v>560</v>
      </c>
      <c r="L2174" s="5">
        <v>0.35</v>
      </c>
      <c r="M2174" t="s">
        <v>126</v>
      </c>
      <c r="N2174" t="s">
        <v>361</v>
      </c>
    </row>
    <row r="2175" spans="1:14">
      <c r="A2175" t="s">
        <v>151</v>
      </c>
      <c r="B2175">
        <v>1128299</v>
      </c>
      <c r="C2175" s="2">
        <v>44240</v>
      </c>
      <c r="D2175" t="s">
        <v>28</v>
      </c>
      <c r="E2175" t="s">
        <v>207</v>
      </c>
      <c r="F2175" t="s">
        <v>216</v>
      </c>
      <c r="G2175" t="s">
        <v>148</v>
      </c>
      <c r="H2175" s="3">
        <v>0.4</v>
      </c>
      <c r="I2175">
        <v>2500</v>
      </c>
      <c r="J2175" s="4">
        <v>1000</v>
      </c>
      <c r="K2175" s="4">
        <v>400</v>
      </c>
      <c r="L2175" s="5">
        <v>0.4</v>
      </c>
      <c r="M2175" t="s">
        <v>126</v>
      </c>
      <c r="N2175" t="s">
        <v>361</v>
      </c>
    </row>
    <row r="2176" spans="1:14">
      <c r="A2176" t="s">
        <v>151</v>
      </c>
      <c r="B2176">
        <v>1128299</v>
      </c>
      <c r="C2176" s="2">
        <v>44240</v>
      </c>
      <c r="D2176" t="s">
        <v>28</v>
      </c>
      <c r="E2176" t="s">
        <v>207</v>
      </c>
      <c r="F2176" t="s">
        <v>216</v>
      </c>
      <c r="G2176" t="s">
        <v>147</v>
      </c>
      <c r="H2176" s="3">
        <v>0.45000000000000012</v>
      </c>
      <c r="I2176">
        <v>1750</v>
      </c>
      <c r="J2176" s="4">
        <v>787.50000000000023</v>
      </c>
      <c r="K2176" s="4">
        <v>275.62500000000006</v>
      </c>
      <c r="L2176" s="5">
        <v>0.35</v>
      </c>
      <c r="M2176" t="s">
        <v>126</v>
      </c>
      <c r="N2176" t="s">
        <v>361</v>
      </c>
    </row>
    <row r="2177" spans="1:14">
      <c r="A2177" t="s">
        <v>151</v>
      </c>
      <c r="B2177">
        <v>1128299</v>
      </c>
      <c r="C2177" s="2">
        <v>44240</v>
      </c>
      <c r="D2177" t="s">
        <v>28</v>
      </c>
      <c r="E2177" t="s">
        <v>207</v>
      </c>
      <c r="F2177" t="s">
        <v>216</v>
      </c>
      <c r="G2177" t="s">
        <v>144</v>
      </c>
      <c r="H2177" s="3">
        <v>0.4</v>
      </c>
      <c r="I2177">
        <v>3750</v>
      </c>
      <c r="J2177" s="4">
        <v>1500</v>
      </c>
      <c r="K2177" s="4">
        <v>375</v>
      </c>
      <c r="L2177" s="5">
        <v>0.25</v>
      </c>
      <c r="M2177" t="s">
        <v>126</v>
      </c>
      <c r="N2177" t="s">
        <v>361</v>
      </c>
    </row>
    <row r="2178" spans="1:14">
      <c r="A2178" t="s">
        <v>151</v>
      </c>
      <c r="B2178">
        <v>1128299</v>
      </c>
      <c r="C2178" s="2">
        <v>44267</v>
      </c>
      <c r="D2178" t="s">
        <v>28</v>
      </c>
      <c r="E2178" t="s">
        <v>207</v>
      </c>
      <c r="F2178" t="s">
        <v>216</v>
      </c>
      <c r="G2178" t="s">
        <v>27</v>
      </c>
      <c r="H2178" s="3">
        <v>0.4</v>
      </c>
      <c r="I2178">
        <v>5250</v>
      </c>
      <c r="J2178" s="4">
        <v>2100</v>
      </c>
      <c r="K2178" s="4">
        <v>840</v>
      </c>
      <c r="L2178" s="5">
        <v>0.4</v>
      </c>
      <c r="M2178" t="s">
        <v>24</v>
      </c>
      <c r="N2178" t="s">
        <v>361</v>
      </c>
    </row>
    <row r="2179" spans="1:14">
      <c r="A2179" t="s">
        <v>151</v>
      </c>
      <c r="B2179">
        <v>1128299</v>
      </c>
      <c r="C2179" s="2">
        <v>44267</v>
      </c>
      <c r="D2179" t="s">
        <v>28</v>
      </c>
      <c r="E2179" t="s">
        <v>207</v>
      </c>
      <c r="F2179" t="s">
        <v>216</v>
      </c>
      <c r="G2179" t="s">
        <v>145</v>
      </c>
      <c r="H2179" s="3">
        <v>0.5</v>
      </c>
      <c r="I2179">
        <v>3750</v>
      </c>
      <c r="J2179" s="4">
        <v>1875</v>
      </c>
      <c r="K2179" s="4">
        <v>750</v>
      </c>
      <c r="L2179" s="5">
        <v>0.4</v>
      </c>
      <c r="M2179" t="s">
        <v>24</v>
      </c>
      <c r="N2179" t="s">
        <v>361</v>
      </c>
    </row>
    <row r="2180" spans="1:14">
      <c r="A2180" t="s">
        <v>151</v>
      </c>
      <c r="B2180">
        <v>1128299</v>
      </c>
      <c r="C2180" s="2">
        <v>44267</v>
      </c>
      <c r="D2180" t="s">
        <v>28</v>
      </c>
      <c r="E2180" t="s">
        <v>207</v>
      </c>
      <c r="F2180" t="s">
        <v>216</v>
      </c>
      <c r="G2180" t="s">
        <v>146</v>
      </c>
      <c r="H2180" s="3">
        <v>0.5</v>
      </c>
      <c r="I2180">
        <v>3750</v>
      </c>
      <c r="J2180" s="4">
        <v>1875</v>
      </c>
      <c r="K2180" s="4">
        <v>656.25</v>
      </c>
      <c r="L2180" s="5">
        <v>0.35</v>
      </c>
      <c r="M2180" t="s">
        <v>24</v>
      </c>
      <c r="N2180" t="s">
        <v>361</v>
      </c>
    </row>
    <row r="2181" spans="1:14">
      <c r="A2181" t="s">
        <v>151</v>
      </c>
      <c r="B2181">
        <v>1128299</v>
      </c>
      <c r="C2181" s="2">
        <v>44267</v>
      </c>
      <c r="D2181" t="s">
        <v>28</v>
      </c>
      <c r="E2181" t="s">
        <v>207</v>
      </c>
      <c r="F2181" t="s">
        <v>216</v>
      </c>
      <c r="G2181" t="s">
        <v>148</v>
      </c>
      <c r="H2181" s="3">
        <v>0.5</v>
      </c>
      <c r="I2181">
        <v>2500</v>
      </c>
      <c r="J2181" s="4">
        <v>1250</v>
      </c>
      <c r="K2181" s="4">
        <v>500</v>
      </c>
      <c r="L2181" s="5">
        <v>0.4</v>
      </c>
      <c r="M2181" t="s">
        <v>24</v>
      </c>
      <c r="N2181" t="s">
        <v>361</v>
      </c>
    </row>
    <row r="2182" spans="1:14">
      <c r="A2182" t="s">
        <v>151</v>
      </c>
      <c r="B2182">
        <v>1128299</v>
      </c>
      <c r="C2182" s="2">
        <v>44267</v>
      </c>
      <c r="D2182" t="s">
        <v>28</v>
      </c>
      <c r="E2182" t="s">
        <v>207</v>
      </c>
      <c r="F2182" t="s">
        <v>216</v>
      </c>
      <c r="G2182" t="s">
        <v>147</v>
      </c>
      <c r="H2182" s="3">
        <v>0.55000000000000004</v>
      </c>
      <c r="I2182">
        <v>1500</v>
      </c>
      <c r="J2182" s="4">
        <v>825.00000000000011</v>
      </c>
      <c r="K2182" s="4">
        <v>288.75</v>
      </c>
      <c r="L2182" s="5">
        <v>0.35</v>
      </c>
      <c r="M2182" t="s">
        <v>24</v>
      </c>
      <c r="N2182" t="s">
        <v>361</v>
      </c>
    </row>
    <row r="2183" spans="1:14">
      <c r="A2183" t="s">
        <v>151</v>
      </c>
      <c r="B2183">
        <v>1128299</v>
      </c>
      <c r="C2183" s="2">
        <v>44267</v>
      </c>
      <c r="D2183" t="s">
        <v>28</v>
      </c>
      <c r="E2183" t="s">
        <v>207</v>
      </c>
      <c r="F2183" t="s">
        <v>216</v>
      </c>
      <c r="G2183" t="s">
        <v>144</v>
      </c>
      <c r="H2183" s="3">
        <v>0.5</v>
      </c>
      <c r="I2183">
        <v>3500</v>
      </c>
      <c r="J2183" s="4">
        <v>1750</v>
      </c>
      <c r="K2183" s="4">
        <v>437.5</v>
      </c>
      <c r="L2183" s="5">
        <v>0.25</v>
      </c>
      <c r="M2183" t="s">
        <v>24</v>
      </c>
      <c r="N2183" t="s">
        <v>361</v>
      </c>
    </row>
    <row r="2184" spans="1:14">
      <c r="A2184" t="s">
        <v>151</v>
      </c>
      <c r="B2184">
        <v>1128299</v>
      </c>
      <c r="C2184" s="2">
        <v>44299</v>
      </c>
      <c r="D2184" t="s">
        <v>28</v>
      </c>
      <c r="E2184" t="s">
        <v>207</v>
      </c>
      <c r="F2184" t="s">
        <v>216</v>
      </c>
      <c r="G2184" t="s">
        <v>27</v>
      </c>
      <c r="H2184" s="3">
        <v>0.5</v>
      </c>
      <c r="I2184">
        <v>5250</v>
      </c>
      <c r="J2184" s="4">
        <v>2625</v>
      </c>
      <c r="K2184" s="4">
        <v>1050</v>
      </c>
      <c r="L2184" s="5">
        <v>0.4</v>
      </c>
      <c r="M2184" t="s">
        <v>127</v>
      </c>
      <c r="N2184" t="s">
        <v>362</v>
      </c>
    </row>
    <row r="2185" spans="1:14">
      <c r="A2185" t="s">
        <v>151</v>
      </c>
      <c r="B2185">
        <v>1128299</v>
      </c>
      <c r="C2185" s="2">
        <v>44299</v>
      </c>
      <c r="D2185" t="s">
        <v>28</v>
      </c>
      <c r="E2185" t="s">
        <v>207</v>
      </c>
      <c r="F2185" t="s">
        <v>216</v>
      </c>
      <c r="G2185" t="s">
        <v>145</v>
      </c>
      <c r="H2185" s="3">
        <v>0.55000000000000004</v>
      </c>
      <c r="I2185">
        <v>3250</v>
      </c>
      <c r="J2185" s="4">
        <v>1787.5000000000002</v>
      </c>
      <c r="K2185" s="4">
        <v>715.00000000000011</v>
      </c>
      <c r="L2185" s="5">
        <v>0.4</v>
      </c>
      <c r="M2185" t="s">
        <v>127</v>
      </c>
      <c r="N2185" t="s">
        <v>362</v>
      </c>
    </row>
    <row r="2186" spans="1:14">
      <c r="A2186" t="s">
        <v>151</v>
      </c>
      <c r="B2186">
        <v>1128299</v>
      </c>
      <c r="C2186" s="2">
        <v>44299</v>
      </c>
      <c r="D2186" t="s">
        <v>28</v>
      </c>
      <c r="E2186" t="s">
        <v>207</v>
      </c>
      <c r="F2186" t="s">
        <v>216</v>
      </c>
      <c r="G2186" t="s">
        <v>146</v>
      </c>
      <c r="H2186" s="3">
        <v>0.55000000000000004</v>
      </c>
      <c r="I2186">
        <v>3750</v>
      </c>
      <c r="J2186" s="4">
        <v>2062.5</v>
      </c>
      <c r="K2186" s="4">
        <v>721.875</v>
      </c>
      <c r="L2186" s="5">
        <v>0.35</v>
      </c>
      <c r="M2186" t="s">
        <v>127</v>
      </c>
      <c r="N2186" t="s">
        <v>362</v>
      </c>
    </row>
    <row r="2187" spans="1:14">
      <c r="A2187" t="s">
        <v>151</v>
      </c>
      <c r="B2187">
        <v>1128299</v>
      </c>
      <c r="C2187" s="2">
        <v>44299</v>
      </c>
      <c r="D2187" t="s">
        <v>28</v>
      </c>
      <c r="E2187" t="s">
        <v>207</v>
      </c>
      <c r="F2187" t="s">
        <v>216</v>
      </c>
      <c r="G2187" t="s">
        <v>148</v>
      </c>
      <c r="H2187" s="3">
        <v>0.5</v>
      </c>
      <c r="I2187">
        <v>2750</v>
      </c>
      <c r="J2187" s="4">
        <v>1375</v>
      </c>
      <c r="K2187" s="4">
        <v>550</v>
      </c>
      <c r="L2187" s="5">
        <v>0.4</v>
      </c>
      <c r="M2187" t="s">
        <v>127</v>
      </c>
      <c r="N2187" t="s">
        <v>362</v>
      </c>
    </row>
    <row r="2188" spans="1:14">
      <c r="A2188" t="s">
        <v>151</v>
      </c>
      <c r="B2188">
        <v>1128299</v>
      </c>
      <c r="C2188" s="2">
        <v>44299</v>
      </c>
      <c r="D2188" t="s">
        <v>28</v>
      </c>
      <c r="E2188" t="s">
        <v>207</v>
      </c>
      <c r="F2188" t="s">
        <v>216</v>
      </c>
      <c r="G2188" t="s">
        <v>147</v>
      </c>
      <c r="H2188" s="3">
        <v>0.55000000000000004</v>
      </c>
      <c r="I2188">
        <v>1750</v>
      </c>
      <c r="J2188" s="4">
        <v>962.50000000000011</v>
      </c>
      <c r="K2188" s="4">
        <v>336.875</v>
      </c>
      <c r="L2188" s="5">
        <v>0.35</v>
      </c>
      <c r="M2188" t="s">
        <v>127</v>
      </c>
      <c r="N2188" t="s">
        <v>362</v>
      </c>
    </row>
    <row r="2189" spans="1:14">
      <c r="A2189" t="s">
        <v>151</v>
      </c>
      <c r="B2189">
        <v>1128299</v>
      </c>
      <c r="C2189" s="2">
        <v>44299</v>
      </c>
      <c r="D2189" t="s">
        <v>28</v>
      </c>
      <c r="E2189" t="s">
        <v>207</v>
      </c>
      <c r="F2189" t="s">
        <v>216</v>
      </c>
      <c r="G2189" t="s">
        <v>144</v>
      </c>
      <c r="H2189" s="3">
        <v>0.70000000000000007</v>
      </c>
      <c r="I2189">
        <v>3500</v>
      </c>
      <c r="J2189" s="4">
        <v>2450.0000000000005</v>
      </c>
      <c r="K2189" s="4">
        <v>612.50000000000011</v>
      </c>
      <c r="L2189" s="5">
        <v>0.25</v>
      </c>
      <c r="M2189" t="s">
        <v>127</v>
      </c>
      <c r="N2189" t="s">
        <v>362</v>
      </c>
    </row>
    <row r="2190" spans="1:14">
      <c r="A2190" t="s">
        <v>151</v>
      </c>
      <c r="B2190">
        <v>1128299</v>
      </c>
      <c r="C2190" s="2">
        <v>44330</v>
      </c>
      <c r="D2190" t="s">
        <v>28</v>
      </c>
      <c r="E2190" t="s">
        <v>207</v>
      </c>
      <c r="F2190" t="s">
        <v>216</v>
      </c>
      <c r="G2190" t="s">
        <v>27</v>
      </c>
      <c r="H2190" s="3">
        <v>0.5</v>
      </c>
      <c r="I2190">
        <v>5500</v>
      </c>
      <c r="J2190" s="4">
        <v>2750</v>
      </c>
      <c r="K2190" s="4">
        <v>1100</v>
      </c>
      <c r="L2190" s="5">
        <v>0.4</v>
      </c>
      <c r="M2190" t="s">
        <v>128</v>
      </c>
      <c r="N2190" t="s">
        <v>362</v>
      </c>
    </row>
    <row r="2191" spans="1:14">
      <c r="A2191" t="s">
        <v>151</v>
      </c>
      <c r="B2191">
        <v>1128299</v>
      </c>
      <c r="C2191" s="2">
        <v>44330</v>
      </c>
      <c r="D2191" t="s">
        <v>28</v>
      </c>
      <c r="E2191" t="s">
        <v>207</v>
      </c>
      <c r="F2191" t="s">
        <v>216</v>
      </c>
      <c r="G2191" t="s">
        <v>145</v>
      </c>
      <c r="H2191" s="3">
        <v>0.55000000000000004</v>
      </c>
      <c r="I2191">
        <v>4000</v>
      </c>
      <c r="J2191" s="4">
        <v>2200</v>
      </c>
      <c r="K2191" s="4">
        <v>880</v>
      </c>
      <c r="L2191" s="5">
        <v>0.4</v>
      </c>
      <c r="M2191" t="s">
        <v>128</v>
      </c>
      <c r="N2191" t="s">
        <v>362</v>
      </c>
    </row>
    <row r="2192" spans="1:14">
      <c r="A2192" t="s">
        <v>151</v>
      </c>
      <c r="B2192">
        <v>1128299</v>
      </c>
      <c r="C2192" s="2">
        <v>44330</v>
      </c>
      <c r="D2192" t="s">
        <v>28</v>
      </c>
      <c r="E2192" t="s">
        <v>207</v>
      </c>
      <c r="F2192" t="s">
        <v>216</v>
      </c>
      <c r="G2192" t="s">
        <v>146</v>
      </c>
      <c r="H2192" s="3">
        <v>0.55000000000000004</v>
      </c>
      <c r="I2192">
        <v>4250</v>
      </c>
      <c r="J2192" s="4">
        <v>2337.5</v>
      </c>
      <c r="K2192" s="4">
        <v>818.125</v>
      </c>
      <c r="L2192" s="5">
        <v>0.35</v>
      </c>
      <c r="M2192" t="s">
        <v>128</v>
      </c>
      <c r="N2192" t="s">
        <v>362</v>
      </c>
    </row>
    <row r="2193" spans="1:14">
      <c r="A2193" t="s">
        <v>151</v>
      </c>
      <c r="B2193">
        <v>1128299</v>
      </c>
      <c r="C2193" s="2">
        <v>44330</v>
      </c>
      <c r="D2193" t="s">
        <v>28</v>
      </c>
      <c r="E2193" t="s">
        <v>207</v>
      </c>
      <c r="F2193" t="s">
        <v>216</v>
      </c>
      <c r="G2193" t="s">
        <v>148</v>
      </c>
      <c r="H2193" s="3">
        <v>0.5</v>
      </c>
      <c r="I2193">
        <v>3250</v>
      </c>
      <c r="J2193" s="4">
        <v>1625</v>
      </c>
      <c r="K2193" s="4">
        <v>650</v>
      </c>
      <c r="L2193" s="5">
        <v>0.4</v>
      </c>
      <c r="M2193" t="s">
        <v>128</v>
      </c>
      <c r="N2193" t="s">
        <v>362</v>
      </c>
    </row>
    <row r="2194" spans="1:14">
      <c r="A2194" t="s">
        <v>151</v>
      </c>
      <c r="B2194">
        <v>1128299</v>
      </c>
      <c r="C2194" s="2">
        <v>44330</v>
      </c>
      <c r="D2194" t="s">
        <v>28</v>
      </c>
      <c r="E2194" t="s">
        <v>207</v>
      </c>
      <c r="F2194" t="s">
        <v>216</v>
      </c>
      <c r="G2194" t="s">
        <v>147</v>
      </c>
      <c r="H2194" s="3">
        <v>0.55000000000000004</v>
      </c>
      <c r="I2194">
        <v>2250</v>
      </c>
      <c r="J2194" s="4">
        <v>1237.5</v>
      </c>
      <c r="K2194" s="4">
        <v>433.125</v>
      </c>
      <c r="L2194" s="5">
        <v>0.35</v>
      </c>
      <c r="M2194" t="s">
        <v>128</v>
      </c>
      <c r="N2194" t="s">
        <v>362</v>
      </c>
    </row>
    <row r="2195" spans="1:14">
      <c r="A2195" t="s">
        <v>151</v>
      </c>
      <c r="B2195">
        <v>1128299</v>
      </c>
      <c r="C2195" s="2">
        <v>44330</v>
      </c>
      <c r="D2195" t="s">
        <v>28</v>
      </c>
      <c r="E2195" t="s">
        <v>207</v>
      </c>
      <c r="F2195" t="s">
        <v>216</v>
      </c>
      <c r="G2195" t="s">
        <v>144</v>
      </c>
      <c r="H2195" s="3">
        <v>0.70000000000000007</v>
      </c>
      <c r="I2195">
        <v>4000</v>
      </c>
      <c r="J2195" s="4">
        <v>2800.0000000000005</v>
      </c>
      <c r="K2195" s="4">
        <v>700.00000000000011</v>
      </c>
      <c r="L2195" s="5">
        <v>0.25</v>
      </c>
      <c r="M2195" t="s">
        <v>128</v>
      </c>
      <c r="N2195" t="s">
        <v>362</v>
      </c>
    </row>
    <row r="2196" spans="1:14">
      <c r="A2196" t="s">
        <v>151</v>
      </c>
      <c r="B2196">
        <v>1128299</v>
      </c>
      <c r="C2196" s="2">
        <v>44360</v>
      </c>
      <c r="D2196" t="s">
        <v>28</v>
      </c>
      <c r="E2196" t="s">
        <v>207</v>
      </c>
      <c r="F2196" t="s">
        <v>216</v>
      </c>
      <c r="G2196" t="s">
        <v>27</v>
      </c>
      <c r="H2196" s="3">
        <v>0.5</v>
      </c>
      <c r="I2196">
        <v>6750</v>
      </c>
      <c r="J2196" s="4">
        <v>3375</v>
      </c>
      <c r="K2196" s="4">
        <v>1350</v>
      </c>
      <c r="L2196" s="5">
        <v>0.4</v>
      </c>
      <c r="M2196" t="s">
        <v>129</v>
      </c>
      <c r="N2196" t="s">
        <v>362</v>
      </c>
    </row>
    <row r="2197" spans="1:14">
      <c r="A2197" t="s">
        <v>151</v>
      </c>
      <c r="B2197">
        <v>1128299</v>
      </c>
      <c r="C2197" s="2">
        <v>44360</v>
      </c>
      <c r="D2197" t="s">
        <v>28</v>
      </c>
      <c r="E2197" t="s">
        <v>207</v>
      </c>
      <c r="F2197" t="s">
        <v>216</v>
      </c>
      <c r="G2197" t="s">
        <v>145</v>
      </c>
      <c r="H2197" s="3">
        <v>0.55000000000000004</v>
      </c>
      <c r="I2197">
        <v>5250</v>
      </c>
      <c r="J2197" s="4">
        <v>2887.5000000000005</v>
      </c>
      <c r="K2197" s="4">
        <v>1155.0000000000002</v>
      </c>
      <c r="L2197" s="5">
        <v>0.4</v>
      </c>
      <c r="M2197" t="s">
        <v>129</v>
      </c>
      <c r="N2197" t="s">
        <v>362</v>
      </c>
    </row>
    <row r="2198" spans="1:14">
      <c r="A2198" t="s">
        <v>151</v>
      </c>
      <c r="B2198">
        <v>1128299</v>
      </c>
      <c r="C2198" s="2">
        <v>44360</v>
      </c>
      <c r="D2198" t="s">
        <v>28</v>
      </c>
      <c r="E2198" t="s">
        <v>207</v>
      </c>
      <c r="F2198" t="s">
        <v>216</v>
      </c>
      <c r="G2198" t="s">
        <v>146</v>
      </c>
      <c r="H2198" s="3">
        <v>0.55000000000000004</v>
      </c>
      <c r="I2198">
        <v>5250</v>
      </c>
      <c r="J2198" s="4">
        <v>2887.5000000000005</v>
      </c>
      <c r="K2198" s="4">
        <v>1010.6250000000001</v>
      </c>
      <c r="L2198" s="5">
        <v>0.35</v>
      </c>
      <c r="M2198" t="s">
        <v>129</v>
      </c>
      <c r="N2198" t="s">
        <v>362</v>
      </c>
    </row>
    <row r="2199" spans="1:14">
      <c r="A2199" t="s">
        <v>151</v>
      </c>
      <c r="B2199">
        <v>1128299</v>
      </c>
      <c r="C2199" s="2">
        <v>44360</v>
      </c>
      <c r="D2199" t="s">
        <v>28</v>
      </c>
      <c r="E2199" t="s">
        <v>207</v>
      </c>
      <c r="F2199" t="s">
        <v>216</v>
      </c>
      <c r="G2199" t="s">
        <v>148</v>
      </c>
      <c r="H2199" s="3">
        <v>0.5</v>
      </c>
      <c r="I2199">
        <v>4000</v>
      </c>
      <c r="J2199" s="4">
        <v>2000</v>
      </c>
      <c r="K2199" s="4">
        <v>800</v>
      </c>
      <c r="L2199" s="5">
        <v>0.4</v>
      </c>
      <c r="M2199" t="s">
        <v>129</v>
      </c>
      <c r="N2199" t="s">
        <v>362</v>
      </c>
    </row>
    <row r="2200" spans="1:14">
      <c r="A2200" t="s">
        <v>151</v>
      </c>
      <c r="B2200">
        <v>1128299</v>
      </c>
      <c r="C2200" s="2">
        <v>44360</v>
      </c>
      <c r="D2200" t="s">
        <v>28</v>
      </c>
      <c r="E2200" t="s">
        <v>207</v>
      </c>
      <c r="F2200" t="s">
        <v>216</v>
      </c>
      <c r="G2200" t="s">
        <v>147</v>
      </c>
      <c r="H2200" s="3">
        <v>0.55000000000000004</v>
      </c>
      <c r="I2200">
        <v>2750</v>
      </c>
      <c r="J2200" s="4">
        <v>1512.5000000000002</v>
      </c>
      <c r="K2200" s="4">
        <v>529.375</v>
      </c>
      <c r="L2200" s="5">
        <v>0.35</v>
      </c>
      <c r="M2200" t="s">
        <v>129</v>
      </c>
      <c r="N2200" t="s">
        <v>362</v>
      </c>
    </row>
    <row r="2201" spans="1:14">
      <c r="A2201" t="s">
        <v>151</v>
      </c>
      <c r="B2201">
        <v>1128299</v>
      </c>
      <c r="C2201" s="2">
        <v>44360</v>
      </c>
      <c r="D2201" t="s">
        <v>28</v>
      </c>
      <c r="E2201" t="s">
        <v>207</v>
      </c>
      <c r="F2201" t="s">
        <v>216</v>
      </c>
      <c r="G2201" t="s">
        <v>144</v>
      </c>
      <c r="H2201" s="3">
        <v>0.70000000000000007</v>
      </c>
      <c r="I2201">
        <v>5750</v>
      </c>
      <c r="J2201" s="4">
        <v>4025.0000000000005</v>
      </c>
      <c r="K2201" s="4">
        <v>1006.2500000000001</v>
      </c>
      <c r="L2201" s="5">
        <v>0.25</v>
      </c>
      <c r="M2201" t="s">
        <v>129</v>
      </c>
      <c r="N2201" t="s">
        <v>362</v>
      </c>
    </row>
    <row r="2202" spans="1:14">
      <c r="A2202" t="s">
        <v>151</v>
      </c>
      <c r="B2202">
        <v>1128299</v>
      </c>
      <c r="C2202" s="2">
        <v>44389</v>
      </c>
      <c r="D2202" t="s">
        <v>28</v>
      </c>
      <c r="E2202" t="s">
        <v>207</v>
      </c>
      <c r="F2202" t="s">
        <v>216</v>
      </c>
      <c r="G2202" t="s">
        <v>27</v>
      </c>
      <c r="H2202" s="3">
        <v>0.5</v>
      </c>
      <c r="I2202">
        <v>7250</v>
      </c>
      <c r="J2202" s="4">
        <v>3625</v>
      </c>
      <c r="K2202" s="4">
        <v>1450</v>
      </c>
      <c r="L2202" s="5">
        <v>0.4</v>
      </c>
      <c r="M2202" t="s">
        <v>130</v>
      </c>
      <c r="N2202" t="s">
        <v>363</v>
      </c>
    </row>
    <row r="2203" spans="1:14">
      <c r="A2203" t="s">
        <v>151</v>
      </c>
      <c r="B2203">
        <v>1128299</v>
      </c>
      <c r="C2203" s="2">
        <v>44389</v>
      </c>
      <c r="D2203" t="s">
        <v>28</v>
      </c>
      <c r="E2203" t="s">
        <v>207</v>
      </c>
      <c r="F2203" t="s">
        <v>216</v>
      </c>
      <c r="G2203" t="s">
        <v>145</v>
      </c>
      <c r="H2203" s="3">
        <v>0.55000000000000004</v>
      </c>
      <c r="I2203">
        <v>5750</v>
      </c>
      <c r="J2203" s="4">
        <v>3162.5000000000005</v>
      </c>
      <c r="K2203" s="4">
        <v>1265.0000000000002</v>
      </c>
      <c r="L2203" s="5">
        <v>0.4</v>
      </c>
      <c r="M2203" t="s">
        <v>130</v>
      </c>
      <c r="N2203" t="s">
        <v>363</v>
      </c>
    </row>
    <row r="2204" spans="1:14">
      <c r="A2204" t="s">
        <v>151</v>
      </c>
      <c r="B2204">
        <v>1128299</v>
      </c>
      <c r="C2204" s="2">
        <v>44389</v>
      </c>
      <c r="D2204" t="s">
        <v>28</v>
      </c>
      <c r="E2204" t="s">
        <v>207</v>
      </c>
      <c r="F2204" t="s">
        <v>216</v>
      </c>
      <c r="G2204" t="s">
        <v>146</v>
      </c>
      <c r="H2204" s="3">
        <v>0.55000000000000004</v>
      </c>
      <c r="I2204">
        <v>5250</v>
      </c>
      <c r="J2204" s="4">
        <v>2887.5000000000005</v>
      </c>
      <c r="K2204" s="4">
        <v>1010.6250000000001</v>
      </c>
      <c r="L2204" s="5">
        <v>0.35</v>
      </c>
      <c r="M2204" t="s">
        <v>130</v>
      </c>
      <c r="N2204" t="s">
        <v>363</v>
      </c>
    </row>
    <row r="2205" spans="1:14">
      <c r="A2205" t="s">
        <v>151</v>
      </c>
      <c r="B2205">
        <v>1128299</v>
      </c>
      <c r="C2205" s="2">
        <v>44389</v>
      </c>
      <c r="D2205" t="s">
        <v>28</v>
      </c>
      <c r="E2205" t="s">
        <v>207</v>
      </c>
      <c r="F2205" t="s">
        <v>216</v>
      </c>
      <c r="G2205" t="s">
        <v>148</v>
      </c>
      <c r="H2205" s="3">
        <v>0.5</v>
      </c>
      <c r="I2205">
        <v>4250</v>
      </c>
      <c r="J2205" s="4">
        <v>2125</v>
      </c>
      <c r="K2205" s="4">
        <v>850</v>
      </c>
      <c r="L2205" s="5">
        <v>0.4</v>
      </c>
      <c r="M2205" t="s">
        <v>130</v>
      </c>
      <c r="N2205" t="s">
        <v>363</v>
      </c>
    </row>
    <row r="2206" spans="1:14">
      <c r="A2206" t="s">
        <v>151</v>
      </c>
      <c r="B2206">
        <v>1128299</v>
      </c>
      <c r="C2206" s="2">
        <v>44389</v>
      </c>
      <c r="D2206" t="s">
        <v>28</v>
      </c>
      <c r="E2206" t="s">
        <v>207</v>
      </c>
      <c r="F2206" t="s">
        <v>216</v>
      </c>
      <c r="G2206" t="s">
        <v>147</v>
      </c>
      <c r="H2206" s="3">
        <v>0.55000000000000004</v>
      </c>
      <c r="I2206">
        <v>4750</v>
      </c>
      <c r="J2206" s="4">
        <v>2612.5</v>
      </c>
      <c r="K2206" s="4">
        <v>914.37499999999989</v>
      </c>
      <c r="L2206" s="5">
        <v>0.35</v>
      </c>
      <c r="M2206" t="s">
        <v>130</v>
      </c>
      <c r="N2206" t="s">
        <v>363</v>
      </c>
    </row>
    <row r="2207" spans="1:14">
      <c r="A2207" t="s">
        <v>151</v>
      </c>
      <c r="B2207">
        <v>1128299</v>
      </c>
      <c r="C2207" s="2">
        <v>44389</v>
      </c>
      <c r="D2207" t="s">
        <v>28</v>
      </c>
      <c r="E2207" t="s">
        <v>207</v>
      </c>
      <c r="F2207" t="s">
        <v>216</v>
      </c>
      <c r="G2207" t="s">
        <v>144</v>
      </c>
      <c r="H2207" s="3">
        <v>0.70000000000000007</v>
      </c>
      <c r="I2207">
        <v>4750</v>
      </c>
      <c r="J2207" s="4">
        <v>3325.0000000000005</v>
      </c>
      <c r="K2207" s="4">
        <v>831.25000000000011</v>
      </c>
      <c r="L2207" s="5">
        <v>0.25</v>
      </c>
      <c r="M2207" t="s">
        <v>130</v>
      </c>
      <c r="N2207" t="s">
        <v>363</v>
      </c>
    </row>
    <row r="2208" spans="1:14">
      <c r="A2208" t="s">
        <v>151</v>
      </c>
      <c r="B2208">
        <v>1128299</v>
      </c>
      <c r="C2208" s="2">
        <v>44421</v>
      </c>
      <c r="D2208" t="s">
        <v>28</v>
      </c>
      <c r="E2208" t="s">
        <v>207</v>
      </c>
      <c r="F2208" t="s">
        <v>216</v>
      </c>
      <c r="G2208" t="s">
        <v>27</v>
      </c>
      <c r="H2208" s="3">
        <v>0.55000000000000004</v>
      </c>
      <c r="I2208">
        <v>6750</v>
      </c>
      <c r="J2208" s="4">
        <v>3712.5000000000005</v>
      </c>
      <c r="K2208" s="4">
        <v>1485.0000000000002</v>
      </c>
      <c r="L2208" s="5">
        <v>0.4</v>
      </c>
      <c r="M2208" t="s">
        <v>131</v>
      </c>
      <c r="N2208" t="s">
        <v>363</v>
      </c>
    </row>
    <row r="2209" spans="1:14">
      <c r="A2209" t="s">
        <v>151</v>
      </c>
      <c r="B2209">
        <v>1128299</v>
      </c>
      <c r="C2209" s="2">
        <v>44421</v>
      </c>
      <c r="D2209" t="s">
        <v>28</v>
      </c>
      <c r="E2209" t="s">
        <v>207</v>
      </c>
      <c r="F2209" t="s">
        <v>216</v>
      </c>
      <c r="G2209" t="s">
        <v>145</v>
      </c>
      <c r="H2209" s="3">
        <v>0.60000000000000009</v>
      </c>
      <c r="I2209">
        <v>6250</v>
      </c>
      <c r="J2209" s="4">
        <v>3750.0000000000005</v>
      </c>
      <c r="K2209" s="4">
        <v>1500.0000000000002</v>
      </c>
      <c r="L2209" s="5">
        <v>0.4</v>
      </c>
      <c r="M2209" t="s">
        <v>131</v>
      </c>
      <c r="N2209" t="s">
        <v>363</v>
      </c>
    </row>
    <row r="2210" spans="1:14">
      <c r="A2210" t="s">
        <v>151</v>
      </c>
      <c r="B2210">
        <v>1128299</v>
      </c>
      <c r="C2210" s="2">
        <v>44421</v>
      </c>
      <c r="D2210" t="s">
        <v>28</v>
      </c>
      <c r="E2210" t="s">
        <v>207</v>
      </c>
      <c r="F2210" t="s">
        <v>216</v>
      </c>
      <c r="G2210" t="s">
        <v>146</v>
      </c>
      <c r="H2210" s="3">
        <v>0.55000000000000004</v>
      </c>
      <c r="I2210">
        <v>5000</v>
      </c>
      <c r="J2210" s="4">
        <v>2750</v>
      </c>
      <c r="K2210" s="4">
        <v>962.49999999999989</v>
      </c>
      <c r="L2210" s="5">
        <v>0.35</v>
      </c>
      <c r="M2210" t="s">
        <v>131</v>
      </c>
      <c r="N2210" t="s">
        <v>363</v>
      </c>
    </row>
    <row r="2211" spans="1:14">
      <c r="A2211" t="s">
        <v>151</v>
      </c>
      <c r="B2211">
        <v>1128299</v>
      </c>
      <c r="C2211" s="2">
        <v>44421</v>
      </c>
      <c r="D2211" t="s">
        <v>28</v>
      </c>
      <c r="E2211" t="s">
        <v>207</v>
      </c>
      <c r="F2211" t="s">
        <v>216</v>
      </c>
      <c r="G2211" t="s">
        <v>148</v>
      </c>
      <c r="H2211" s="3">
        <v>0.55000000000000004</v>
      </c>
      <c r="I2211">
        <v>4500</v>
      </c>
      <c r="J2211" s="4">
        <v>2475</v>
      </c>
      <c r="K2211" s="4">
        <v>990</v>
      </c>
      <c r="L2211" s="5">
        <v>0.4</v>
      </c>
      <c r="M2211" t="s">
        <v>131</v>
      </c>
      <c r="N2211" t="s">
        <v>363</v>
      </c>
    </row>
    <row r="2212" spans="1:14">
      <c r="A2212" t="s">
        <v>151</v>
      </c>
      <c r="B2212">
        <v>1128299</v>
      </c>
      <c r="C2212" s="2">
        <v>44421</v>
      </c>
      <c r="D2212" t="s">
        <v>28</v>
      </c>
      <c r="E2212" t="s">
        <v>207</v>
      </c>
      <c r="F2212" t="s">
        <v>216</v>
      </c>
      <c r="G2212" t="s">
        <v>147</v>
      </c>
      <c r="H2212" s="3">
        <v>0.65</v>
      </c>
      <c r="I2212">
        <v>4500</v>
      </c>
      <c r="J2212" s="4">
        <v>2925</v>
      </c>
      <c r="K2212" s="4">
        <v>1023.7499999999999</v>
      </c>
      <c r="L2212" s="5">
        <v>0.35</v>
      </c>
      <c r="M2212" t="s">
        <v>131</v>
      </c>
      <c r="N2212" t="s">
        <v>363</v>
      </c>
    </row>
    <row r="2213" spans="1:14">
      <c r="A2213" t="s">
        <v>151</v>
      </c>
      <c r="B2213">
        <v>1128299</v>
      </c>
      <c r="C2213" s="2">
        <v>44421</v>
      </c>
      <c r="D2213" t="s">
        <v>28</v>
      </c>
      <c r="E2213" t="s">
        <v>207</v>
      </c>
      <c r="F2213" t="s">
        <v>216</v>
      </c>
      <c r="G2213" t="s">
        <v>144</v>
      </c>
      <c r="H2213" s="3">
        <v>0.70000000000000007</v>
      </c>
      <c r="I2213">
        <v>4250</v>
      </c>
      <c r="J2213" s="4">
        <v>2975.0000000000005</v>
      </c>
      <c r="K2213" s="4">
        <v>743.75000000000011</v>
      </c>
      <c r="L2213" s="5">
        <v>0.25</v>
      </c>
      <c r="M2213" t="s">
        <v>131</v>
      </c>
      <c r="N2213" t="s">
        <v>363</v>
      </c>
    </row>
    <row r="2214" spans="1:14">
      <c r="A2214" t="s">
        <v>151</v>
      </c>
      <c r="B2214">
        <v>1128299</v>
      </c>
      <c r="C2214" s="2">
        <v>44453</v>
      </c>
      <c r="D2214" t="s">
        <v>28</v>
      </c>
      <c r="E2214" t="s">
        <v>207</v>
      </c>
      <c r="F2214" t="s">
        <v>216</v>
      </c>
      <c r="G2214" t="s">
        <v>27</v>
      </c>
      <c r="H2214" s="3">
        <v>0.45000000000000012</v>
      </c>
      <c r="I2214">
        <v>6000</v>
      </c>
      <c r="J2214" s="4">
        <v>2700.0000000000009</v>
      </c>
      <c r="K2214" s="4">
        <v>1080.0000000000005</v>
      </c>
      <c r="L2214" s="5">
        <v>0.4</v>
      </c>
      <c r="M2214" t="s">
        <v>132</v>
      </c>
      <c r="N2214" t="s">
        <v>363</v>
      </c>
    </row>
    <row r="2215" spans="1:14">
      <c r="A2215" t="s">
        <v>151</v>
      </c>
      <c r="B2215">
        <v>1128299</v>
      </c>
      <c r="C2215" s="2">
        <v>44453</v>
      </c>
      <c r="D2215" t="s">
        <v>28</v>
      </c>
      <c r="E2215" t="s">
        <v>207</v>
      </c>
      <c r="F2215" t="s">
        <v>216</v>
      </c>
      <c r="G2215" t="s">
        <v>145</v>
      </c>
      <c r="H2215" s="3">
        <v>0.50000000000000011</v>
      </c>
      <c r="I2215">
        <v>6000</v>
      </c>
      <c r="J2215" s="4">
        <v>3000.0000000000005</v>
      </c>
      <c r="K2215" s="4">
        <v>1200.0000000000002</v>
      </c>
      <c r="L2215" s="5">
        <v>0.4</v>
      </c>
      <c r="M2215" t="s">
        <v>132</v>
      </c>
      <c r="N2215" t="s">
        <v>363</v>
      </c>
    </row>
    <row r="2216" spans="1:14">
      <c r="A2216" t="s">
        <v>151</v>
      </c>
      <c r="B2216">
        <v>1128299</v>
      </c>
      <c r="C2216" s="2">
        <v>44453</v>
      </c>
      <c r="D2216" t="s">
        <v>28</v>
      </c>
      <c r="E2216" t="s">
        <v>207</v>
      </c>
      <c r="F2216" t="s">
        <v>216</v>
      </c>
      <c r="G2216" t="s">
        <v>146</v>
      </c>
      <c r="H2216" s="3">
        <v>0.45000000000000012</v>
      </c>
      <c r="I2216">
        <v>4500</v>
      </c>
      <c r="J2216" s="4">
        <v>2025.0000000000005</v>
      </c>
      <c r="K2216" s="4">
        <v>708.75000000000011</v>
      </c>
      <c r="L2216" s="5">
        <v>0.35</v>
      </c>
      <c r="M2216" t="s">
        <v>132</v>
      </c>
      <c r="N2216" t="s">
        <v>363</v>
      </c>
    </row>
    <row r="2217" spans="1:14">
      <c r="A2217" t="s">
        <v>151</v>
      </c>
      <c r="B2217">
        <v>1128299</v>
      </c>
      <c r="C2217" s="2">
        <v>44453</v>
      </c>
      <c r="D2217" t="s">
        <v>28</v>
      </c>
      <c r="E2217" t="s">
        <v>207</v>
      </c>
      <c r="F2217" t="s">
        <v>216</v>
      </c>
      <c r="G2217" t="s">
        <v>148</v>
      </c>
      <c r="H2217" s="3">
        <v>0.45000000000000012</v>
      </c>
      <c r="I2217">
        <v>4000</v>
      </c>
      <c r="J2217" s="4">
        <v>1800.0000000000005</v>
      </c>
      <c r="K2217" s="4">
        <v>720.00000000000023</v>
      </c>
      <c r="L2217" s="5">
        <v>0.4</v>
      </c>
      <c r="M2217" t="s">
        <v>132</v>
      </c>
      <c r="N2217" t="s">
        <v>363</v>
      </c>
    </row>
    <row r="2218" spans="1:14">
      <c r="A2218" t="s">
        <v>151</v>
      </c>
      <c r="B2218">
        <v>1128299</v>
      </c>
      <c r="C2218" s="2">
        <v>44453</v>
      </c>
      <c r="D2218" t="s">
        <v>28</v>
      </c>
      <c r="E2218" t="s">
        <v>207</v>
      </c>
      <c r="F2218" t="s">
        <v>216</v>
      </c>
      <c r="G2218" t="s">
        <v>147</v>
      </c>
      <c r="H2218" s="3">
        <v>0.55000000000000004</v>
      </c>
      <c r="I2218">
        <v>4000</v>
      </c>
      <c r="J2218" s="4">
        <v>2200</v>
      </c>
      <c r="K2218" s="4">
        <v>770</v>
      </c>
      <c r="L2218" s="5">
        <v>0.35</v>
      </c>
      <c r="M2218" t="s">
        <v>132</v>
      </c>
      <c r="N2218" t="s">
        <v>363</v>
      </c>
    </row>
    <row r="2219" spans="1:14">
      <c r="A2219" t="s">
        <v>151</v>
      </c>
      <c r="B2219">
        <v>1128299</v>
      </c>
      <c r="C2219" s="2">
        <v>44453</v>
      </c>
      <c r="D2219" t="s">
        <v>28</v>
      </c>
      <c r="E2219" t="s">
        <v>207</v>
      </c>
      <c r="F2219" t="s">
        <v>216</v>
      </c>
      <c r="G2219" t="s">
        <v>144</v>
      </c>
      <c r="H2219" s="3">
        <v>0.60000000000000009</v>
      </c>
      <c r="I2219">
        <v>4500</v>
      </c>
      <c r="J2219" s="4">
        <v>2700.0000000000005</v>
      </c>
      <c r="K2219" s="4">
        <v>675.00000000000011</v>
      </c>
      <c r="L2219" s="5">
        <v>0.25</v>
      </c>
      <c r="M2219" t="s">
        <v>132</v>
      </c>
      <c r="N2219" t="s">
        <v>363</v>
      </c>
    </row>
    <row r="2220" spans="1:14">
      <c r="A2220" t="s">
        <v>151</v>
      </c>
      <c r="B2220">
        <v>1128299</v>
      </c>
      <c r="C2220" s="2">
        <v>44482</v>
      </c>
      <c r="D2220" t="s">
        <v>28</v>
      </c>
      <c r="E2220" t="s">
        <v>207</v>
      </c>
      <c r="F2220" t="s">
        <v>216</v>
      </c>
      <c r="G2220" t="s">
        <v>27</v>
      </c>
      <c r="H2220" s="3">
        <v>0.45000000000000012</v>
      </c>
      <c r="I2220">
        <v>5250</v>
      </c>
      <c r="J2220" s="4">
        <v>2362.5000000000005</v>
      </c>
      <c r="K2220" s="4">
        <v>945.00000000000023</v>
      </c>
      <c r="L2220" s="5">
        <v>0.4</v>
      </c>
      <c r="M2220" t="s">
        <v>133</v>
      </c>
      <c r="N2220" t="s">
        <v>364</v>
      </c>
    </row>
    <row r="2221" spans="1:14">
      <c r="A2221" t="s">
        <v>151</v>
      </c>
      <c r="B2221">
        <v>1128299</v>
      </c>
      <c r="C2221" s="2">
        <v>44482</v>
      </c>
      <c r="D2221" t="s">
        <v>28</v>
      </c>
      <c r="E2221" t="s">
        <v>207</v>
      </c>
      <c r="F2221" t="s">
        <v>216</v>
      </c>
      <c r="G2221" t="s">
        <v>145</v>
      </c>
      <c r="H2221" s="3">
        <v>0.50000000000000011</v>
      </c>
      <c r="I2221">
        <v>5250</v>
      </c>
      <c r="J2221" s="4">
        <v>2625.0000000000005</v>
      </c>
      <c r="K2221" s="4">
        <v>1050.0000000000002</v>
      </c>
      <c r="L2221" s="5">
        <v>0.4</v>
      </c>
      <c r="M2221" t="s">
        <v>133</v>
      </c>
      <c r="N2221" t="s">
        <v>364</v>
      </c>
    </row>
    <row r="2222" spans="1:14">
      <c r="A2222" t="s">
        <v>151</v>
      </c>
      <c r="B2222">
        <v>1128299</v>
      </c>
      <c r="C2222" s="2">
        <v>44482</v>
      </c>
      <c r="D2222" t="s">
        <v>28</v>
      </c>
      <c r="E2222" t="s">
        <v>207</v>
      </c>
      <c r="F2222" t="s">
        <v>216</v>
      </c>
      <c r="G2222" t="s">
        <v>146</v>
      </c>
      <c r="H2222" s="3">
        <v>0.45000000000000012</v>
      </c>
      <c r="I2222">
        <v>3500</v>
      </c>
      <c r="J2222" s="4">
        <v>1575.0000000000005</v>
      </c>
      <c r="K2222" s="4">
        <v>551.25000000000011</v>
      </c>
      <c r="L2222" s="5">
        <v>0.35</v>
      </c>
      <c r="M2222" t="s">
        <v>133</v>
      </c>
      <c r="N2222" t="s">
        <v>364</v>
      </c>
    </row>
    <row r="2223" spans="1:14">
      <c r="A2223" t="s">
        <v>151</v>
      </c>
      <c r="B2223">
        <v>1128299</v>
      </c>
      <c r="C2223" s="2">
        <v>44482</v>
      </c>
      <c r="D2223" t="s">
        <v>28</v>
      </c>
      <c r="E2223" t="s">
        <v>207</v>
      </c>
      <c r="F2223" t="s">
        <v>216</v>
      </c>
      <c r="G2223" t="s">
        <v>148</v>
      </c>
      <c r="H2223" s="3">
        <v>0.45000000000000012</v>
      </c>
      <c r="I2223">
        <v>3250</v>
      </c>
      <c r="J2223" s="4">
        <v>1462.5000000000005</v>
      </c>
      <c r="K2223" s="4">
        <v>585.00000000000023</v>
      </c>
      <c r="L2223" s="5">
        <v>0.4</v>
      </c>
      <c r="M2223" t="s">
        <v>133</v>
      </c>
      <c r="N2223" t="s">
        <v>364</v>
      </c>
    </row>
    <row r="2224" spans="1:14">
      <c r="A2224" t="s">
        <v>151</v>
      </c>
      <c r="B2224">
        <v>1128299</v>
      </c>
      <c r="C2224" s="2">
        <v>44482</v>
      </c>
      <c r="D2224" t="s">
        <v>28</v>
      </c>
      <c r="E2224" t="s">
        <v>207</v>
      </c>
      <c r="F2224" t="s">
        <v>216</v>
      </c>
      <c r="G2224" t="s">
        <v>147</v>
      </c>
      <c r="H2224" s="3">
        <v>0.55000000000000004</v>
      </c>
      <c r="I2224">
        <v>3000</v>
      </c>
      <c r="J2224" s="4">
        <v>1650.0000000000002</v>
      </c>
      <c r="K2224" s="4">
        <v>577.5</v>
      </c>
      <c r="L2224" s="5">
        <v>0.35</v>
      </c>
      <c r="M2224" t="s">
        <v>133</v>
      </c>
      <c r="N2224" t="s">
        <v>364</v>
      </c>
    </row>
    <row r="2225" spans="1:14">
      <c r="A2225" t="s">
        <v>151</v>
      </c>
      <c r="B2225">
        <v>1128299</v>
      </c>
      <c r="C2225" s="2">
        <v>44482</v>
      </c>
      <c r="D2225" t="s">
        <v>28</v>
      </c>
      <c r="E2225" t="s">
        <v>207</v>
      </c>
      <c r="F2225" t="s">
        <v>216</v>
      </c>
      <c r="G2225" t="s">
        <v>144</v>
      </c>
      <c r="H2225" s="3">
        <v>0.70000000000000007</v>
      </c>
      <c r="I2225">
        <v>3500</v>
      </c>
      <c r="J2225" s="4">
        <v>2450.0000000000005</v>
      </c>
      <c r="K2225" s="4">
        <v>612.50000000000011</v>
      </c>
      <c r="L2225" s="5">
        <v>0.25</v>
      </c>
      <c r="M2225" t="s">
        <v>133</v>
      </c>
      <c r="N2225" t="s">
        <v>364</v>
      </c>
    </row>
    <row r="2226" spans="1:14">
      <c r="A2226" t="s">
        <v>151</v>
      </c>
      <c r="B2226">
        <v>1128299</v>
      </c>
      <c r="C2226" s="2">
        <v>44513</v>
      </c>
      <c r="D2226" t="s">
        <v>28</v>
      </c>
      <c r="E2226" t="s">
        <v>207</v>
      </c>
      <c r="F2226" t="s">
        <v>216</v>
      </c>
      <c r="G2226" t="s">
        <v>27</v>
      </c>
      <c r="H2226" s="3">
        <v>0.55000000000000004</v>
      </c>
      <c r="I2226">
        <v>5250</v>
      </c>
      <c r="J2226" s="4">
        <v>2887.5000000000005</v>
      </c>
      <c r="K2226" s="4">
        <v>1155.0000000000002</v>
      </c>
      <c r="L2226" s="5">
        <v>0.4</v>
      </c>
      <c r="M2226" t="s">
        <v>134</v>
      </c>
      <c r="N2226" t="s">
        <v>364</v>
      </c>
    </row>
    <row r="2227" spans="1:14">
      <c r="A2227" t="s">
        <v>151</v>
      </c>
      <c r="B2227">
        <v>1128299</v>
      </c>
      <c r="C2227" s="2">
        <v>44513</v>
      </c>
      <c r="D2227" t="s">
        <v>28</v>
      </c>
      <c r="E2227" t="s">
        <v>207</v>
      </c>
      <c r="F2227" t="s">
        <v>216</v>
      </c>
      <c r="G2227" t="s">
        <v>145</v>
      </c>
      <c r="H2227" s="3">
        <v>0.60000000000000009</v>
      </c>
      <c r="I2227">
        <v>5750</v>
      </c>
      <c r="J2227" s="4">
        <v>3450.0000000000005</v>
      </c>
      <c r="K2227" s="4">
        <v>1380.0000000000002</v>
      </c>
      <c r="L2227" s="5">
        <v>0.4</v>
      </c>
      <c r="M2227" t="s">
        <v>134</v>
      </c>
      <c r="N2227" t="s">
        <v>364</v>
      </c>
    </row>
    <row r="2228" spans="1:14">
      <c r="A2228" t="s">
        <v>151</v>
      </c>
      <c r="B2228">
        <v>1128299</v>
      </c>
      <c r="C2228" s="2">
        <v>44513</v>
      </c>
      <c r="D2228" t="s">
        <v>28</v>
      </c>
      <c r="E2228" t="s">
        <v>207</v>
      </c>
      <c r="F2228" t="s">
        <v>216</v>
      </c>
      <c r="G2228" t="s">
        <v>146</v>
      </c>
      <c r="H2228" s="3">
        <v>0.55000000000000004</v>
      </c>
      <c r="I2228">
        <v>4250</v>
      </c>
      <c r="J2228" s="4">
        <v>2337.5</v>
      </c>
      <c r="K2228" s="4">
        <v>818.125</v>
      </c>
      <c r="L2228" s="5">
        <v>0.35</v>
      </c>
      <c r="M2228" t="s">
        <v>134</v>
      </c>
      <c r="N2228" t="s">
        <v>364</v>
      </c>
    </row>
    <row r="2229" spans="1:14">
      <c r="A2229" t="s">
        <v>151</v>
      </c>
      <c r="B2229">
        <v>1128299</v>
      </c>
      <c r="C2229" s="2">
        <v>44513</v>
      </c>
      <c r="D2229" t="s">
        <v>28</v>
      </c>
      <c r="E2229" t="s">
        <v>207</v>
      </c>
      <c r="F2229" t="s">
        <v>216</v>
      </c>
      <c r="G2229" t="s">
        <v>148</v>
      </c>
      <c r="H2229" s="3">
        <v>0.55000000000000004</v>
      </c>
      <c r="I2229">
        <v>4000</v>
      </c>
      <c r="J2229" s="4">
        <v>2200</v>
      </c>
      <c r="K2229" s="4">
        <v>880</v>
      </c>
      <c r="L2229" s="5">
        <v>0.4</v>
      </c>
      <c r="M2229" t="s">
        <v>134</v>
      </c>
      <c r="N2229" t="s">
        <v>364</v>
      </c>
    </row>
    <row r="2230" spans="1:14">
      <c r="A2230" t="s">
        <v>151</v>
      </c>
      <c r="B2230">
        <v>1128299</v>
      </c>
      <c r="C2230" s="2">
        <v>44513</v>
      </c>
      <c r="D2230" t="s">
        <v>28</v>
      </c>
      <c r="E2230" t="s">
        <v>207</v>
      </c>
      <c r="F2230" t="s">
        <v>216</v>
      </c>
      <c r="G2230" t="s">
        <v>147</v>
      </c>
      <c r="H2230" s="3">
        <v>0.65</v>
      </c>
      <c r="I2230">
        <v>3500</v>
      </c>
      <c r="J2230" s="4">
        <v>2275</v>
      </c>
      <c r="K2230" s="4">
        <v>796.25</v>
      </c>
      <c r="L2230" s="5">
        <v>0.35</v>
      </c>
      <c r="M2230" t="s">
        <v>134</v>
      </c>
      <c r="N2230" t="s">
        <v>364</v>
      </c>
    </row>
    <row r="2231" spans="1:14">
      <c r="A2231" t="s">
        <v>151</v>
      </c>
      <c r="B2231">
        <v>1128299</v>
      </c>
      <c r="C2231" s="2">
        <v>44513</v>
      </c>
      <c r="D2231" t="s">
        <v>28</v>
      </c>
      <c r="E2231" t="s">
        <v>207</v>
      </c>
      <c r="F2231" t="s">
        <v>216</v>
      </c>
      <c r="G2231" t="s">
        <v>144</v>
      </c>
      <c r="H2231" s="3">
        <v>0.70000000000000007</v>
      </c>
      <c r="I2231">
        <v>4750</v>
      </c>
      <c r="J2231" s="4">
        <v>3325.0000000000005</v>
      </c>
      <c r="K2231" s="4">
        <v>831.25000000000011</v>
      </c>
      <c r="L2231" s="5">
        <v>0.25</v>
      </c>
      <c r="M2231" t="s">
        <v>134</v>
      </c>
      <c r="N2231" t="s">
        <v>364</v>
      </c>
    </row>
    <row r="2232" spans="1:14">
      <c r="A2232" t="s">
        <v>151</v>
      </c>
      <c r="B2232">
        <v>1128299</v>
      </c>
      <c r="C2232" s="2">
        <v>44542</v>
      </c>
      <c r="D2232" t="s">
        <v>28</v>
      </c>
      <c r="E2232" t="s">
        <v>207</v>
      </c>
      <c r="F2232" t="s">
        <v>216</v>
      </c>
      <c r="G2232" t="s">
        <v>27</v>
      </c>
      <c r="H2232" s="3">
        <v>0.55000000000000004</v>
      </c>
      <c r="I2232">
        <v>6750</v>
      </c>
      <c r="J2232" s="4">
        <v>3712.5000000000005</v>
      </c>
      <c r="K2232" s="4">
        <v>1485.0000000000002</v>
      </c>
      <c r="L2232" s="5">
        <v>0.4</v>
      </c>
      <c r="M2232" t="s">
        <v>23</v>
      </c>
      <c r="N2232" t="s">
        <v>364</v>
      </c>
    </row>
    <row r="2233" spans="1:14">
      <c r="A2233" t="s">
        <v>151</v>
      </c>
      <c r="B2233">
        <v>1128299</v>
      </c>
      <c r="C2233" s="2">
        <v>44542</v>
      </c>
      <c r="D2233" t="s">
        <v>28</v>
      </c>
      <c r="E2233" t="s">
        <v>207</v>
      </c>
      <c r="F2233" t="s">
        <v>216</v>
      </c>
      <c r="G2233" t="s">
        <v>145</v>
      </c>
      <c r="H2233" s="3">
        <v>0.60000000000000009</v>
      </c>
      <c r="I2233">
        <v>6750</v>
      </c>
      <c r="J2233" s="4">
        <v>4050.0000000000005</v>
      </c>
      <c r="K2233" s="4">
        <v>1620.0000000000002</v>
      </c>
      <c r="L2233" s="5">
        <v>0.4</v>
      </c>
      <c r="M2233" t="s">
        <v>23</v>
      </c>
      <c r="N2233" t="s">
        <v>364</v>
      </c>
    </row>
    <row r="2234" spans="1:14">
      <c r="A2234" t="s">
        <v>151</v>
      </c>
      <c r="B2234">
        <v>1128299</v>
      </c>
      <c r="C2234" s="2">
        <v>44542</v>
      </c>
      <c r="D2234" t="s">
        <v>28</v>
      </c>
      <c r="E2234" t="s">
        <v>207</v>
      </c>
      <c r="F2234" t="s">
        <v>216</v>
      </c>
      <c r="G2234" t="s">
        <v>146</v>
      </c>
      <c r="H2234" s="3">
        <v>0.55000000000000004</v>
      </c>
      <c r="I2234">
        <v>4750</v>
      </c>
      <c r="J2234" s="4">
        <v>2612.5</v>
      </c>
      <c r="K2234" s="4">
        <v>914.37499999999989</v>
      </c>
      <c r="L2234" s="5">
        <v>0.35</v>
      </c>
      <c r="M2234" t="s">
        <v>23</v>
      </c>
      <c r="N2234" t="s">
        <v>364</v>
      </c>
    </row>
    <row r="2235" spans="1:14">
      <c r="A2235" t="s">
        <v>151</v>
      </c>
      <c r="B2235">
        <v>1128299</v>
      </c>
      <c r="C2235" s="2">
        <v>44542</v>
      </c>
      <c r="D2235" t="s">
        <v>28</v>
      </c>
      <c r="E2235" t="s">
        <v>207</v>
      </c>
      <c r="F2235" t="s">
        <v>216</v>
      </c>
      <c r="G2235" t="s">
        <v>148</v>
      </c>
      <c r="H2235" s="3">
        <v>0.55000000000000004</v>
      </c>
      <c r="I2235">
        <v>4750</v>
      </c>
      <c r="J2235" s="4">
        <v>2612.5</v>
      </c>
      <c r="K2235" s="4">
        <v>1045</v>
      </c>
      <c r="L2235" s="5">
        <v>0.4</v>
      </c>
      <c r="M2235" t="s">
        <v>23</v>
      </c>
      <c r="N2235" t="s">
        <v>364</v>
      </c>
    </row>
    <row r="2236" spans="1:14">
      <c r="A2236" t="s">
        <v>151</v>
      </c>
      <c r="B2236">
        <v>1128299</v>
      </c>
      <c r="C2236" s="2">
        <v>44542</v>
      </c>
      <c r="D2236" t="s">
        <v>28</v>
      </c>
      <c r="E2236" t="s">
        <v>207</v>
      </c>
      <c r="F2236" t="s">
        <v>216</v>
      </c>
      <c r="G2236" t="s">
        <v>147</v>
      </c>
      <c r="H2236" s="3">
        <v>0.65</v>
      </c>
      <c r="I2236">
        <v>4000</v>
      </c>
      <c r="J2236" s="4">
        <v>2600</v>
      </c>
      <c r="K2236" s="4">
        <v>909.99999999999989</v>
      </c>
      <c r="L2236" s="5">
        <v>0.35</v>
      </c>
      <c r="M2236" t="s">
        <v>23</v>
      </c>
      <c r="N2236" t="s">
        <v>364</v>
      </c>
    </row>
    <row r="2237" spans="1:14">
      <c r="A2237" t="s">
        <v>151</v>
      </c>
      <c r="B2237">
        <v>1128299</v>
      </c>
      <c r="C2237" s="2">
        <v>44542</v>
      </c>
      <c r="D2237" t="s">
        <v>28</v>
      </c>
      <c r="E2237" t="s">
        <v>207</v>
      </c>
      <c r="F2237" t="s">
        <v>216</v>
      </c>
      <c r="G2237" t="s">
        <v>144</v>
      </c>
      <c r="H2237" s="3">
        <v>0.70000000000000007</v>
      </c>
      <c r="I2237">
        <v>5000</v>
      </c>
      <c r="J2237" s="4">
        <v>3500.0000000000005</v>
      </c>
      <c r="K2237" s="4">
        <v>875.00000000000011</v>
      </c>
      <c r="L2237" s="5">
        <v>0.25</v>
      </c>
      <c r="M2237" t="s">
        <v>23</v>
      </c>
      <c r="N2237" t="s">
        <v>364</v>
      </c>
    </row>
    <row r="2238" spans="1:14">
      <c r="A2238" t="s">
        <v>29</v>
      </c>
      <c r="B2238">
        <v>1185732</v>
      </c>
      <c r="C2238" s="2">
        <v>44205</v>
      </c>
      <c r="D2238" t="s">
        <v>138</v>
      </c>
      <c r="E2238" t="s">
        <v>174</v>
      </c>
      <c r="F2238" t="s">
        <v>175</v>
      </c>
      <c r="G2238" t="s">
        <v>27</v>
      </c>
      <c r="H2238" s="3">
        <v>0.4</v>
      </c>
      <c r="I2238">
        <v>10250</v>
      </c>
      <c r="J2238" s="4">
        <v>4100</v>
      </c>
      <c r="K2238" s="4">
        <v>1845</v>
      </c>
      <c r="L2238" s="5">
        <v>0.45</v>
      </c>
      <c r="M2238" t="s">
        <v>125</v>
      </c>
      <c r="N2238" t="s">
        <v>361</v>
      </c>
    </row>
    <row r="2239" spans="1:14">
      <c r="A2239" t="s">
        <v>29</v>
      </c>
      <c r="B2239">
        <v>1185732</v>
      </c>
      <c r="C2239" s="2">
        <v>44205</v>
      </c>
      <c r="D2239" t="s">
        <v>138</v>
      </c>
      <c r="E2239" t="s">
        <v>174</v>
      </c>
      <c r="F2239" t="s">
        <v>175</v>
      </c>
      <c r="G2239" t="s">
        <v>145</v>
      </c>
      <c r="H2239" s="3">
        <v>0.4</v>
      </c>
      <c r="I2239">
        <v>8250</v>
      </c>
      <c r="J2239" s="4">
        <v>3300</v>
      </c>
      <c r="K2239" s="4">
        <v>1155</v>
      </c>
      <c r="L2239" s="5">
        <v>0.35</v>
      </c>
      <c r="M2239" t="s">
        <v>125</v>
      </c>
      <c r="N2239" t="s">
        <v>361</v>
      </c>
    </row>
    <row r="2240" spans="1:14">
      <c r="A2240" t="s">
        <v>29</v>
      </c>
      <c r="B2240">
        <v>1185732</v>
      </c>
      <c r="C2240" s="2">
        <v>44205</v>
      </c>
      <c r="D2240" t="s">
        <v>138</v>
      </c>
      <c r="E2240" t="s">
        <v>174</v>
      </c>
      <c r="F2240" t="s">
        <v>175</v>
      </c>
      <c r="G2240" t="s">
        <v>146</v>
      </c>
      <c r="H2240" s="3">
        <v>0.30000000000000004</v>
      </c>
      <c r="I2240">
        <v>8250</v>
      </c>
      <c r="J2240" s="4">
        <v>2475.0000000000005</v>
      </c>
      <c r="K2240" s="4">
        <v>618.75000000000011</v>
      </c>
      <c r="L2240" s="5">
        <v>0.25</v>
      </c>
      <c r="M2240" t="s">
        <v>125</v>
      </c>
      <c r="N2240" t="s">
        <v>361</v>
      </c>
    </row>
    <row r="2241" spans="1:14">
      <c r="A2241" t="s">
        <v>29</v>
      </c>
      <c r="B2241">
        <v>1185732</v>
      </c>
      <c r="C2241" s="2">
        <v>44205</v>
      </c>
      <c r="D2241" t="s">
        <v>138</v>
      </c>
      <c r="E2241" t="s">
        <v>174</v>
      </c>
      <c r="F2241" t="s">
        <v>175</v>
      </c>
      <c r="G2241" t="s">
        <v>148</v>
      </c>
      <c r="H2241" s="3">
        <v>0.35</v>
      </c>
      <c r="I2241">
        <v>6750</v>
      </c>
      <c r="J2241" s="4">
        <v>2362.5</v>
      </c>
      <c r="K2241" s="4">
        <v>708.75</v>
      </c>
      <c r="L2241" s="5">
        <v>0.3</v>
      </c>
      <c r="M2241" t="s">
        <v>125</v>
      </c>
      <c r="N2241" t="s">
        <v>361</v>
      </c>
    </row>
    <row r="2242" spans="1:14">
      <c r="A2242" t="s">
        <v>29</v>
      </c>
      <c r="B2242">
        <v>1185732</v>
      </c>
      <c r="C2242" s="2">
        <v>44205</v>
      </c>
      <c r="D2242" t="s">
        <v>138</v>
      </c>
      <c r="E2242" t="s">
        <v>174</v>
      </c>
      <c r="F2242" t="s">
        <v>175</v>
      </c>
      <c r="G2242" t="s">
        <v>147</v>
      </c>
      <c r="H2242" s="3">
        <v>0.5</v>
      </c>
      <c r="I2242">
        <v>7250</v>
      </c>
      <c r="J2242" s="4">
        <v>3625</v>
      </c>
      <c r="K2242" s="4">
        <v>1268.75</v>
      </c>
      <c r="L2242" s="5">
        <v>0.35</v>
      </c>
      <c r="M2242" t="s">
        <v>125</v>
      </c>
      <c r="N2242" t="s">
        <v>361</v>
      </c>
    </row>
    <row r="2243" spans="1:14">
      <c r="A2243" t="s">
        <v>29</v>
      </c>
      <c r="B2243">
        <v>1185732</v>
      </c>
      <c r="C2243" s="2">
        <v>44205</v>
      </c>
      <c r="D2243" t="s">
        <v>138</v>
      </c>
      <c r="E2243" t="s">
        <v>174</v>
      </c>
      <c r="F2243" t="s">
        <v>175</v>
      </c>
      <c r="G2243" t="s">
        <v>144</v>
      </c>
      <c r="H2243" s="3">
        <v>0.4</v>
      </c>
      <c r="I2243">
        <v>8250</v>
      </c>
      <c r="J2243" s="4">
        <v>3300</v>
      </c>
      <c r="K2243" s="4">
        <v>1650</v>
      </c>
      <c r="L2243" s="5">
        <v>0.5</v>
      </c>
      <c r="M2243" t="s">
        <v>125</v>
      </c>
      <c r="N2243" t="s">
        <v>361</v>
      </c>
    </row>
    <row r="2244" spans="1:14">
      <c r="A2244" t="s">
        <v>29</v>
      </c>
      <c r="B2244">
        <v>1185732</v>
      </c>
      <c r="C2244" s="2">
        <v>44234</v>
      </c>
      <c r="D2244" t="s">
        <v>138</v>
      </c>
      <c r="E2244" t="s">
        <v>174</v>
      </c>
      <c r="F2244" t="s">
        <v>175</v>
      </c>
      <c r="G2244" t="s">
        <v>27</v>
      </c>
      <c r="H2244" s="3">
        <v>0.4</v>
      </c>
      <c r="I2244">
        <v>10750</v>
      </c>
      <c r="J2244" s="4">
        <v>4300</v>
      </c>
      <c r="K2244" s="4">
        <v>1935</v>
      </c>
      <c r="L2244" s="5">
        <v>0.45</v>
      </c>
      <c r="M2244" t="s">
        <v>126</v>
      </c>
      <c r="N2244" t="s">
        <v>361</v>
      </c>
    </row>
    <row r="2245" spans="1:14">
      <c r="A2245" t="s">
        <v>29</v>
      </c>
      <c r="B2245">
        <v>1185732</v>
      </c>
      <c r="C2245" s="2">
        <v>44234</v>
      </c>
      <c r="D2245" t="s">
        <v>138</v>
      </c>
      <c r="E2245" t="s">
        <v>174</v>
      </c>
      <c r="F2245" t="s">
        <v>175</v>
      </c>
      <c r="G2245" t="s">
        <v>145</v>
      </c>
      <c r="H2245" s="3">
        <v>0.4</v>
      </c>
      <c r="I2245">
        <v>7250</v>
      </c>
      <c r="J2245" s="4">
        <v>2900</v>
      </c>
      <c r="K2245" s="4">
        <v>1014.9999999999999</v>
      </c>
      <c r="L2245" s="5">
        <v>0.35</v>
      </c>
      <c r="M2245" t="s">
        <v>126</v>
      </c>
      <c r="N2245" t="s">
        <v>361</v>
      </c>
    </row>
    <row r="2246" spans="1:14">
      <c r="A2246" t="s">
        <v>29</v>
      </c>
      <c r="B2246">
        <v>1185732</v>
      </c>
      <c r="C2246" s="2">
        <v>44234</v>
      </c>
      <c r="D2246" t="s">
        <v>138</v>
      </c>
      <c r="E2246" t="s">
        <v>174</v>
      </c>
      <c r="F2246" t="s">
        <v>175</v>
      </c>
      <c r="G2246" t="s">
        <v>146</v>
      </c>
      <c r="H2246" s="3">
        <v>0.30000000000000004</v>
      </c>
      <c r="I2246">
        <v>7750</v>
      </c>
      <c r="J2246" s="4">
        <v>2325.0000000000005</v>
      </c>
      <c r="K2246" s="4">
        <v>581.25000000000011</v>
      </c>
      <c r="L2246" s="5">
        <v>0.25</v>
      </c>
      <c r="M2246" t="s">
        <v>126</v>
      </c>
      <c r="N2246" t="s">
        <v>361</v>
      </c>
    </row>
    <row r="2247" spans="1:14">
      <c r="A2247" t="s">
        <v>29</v>
      </c>
      <c r="B2247">
        <v>1185732</v>
      </c>
      <c r="C2247" s="2">
        <v>44234</v>
      </c>
      <c r="D2247" t="s">
        <v>138</v>
      </c>
      <c r="E2247" t="s">
        <v>174</v>
      </c>
      <c r="F2247" t="s">
        <v>175</v>
      </c>
      <c r="G2247" t="s">
        <v>148</v>
      </c>
      <c r="H2247" s="3">
        <v>0.35</v>
      </c>
      <c r="I2247">
        <v>6250</v>
      </c>
      <c r="J2247" s="4">
        <v>2187.5</v>
      </c>
      <c r="K2247" s="4">
        <v>656.25</v>
      </c>
      <c r="L2247" s="5">
        <v>0.3</v>
      </c>
      <c r="M2247" t="s">
        <v>126</v>
      </c>
      <c r="N2247" t="s">
        <v>361</v>
      </c>
    </row>
    <row r="2248" spans="1:14">
      <c r="A2248" t="s">
        <v>29</v>
      </c>
      <c r="B2248">
        <v>1185732</v>
      </c>
      <c r="C2248" s="2">
        <v>44234</v>
      </c>
      <c r="D2248" t="s">
        <v>138</v>
      </c>
      <c r="E2248" t="s">
        <v>174</v>
      </c>
      <c r="F2248" t="s">
        <v>175</v>
      </c>
      <c r="G2248" t="s">
        <v>147</v>
      </c>
      <c r="H2248" s="3">
        <v>0.5</v>
      </c>
      <c r="I2248">
        <v>7000</v>
      </c>
      <c r="J2248" s="4">
        <v>3500</v>
      </c>
      <c r="K2248" s="4">
        <v>1225</v>
      </c>
      <c r="L2248" s="5">
        <v>0.35</v>
      </c>
      <c r="M2248" t="s">
        <v>126</v>
      </c>
      <c r="N2248" t="s">
        <v>361</v>
      </c>
    </row>
    <row r="2249" spans="1:14">
      <c r="A2249" t="s">
        <v>29</v>
      </c>
      <c r="B2249">
        <v>1185732</v>
      </c>
      <c r="C2249" s="2">
        <v>44234</v>
      </c>
      <c r="D2249" t="s">
        <v>138</v>
      </c>
      <c r="E2249" t="s">
        <v>174</v>
      </c>
      <c r="F2249" t="s">
        <v>175</v>
      </c>
      <c r="G2249" t="s">
        <v>144</v>
      </c>
      <c r="H2249" s="3">
        <v>0.35</v>
      </c>
      <c r="I2249">
        <v>8000</v>
      </c>
      <c r="J2249" s="4">
        <v>2800</v>
      </c>
      <c r="K2249" s="4">
        <v>1400</v>
      </c>
      <c r="L2249" s="5">
        <v>0.5</v>
      </c>
      <c r="M2249" t="s">
        <v>126</v>
      </c>
      <c r="N2249" t="s">
        <v>361</v>
      </c>
    </row>
    <row r="2250" spans="1:14">
      <c r="A2250" t="s">
        <v>29</v>
      </c>
      <c r="B2250">
        <v>1185732</v>
      </c>
      <c r="C2250" s="2">
        <v>44260</v>
      </c>
      <c r="D2250" t="s">
        <v>138</v>
      </c>
      <c r="E2250" t="s">
        <v>174</v>
      </c>
      <c r="F2250" t="s">
        <v>175</v>
      </c>
      <c r="G2250" t="s">
        <v>27</v>
      </c>
      <c r="H2250" s="3">
        <v>0.35</v>
      </c>
      <c r="I2250">
        <v>10200</v>
      </c>
      <c r="J2250" s="4">
        <v>3570</v>
      </c>
      <c r="K2250" s="4">
        <v>1606.5</v>
      </c>
      <c r="L2250" s="5">
        <v>0.45</v>
      </c>
      <c r="M2250" t="s">
        <v>24</v>
      </c>
      <c r="N2250" t="s">
        <v>361</v>
      </c>
    </row>
    <row r="2251" spans="1:14">
      <c r="A2251" t="s">
        <v>29</v>
      </c>
      <c r="B2251">
        <v>1185732</v>
      </c>
      <c r="C2251" s="2">
        <v>44260</v>
      </c>
      <c r="D2251" t="s">
        <v>138</v>
      </c>
      <c r="E2251" t="s">
        <v>174</v>
      </c>
      <c r="F2251" t="s">
        <v>175</v>
      </c>
      <c r="G2251" t="s">
        <v>145</v>
      </c>
      <c r="H2251" s="3">
        <v>0.35</v>
      </c>
      <c r="I2251">
        <v>7000</v>
      </c>
      <c r="J2251" s="4">
        <v>2450</v>
      </c>
      <c r="K2251" s="4">
        <v>857.5</v>
      </c>
      <c r="L2251" s="5">
        <v>0.35</v>
      </c>
      <c r="M2251" t="s">
        <v>24</v>
      </c>
      <c r="N2251" t="s">
        <v>361</v>
      </c>
    </row>
    <row r="2252" spans="1:14">
      <c r="A2252" t="s">
        <v>29</v>
      </c>
      <c r="B2252">
        <v>1185732</v>
      </c>
      <c r="C2252" s="2">
        <v>44260</v>
      </c>
      <c r="D2252" t="s">
        <v>138</v>
      </c>
      <c r="E2252" t="s">
        <v>174</v>
      </c>
      <c r="F2252" t="s">
        <v>175</v>
      </c>
      <c r="G2252" t="s">
        <v>146</v>
      </c>
      <c r="H2252" s="3">
        <v>0.25</v>
      </c>
      <c r="I2252">
        <v>7250</v>
      </c>
      <c r="J2252" s="4">
        <v>1812.5</v>
      </c>
      <c r="K2252" s="4">
        <v>453.125</v>
      </c>
      <c r="L2252" s="5">
        <v>0.25</v>
      </c>
      <c r="M2252" t="s">
        <v>24</v>
      </c>
      <c r="N2252" t="s">
        <v>361</v>
      </c>
    </row>
    <row r="2253" spans="1:14">
      <c r="A2253" t="s">
        <v>29</v>
      </c>
      <c r="B2253">
        <v>1185732</v>
      </c>
      <c r="C2253" s="2">
        <v>44260</v>
      </c>
      <c r="D2253" t="s">
        <v>138</v>
      </c>
      <c r="E2253" t="s">
        <v>174</v>
      </c>
      <c r="F2253" t="s">
        <v>175</v>
      </c>
      <c r="G2253" t="s">
        <v>148</v>
      </c>
      <c r="H2253" s="3">
        <v>0.29999999999999993</v>
      </c>
      <c r="I2253">
        <v>5750</v>
      </c>
      <c r="J2253" s="4">
        <v>1724.9999999999995</v>
      </c>
      <c r="K2253" s="4">
        <v>517.49999999999989</v>
      </c>
      <c r="L2253" s="5">
        <v>0.3</v>
      </c>
      <c r="M2253" t="s">
        <v>24</v>
      </c>
      <c r="N2253" t="s">
        <v>361</v>
      </c>
    </row>
    <row r="2254" spans="1:14">
      <c r="A2254" t="s">
        <v>29</v>
      </c>
      <c r="B2254">
        <v>1185732</v>
      </c>
      <c r="C2254" s="2">
        <v>44260</v>
      </c>
      <c r="D2254" t="s">
        <v>138</v>
      </c>
      <c r="E2254" t="s">
        <v>174</v>
      </c>
      <c r="F2254" t="s">
        <v>175</v>
      </c>
      <c r="G2254" t="s">
        <v>147</v>
      </c>
      <c r="H2254" s="3">
        <v>0.45000000000000007</v>
      </c>
      <c r="I2254">
        <v>6250</v>
      </c>
      <c r="J2254" s="4">
        <v>2812.5000000000005</v>
      </c>
      <c r="K2254" s="4">
        <v>984.37500000000011</v>
      </c>
      <c r="L2254" s="5">
        <v>0.35</v>
      </c>
      <c r="M2254" t="s">
        <v>24</v>
      </c>
      <c r="N2254" t="s">
        <v>361</v>
      </c>
    </row>
    <row r="2255" spans="1:14">
      <c r="A2255" t="s">
        <v>29</v>
      </c>
      <c r="B2255">
        <v>1185732</v>
      </c>
      <c r="C2255" s="2">
        <v>44260</v>
      </c>
      <c r="D2255" t="s">
        <v>138</v>
      </c>
      <c r="E2255" t="s">
        <v>174</v>
      </c>
      <c r="F2255" t="s">
        <v>175</v>
      </c>
      <c r="G2255" t="s">
        <v>144</v>
      </c>
      <c r="H2255" s="3">
        <v>0.35</v>
      </c>
      <c r="I2255">
        <v>7250</v>
      </c>
      <c r="J2255" s="4">
        <v>2537.5</v>
      </c>
      <c r="K2255" s="4">
        <v>1268.75</v>
      </c>
      <c r="L2255" s="5">
        <v>0.5</v>
      </c>
      <c r="M2255" t="s">
        <v>24</v>
      </c>
      <c r="N2255" t="s">
        <v>361</v>
      </c>
    </row>
    <row r="2256" spans="1:14">
      <c r="A2256" t="s">
        <v>29</v>
      </c>
      <c r="B2256">
        <v>1185732</v>
      </c>
      <c r="C2256" s="2">
        <v>44292</v>
      </c>
      <c r="D2256" t="s">
        <v>138</v>
      </c>
      <c r="E2256" t="s">
        <v>174</v>
      </c>
      <c r="F2256" t="s">
        <v>175</v>
      </c>
      <c r="G2256" t="s">
        <v>27</v>
      </c>
      <c r="H2256" s="3">
        <v>0.35</v>
      </c>
      <c r="I2256">
        <v>9750</v>
      </c>
      <c r="J2256" s="4">
        <v>3412.5</v>
      </c>
      <c r="K2256" s="4">
        <v>1535.625</v>
      </c>
      <c r="L2256" s="5">
        <v>0.45</v>
      </c>
      <c r="M2256" t="s">
        <v>127</v>
      </c>
      <c r="N2256" t="s">
        <v>362</v>
      </c>
    </row>
    <row r="2257" spans="1:14">
      <c r="A2257" t="s">
        <v>29</v>
      </c>
      <c r="B2257">
        <v>1185732</v>
      </c>
      <c r="C2257" s="2">
        <v>44292</v>
      </c>
      <c r="D2257" t="s">
        <v>138</v>
      </c>
      <c r="E2257" t="s">
        <v>174</v>
      </c>
      <c r="F2257" t="s">
        <v>175</v>
      </c>
      <c r="G2257" t="s">
        <v>145</v>
      </c>
      <c r="H2257" s="3">
        <v>0.35</v>
      </c>
      <c r="I2257">
        <v>6750</v>
      </c>
      <c r="J2257" s="4">
        <v>2362.5</v>
      </c>
      <c r="K2257" s="4">
        <v>826.875</v>
      </c>
      <c r="L2257" s="5">
        <v>0.35</v>
      </c>
      <c r="M2257" t="s">
        <v>127</v>
      </c>
      <c r="N2257" t="s">
        <v>362</v>
      </c>
    </row>
    <row r="2258" spans="1:14">
      <c r="A2258" t="s">
        <v>29</v>
      </c>
      <c r="B2258">
        <v>1185732</v>
      </c>
      <c r="C2258" s="2">
        <v>44292</v>
      </c>
      <c r="D2258" t="s">
        <v>138</v>
      </c>
      <c r="E2258" t="s">
        <v>174</v>
      </c>
      <c r="F2258" t="s">
        <v>175</v>
      </c>
      <c r="G2258" t="s">
        <v>146</v>
      </c>
      <c r="H2258" s="3">
        <v>0.25</v>
      </c>
      <c r="I2258">
        <v>6750</v>
      </c>
      <c r="J2258" s="4">
        <v>1687.5</v>
      </c>
      <c r="K2258" s="4">
        <v>421.875</v>
      </c>
      <c r="L2258" s="5">
        <v>0.25</v>
      </c>
      <c r="M2258" t="s">
        <v>127</v>
      </c>
      <c r="N2258" t="s">
        <v>362</v>
      </c>
    </row>
    <row r="2259" spans="1:14">
      <c r="A2259" t="s">
        <v>29</v>
      </c>
      <c r="B2259">
        <v>1185732</v>
      </c>
      <c r="C2259" s="2">
        <v>44292</v>
      </c>
      <c r="D2259" t="s">
        <v>138</v>
      </c>
      <c r="E2259" t="s">
        <v>174</v>
      </c>
      <c r="F2259" t="s">
        <v>175</v>
      </c>
      <c r="G2259" t="s">
        <v>148</v>
      </c>
      <c r="H2259" s="3">
        <v>0.29999999999999993</v>
      </c>
      <c r="I2259">
        <v>6000</v>
      </c>
      <c r="J2259" s="4">
        <v>1799.9999999999995</v>
      </c>
      <c r="K2259" s="4">
        <v>539.99999999999989</v>
      </c>
      <c r="L2259" s="5">
        <v>0.3</v>
      </c>
      <c r="M2259" t="s">
        <v>127</v>
      </c>
      <c r="N2259" t="s">
        <v>362</v>
      </c>
    </row>
    <row r="2260" spans="1:14">
      <c r="A2260" t="s">
        <v>29</v>
      </c>
      <c r="B2260">
        <v>1185732</v>
      </c>
      <c r="C2260" s="2">
        <v>44292</v>
      </c>
      <c r="D2260" t="s">
        <v>138</v>
      </c>
      <c r="E2260" t="s">
        <v>174</v>
      </c>
      <c r="F2260" t="s">
        <v>175</v>
      </c>
      <c r="G2260" t="s">
        <v>147</v>
      </c>
      <c r="H2260" s="3">
        <v>0.5</v>
      </c>
      <c r="I2260">
        <v>6250</v>
      </c>
      <c r="J2260" s="4">
        <v>3125</v>
      </c>
      <c r="K2260" s="4">
        <v>1093.75</v>
      </c>
      <c r="L2260" s="5">
        <v>0.35</v>
      </c>
      <c r="M2260" t="s">
        <v>127</v>
      </c>
      <c r="N2260" t="s">
        <v>362</v>
      </c>
    </row>
    <row r="2261" spans="1:14">
      <c r="A2261" t="s">
        <v>29</v>
      </c>
      <c r="B2261">
        <v>1185732</v>
      </c>
      <c r="C2261" s="2">
        <v>44292</v>
      </c>
      <c r="D2261" t="s">
        <v>138</v>
      </c>
      <c r="E2261" t="s">
        <v>174</v>
      </c>
      <c r="F2261" t="s">
        <v>175</v>
      </c>
      <c r="G2261" t="s">
        <v>144</v>
      </c>
      <c r="H2261" s="3">
        <v>0.4</v>
      </c>
      <c r="I2261">
        <v>7750</v>
      </c>
      <c r="J2261" s="4">
        <v>3100</v>
      </c>
      <c r="K2261" s="4">
        <v>1550</v>
      </c>
      <c r="L2261" s="5">
        <v>0.5</v>
      </c>
      <c r="M2261" t="s">
        <v>127</v>
      </c>
      <c r="N2261" t="s">
        <v>362</v>
      </c>
    </row>
    <row r="2262" spans="1:14">
      <c r="A2262" t="s">
        <v>29</v>
      </c>
      <c r="B2262">
        <v>1185732</v>
      </c>
      <c r="C2262" s="2">
        <v>44321</v>
      </c>
      <c r="D2262" t="s">
        <v>138</v>
      </c>
      <c r="E2262" t="s">
        <v>174</v>
      </c>
      <c r="F2262" t="s">
        <v>175</v>
      </c>
      <c r="G2262" t="s">
        <v>27</v>
      </c>
      <c r="H2262" s="3">
        <v>0.5</v>
      </c>
      <c r="I2262">
        <v>10450</v>
      </c>
      <c r="J2262" s="4">
        <v>5225</v>
      </c>
      <c r="K2262" s="4">
        <v>2351.25</v>
      </c>
      <c r="L2262" s="5">
        <v>0.45</v>
      </c>
      <c r="M2262" t="s">
        <v>128</v>
      </c>
      <c r="N2262" t="s">
        <v>362</v>
      </c>
    </row>
    <row r="2263" spans="1:14">
      <c r="A2263" t="s">
        <v>29</v>
      </c>
      <c r="B2263">
        <v>1185732</v>
      </c>
      <c r="C2263" s="2">
        <v>44321</v>
      </c>
      <c r="D2263" t="s">
        <v>138</v>
      </c>
      <c r="E2263" t="s">
        <v>174</v>
      </c>
      <c r="F2263" t="s">
        <v>175</v>
      </c>
      <c r="G2263" t="s">
        <v>145</v>
      </c>
      <c r="H2263" s="3">
        <v>0.5</v>
      </c>
      <c r="I2263">
        <v>7500</v>
      </c>
      <c r="J2263" s="4">
        <v>3750</v>
      </c>
      <c r="K2263" s="4">
        <v>1312.5</v>
      </c>
      <c r="L2263" s="5">
        <v>0.35</v>
      </c>
      <c r="M2263" t="s">
        <v>128</v>
      </c>
      <c r="N2263" t="s">
        <v>362</v>
      </c>
    </row>
    <row r="2264" spans="1:14">
      <c r="A2264" t="s">
        <v>29</v>
      </c>
      <c r="B2264">
        <v>1185732</v>
      </c>
      <c r="C2264" s="2">
        <v>44321</v>
      </c>
      <c r="D2264" t="s">
        <v>138</v>
      </c>
      <c r="E2264" t="s">
        <v>174</v>
      </c>
      <c r="F2264" t="s">
        <v>175</v>
      </c>
      <c r="G2264" t="s">
        <v>146</v>
      </c>
      <c r="H2264" s="3">
        <v>0.45</v>
      </c>
      <c r="I2264">
        <v>7250</v>
      </c>
      <c r="J2264" s="4">
        <v>3262.5</v>
      </c>
      <c r="K2264" s="4">
        <v>815.625</v>
      </c>
      <c r="L2264" s="5">
        <v>0.25</v>
      </c>
      <c r="M2264" t="s">
        <v>128</v>
      </c>
      <c r="N2264" t="s">
        <v>362</v>
      </c>
    </row>
    <row r="2265" spans="1:14">
      <c r="A2265" t="s">
        <v>29</v>
      </c>
      <c r="B2265">
        <v>1185732</v>
      </c>
      <c r="C2265" s="2">
        <v>44321</v>
      </c>
      <c r="D2265" t="s">
        <v>138</v>
      </c>
      <c r="E2265" t="s">
        <v>174</v>
      </c>
      <c r="F2265" t="s">
        <v>175</v>
      </c>
      <c r="G2265" t="s">
        <v>148</v>
      </c>
      <c r="H2265" s="3">
        <v>0.45</v>
      </c>
      <c r="I2265">
        <v>6750</v>
      </c>
      <c r="J2265" s="4">
        <v>3037.5</v>
      </c>
      <c r="K2265" s="4">
        <v>911.25</v>
      </c>
      <c r="L2265" s="5">
        <v>0.3</v>
      </c>
      <c r="M2265" t="s">
        <v>128</v>
      </c>
      <c r="N2265" t="s">
        <v>362</v>
      </c>
    </row>
    <row r="2266" spans="1:14">
      <c r="A2266" t="s">
        <v>29</v>
      </c>
      <c r="B2266">
        <v>1185732</v>
      </c>
      <c r="C2266" s="2">
        <v>44321</v>
      </c>
      <c r="D2266" t="s">
        <v>138</v>
      </c>
      <c r="E2266" t="s">
        <v>174</v>
      </c>
      <c r="F2266" t="s">
        <v>175</v>
      </c>
      <c r="G2266" t="s">
        <v>147</v>
      </c>
      <c r="H2266" s="3">
        <v>0.54999999999999993</v>
      </c>
      <c r="I2266">
        <v>7000</v>
      </c>
      <c r="J2266" s="4">
        <v>3849.9999999999995</v>
      </c>
      <c r="K2266" s="4">
        <v>1347.4999999999998</v>
      </c>
      <c r="L2266" s="5">
        <v>0.35</v>
      </c>
      <c r="M2266" t="s">
        <v>128</v>
      </c>
      <c r="N2266" t="s">
        <v>362</v>
      </c>
    </row>
    <row r="2267" spans="1:14">
      <c r="A2267" t="s">
        <v>29</v>
      </c>
      <c r="B2267">
        <v>1185732</v>
      </c>
      <c r="C2267" s="2">
        <v>44321</v>
      </c>
      <c r="D2267" t="s">
        <v>138</v>
      </c>
      <c r="E2267" t="s">
        <v>174</v>
      </c>
      <c r="F2267" t="s">
        <v>175</v>
      </c>
      <c r="G2267" t="s">
        <v>144</v>
      </c>
      <c r="H2267" s="3">
        <v>0.6</v>
      </c>
      <c r="I2267">
        <v>8000</v>
      </c>
      <c r="J2267" s="4">
        <v>4800</v>
      </c>
      <c r="K2267" s="4">
        <v>2400</v>
      </c>
      <c r="L2267" s="5">
        <v>0.5</v>
      </c>
      <c r="M2267" t="s">
        <v>128</v>
      </c>
      <c r="N2267" t="s">
        <v>362</v>
      </c>
    </row>
    <row r="2268" spans="1:14">
      <c r="A2268" t="s">
        <v>29</v>
      </c>
      <c r="B2268">
        <v>1185732</v>
      </c>
      <c r="C2268" s="2">
        <v>44354</v>
      </c>
      <c r="D2268" t="s">
        <v>138</v>
      </c>
      <c r="E2268" t="s">
        <v>174</v>
      </c>
      <c r="F2268" t="s">
        <v>175</v>
      </c>
      <c r="G2268" t="s">
        <v>27</v>
      </c>
      <c r="H2268" s="3">
        <v>0.54999999999999993</v>
      </c>
      <c r="I2268">
        <v>10500</v>
      </c>
      <c r="J2268" s="4">
        <v>5774.9999999999991</v>
      </c>
      <c r="K2268" s="4">
        <v>2598.7499999999995</v>
      </c>
      <c r="L2268" s="5">
        <v>0.45</v>
      </c>
      <c r="M2268" t="s">
        <v>129</v>
      </c>
      <c r="N2268" t="s">
        <v>362</v>
      </c>
    </row>
    <row r="2269" spans="1:14">
      <c r="A2269" t="s">
        <v>29</v>
      </c>
      <c r="B2269">
        <v>1185732</v>
      </c>
      <c r="C2269" s="2">
        <v>44354</v>
      </c>
      <c r="D2269" t="s">
        <v>138</v>
      </c>
      <c r="E2269" t="s">
        <v>174</v>
      </c>
      <c r="F2269" t="s">
        <v>175</v>
      </c>
      <c r="G2269" t="s">
        <v>145</v>
      </c>
      <c r="H2269" s="3">
        <v>0.5</v>
      </c>
      <c r="I2269">
        <v>8000</v>
      </c>
      <c r="J2269" s="4">
        <v>4000</v>
      </c>
      <c r="K2269" s="4">
        <v>1400</v>
      </c>
      <c r="L2269" s="5">
        <v>0.35</v>
      </c>
      <c r="M2269" t="s">
        <v>129</v>
      </c>
      <c r="N2269" t="s">
        <v>362</v>
      </c>
    </row>
    <row r="2270" spans="1:14">
      <c r="A2270" t="s">
        <v>29</v>
      </c>
      <c r="B2270">
        <v>1185732</v>
      </c>
      <c r="C2270" s="2">
        <v>44354</v>
      </c>
      <c r="D2270" t="s">
        <v>138</v>
      </c>
      <c r="E2270" t="s">
        <v>174</v>
      </c>
      <c r="F2270" t="s">
        <v>175</v>
      </c>
      <c r="G2270" t="s">
        <v>146</v>
      </c>
      <c r="H2270" s="3">
        <v>0.5</v>
      </c>
      <c r="I2270">
        <v>7750</v>
      </c>
      <c r="J2270" s="4">
        <v>3875</v>
      </c>
      <c r="K2270" s="4">
        <v>968.75</v>
      </c>
      <c r="L2270" s="5">
        <v>0.25</v>
      </c>
      <c r="M2270" t="s">
        <v>129</v>
      </c>
      <c r="N2270" t="s">
        <v>362</v>
      </c>
    </row>
    <row r="2271" spans="1:14">
      <c r="A2271" t="s">
        <v>29</v>
      </c>
      <c r="B2271">
        <v>1185732</v>
      </c>
      <c r="C2271" s="2">
        <v>44354</v>
      </c>
      <c r="D2271" t="s">
        <v>138</v>
      </c>
      <c r="E2271" t="s">
        <v>174</v>
      </c>
      <c r="F2271" t="s">
        <v>175</v>
      </c>
      <c r="G2271" t="s">
        <v>148</v>
      </c>
      <c r="H2271" s="3">
        <v>0.5</v>
      </c>
      <c r="I2271">
        <v>7500</v>
      </c>
      <c r="J2271" s="4">
        <v>3750</v>
      </c>
      <c r="K2271" s="4">
        <v>1125</v>
      </c>
      <c r="L2271" s="5">
        <v>0.3</v>
      </c>
      <c r="M2271" t="s">
        <v>129</v>
      </c>
      <c r="N2271" t="s">
        <v>362</v>
      </c>
    </row>
    <row r="2272" spans="1:14">
      <c r="A2272" t="s">
        <v>29</v>
      </c>
      <c r="B2272">
        <v>1185732</v>
      </c>
      <c r="C2272" s="2">
        <v>44354</v>
      </c>
      <c r="D2272" t="s">
        <v>138</v>
      </c>
      <c r="E2272" t="s">
        <v>174</v>
      </c>
      <c r="F2272" t="s">
        <v>175</v>
      </c>
      <c r="G2272" t="s">
        <v>147</v>
      </c>
      <c r="H2272" s="3">
        <v>0.65</v>
      </c>
      <c r="I2272">
        <v>7500</v>
      </c>
      <c r="J2272" s="4">
        <v>4875</v>
      </c>
      <c r="K2272" s="4">
        <v>1706.25</v>
      </c>
      <c r="L2272" s="5">
        <v>0.35</v>
      </c>
      <c r="M2272" t="s">
        <v>129</v>
      </c>
      <c r="N2272" t="s">
        <v>362</v>
      </c>
    </row>
    <row r="2273" spans="1:14">
      <c r="A2273" t="s">
        <v>29</v>
      </c>
      <c r="B2273">
        <v>1185732</v>
      </c>
      <c r="C2273" s="2">
        <v>44354</v>
      </c>
      <c r="D2273" t="s">
        <v>138</v>
      </c>
      <c r="E2273" t="s">
        <v>174</v>
      </c>
      <c r="F2273" t="s">
        <v>175</v>
      </c>
      <c r="G2273" t="s">
        <v>144</v>
      </c>
      <c r="H2273" s="3">
        <v>0.70000000000000007</v>
      </c>
      <c r="I2273">
        <v>9250</v>
      </c>
      <c r="J2273" s="4">
        <v>6475.0000000000009</v>
      </c>
      <c r="K2273" s="4">
        <v>3237.5000000000005</v>
      </c>
      <c r="L2273" s="5">
        <v>0.5</v>
      </c>
      <c r="M2273" t="s">
        <v>129</v>
      </c>
      <c r="N2273" t="s">
        <v>362</v>
      </c>
    </row>
    <row r="2274" spans="1:14">
      <c r="A2274" t="s">
        <v>29</v>
      </c>
      <c r="B2274">
        <v>1185732</v>
      </c>
      <c r="C2274" s="2">
        <v>44382</v>
      </c>
      <c r="D2274" t="s">
        <v>138</v>
      </c>
      <c r="E2274" t="s">
        <v>174</v>
      </c>
      <c r="F2274" t="s">
        <v>175</v>
      </c>
      <c r="G2274" t="s">
        <v>27</v>
      </c>
      <c r="H2274" s="3">
        <v>0.65</v>
      </c>
      <c r="I2274">
        <v>11500</v>
      </c>
      <c r="J2274" s="4">
        <v>7475</v>
      </c>
      <c r="K2274" s="4">
        <v>3363.75</v>
      </c>
      <c r="L2274" s="5">
        <v>0.45</v>
      </c>
      <c r="M2274" t="s">
        <v>130</v>
      </c>
      <c r="N2274" t="s">
        <v>363</v>
      </c>
    </row>
    <row r="2275" spans="1:14">
      <c r="A2275" t="s">
        <v>29</v>
      </c>
      <c r="B2275">
        <v>1185732</v>
      </c>
      <c r="C2275" s="2">
        <v>44382</v>
      </c>
      <c r="D2275" t="s">
        <v>138</v>
      </c>
      <c r="E2275" t="s">
        <v>174</v>
      </c>
      <c r="F2275" t="s">
        <v>175</v>
      </c>
      <c r="G2275" t="s">
        <v>145</v>
      </c>
      <c r="H2275" s="3">
        <v>0.60000000000000009</v>
      </c>
      <c r="I2275">
        <v>9000</v>
      </c>
      <c r="J2275" s="4">
        <v>5400.0000000000009</v>
      </c>
      <c r="K2275" s="4">
        <v>1890.0000000000002</v>
      </c>
      <c r="L2275" s="5">
        <v>0.35</v>
      </c>
      <c r="M2275" t="s">
        <v>130</v>
      </c>
      <c r="N2275" t="s">
        <v>363</v>
      </c>
    </row>
    <row r="2276" spans="1:14">
      <c r="A2276" t="s">
        <v>29</v>
      </c>
      <c r="B2276">
        <v>1185732</v>
      </c>
      <c r="C2276" s="2">
        <v>44382</v>
      </c>
      <c r="D2276" t="s">
        <v>138</v>
      </c>
      <c r="E2276" t="s">
        <v>174</v>
      </c>
      <c r="F2276" t="s">
        <v>175</v>
      </c>
      <c r="G2276" t="s">
        <v>146</v>
      </c>
      <c r="H2276" s="3">
        <v>0.55000000000000004</v>
      </c>
      <c r="I2276">
        <v>8250</v>
      </c>
      <c r="J2276" s="4">
        <v>4537.5</v>
      </c>
      <c r="K2276" s="4">
        <v>1134.375</v>
      </c>
      <c r="L2276" s="5">
        <v>0.25</v>
      </c>
      <c r="M2276" t="s">
        <v>130</v>
      </c>
      <c r="N2276" t="s">
        <v>363</v>
      </c>
    </row>
    <row r="2277" spans="1:14">
      <c r="A2277" t="s">
        <v>29</v>
      </c>
      <c r="B2277">
        <v>1185732</v>
      </c>
      <c r="C2277" s="2">
        <v>44382</v>
      </c>
      <c r="D2277" t="s">
        <v>138</v>
      </c>
      <c r="E2277" t="s">
        <v>174</v>
      </c>
      <c r="F2277" t="s">
        <v>175</v>
      </c>
      <c r="G2277" t="s">
        <v>148</v>
      </c>
      <c r="H2277" s="3">
        <v>0.55000000000000004</v>
      </c>
      <c r="I2277">
        <v>7750</v>
      </c>
      <c r="J2277" s="4">
        <v>4262.5</v>
      </c>
      <c r="K2277" s="4">
        <v>1278.75</v>
      </c>
      <c r="L2277" s="5">
        <v>0.3</v>
      </c>
      <c r="M2277" t="s">
        <v>130</v>
      </c>
      <c r="N2277" t="s">
        <v>363</v>
      </c>
    </row>
    <row r="2278" spans="1:14">
      <c r="A2278" t="s">
        <v>29</v>
      </c>
      <c r="B2278">
        <v>1185732</v>
      </c>
      <c r="C2278" s="2">
        <v>44382</v>
      </c>
      <c r="D2278" t="s">
        <v>138</v>
      </c>
      <c r="E2278" t="s">
        <v>174</v>
      </c>
      <c r="F2278" t="s">
        <v>175</v>
      </c>
      <c r="G2278" t="s">
        <v>147</v>
      </c>
      <c r="H2278" s="3">
        <v>0.65</v>
      </c>
      <c r="I2278">
        <v>8000</v>
      </c>
      <c r="J2278" s="4">
        <v>5200</v>
      </c>
      <c r="K2278" s="4">
        <v>1819.9999999999998</v>
      </c>
      <c r="L2278" s="5">
        <v>0.35</v>
      </c>
      <c r="M2278" t="s">
        <v>130</v>
      </c>
      <c r="N2278" t="s">
        <v>363</v>
      </c>
    </row>
    <row r="2279" spans="1:14">
      <c r="A2279" t="s">
        <v>29</v>
      </c>
      <c r="B2279">
        <v>1185732</v>
      </c>
      <c r="C2279" s="2">
        <v>44382</v>
      </c>
      <c r="D2279" t="s">
        <v>138</v>
      </c>
      <c r="E2279" t="s">
        <v>174</v>
      </c>
      <c r="F2279" t="s">
        <v>175</v>
      </c>
      <c r="G2279" t="s">
        <v>144</v>
      </c>
      <c r="H2279" s="3">
        <v>0.70000000000000007</v>
      </c>
      <c r="I2279">
        <v>9750</v>
      </c>
      <c r="J2279" s="4">
        <v>6825.0000000000009</v>
      </c>
      <c r="K2279" s="4">
        <v>3412.5000000000005</v>
      </c>
      <c r="L2279" s="5">
        <v>0.5</v>
      </c>
      <c r="M2279" t="s">
        <v>130</v>
      </c>
      <c r="N2279" t="s">
        <v>363</v>
      </c>
    </row>
    <row r="2280" spans="1:14">
      <c r="A2280" t="s">
        <v>29</v>
      </c>
      <c r="B2280">
        <v>1185732</v>
      </c>
      <c r="C2280" s="2">
        <v>44414</v>
      </c>
      <c r="D2280" t="s">
        <v>138</v>
      </c>
      <c r="E2280" t="s">
        <v>174</v>
      </c>
      <c r="F2280" t="s">
        <v>175</v>
      </c>
      <c r="G2280" t="s">
        <v>27</v>
      </c>
      <c r="H2280" s="3">
        <v>0.65</v>
      </c>
      <c r="I2280">
        <v>11250</v>
      </c>
      <c r="J2280" s="4">
        <v>7312.5</v>
      </c>
      <c r="K2280" s="4">
        <v>3290.625</v>
      </c>
      <c r="L2280" s="5">
        <v>0.45</v>
      </c>
      <c r="M2280" t="s">
        <v>131</v>
      </c>
      <c r="N2280" t="s">
        <v>363</v>
      </c>
    </row>
    <row r="2281" spans="1:14">
      <c r="A2281" t="s">
        <v>29</v>
      </c>
      <c r="B2281">
        <v>1185732</v>
      </c>
      <c r="C2281" s="2">
        <v>44414</v>
      </c>
      <c r="D2281" t="s">
        <v>138</v>
      </c>
      <c r="E2281" t="s">
        <v>174</v>
      </c>
      <c r="F2281" t="s">
        <v>175</v>
      </c>
      <c r="G2281" t="s">
        <v>145</v>
      </c>
      <c r="H2281" s="3">
        <v>0.60000000000000009</v>
      </c>
      <c r="I2281">
        <v>9000</v>
      </c>
      <c r="J2281" s="4">
        <v>5400.0000000000009</v>
      </c>
      <c r="K2281" s="4">
        <v>1890.0000000000002</v>
      </c>
      <c r="L2281" s="5">
        <v>0.35</v>
      </c>
      <c r="M2281" t="s">
        <v>131</v>
      </c>
      <c r="N2281" t="s">
        <v>363</v>
      </c>
    </row>
    <row r="2282" spans="1:14">
      <c r="A2282" t="s">
        <v>29</v>
      </c>
      <c r="B2282">
        <v>1185732</v>
      </c>
      <c r="C2282" s="2">
        <v>44414</v>
      </c>
      <c r="D2282" t="s">
        <v>138</v>
      </c>
      <c r="E2282" t="s">
        <v>174</v>
      </c>
      <c r="F2282" t="s">
        <v>175</v>
      </c>
      <c r="G2282" t="s">
        <v>146</v>
      </c>
      <c r="H2282" s="3">
        <v>0.55000000000000004</v>
      </c>
      <c r="I2282">
        <v>8250</v>
      </c>
      <c r="J2282" s="4">
        <v>4537.5</v>
      </c>
      <c r="K2282" s="4">
        <v>1134.375</v>
      </c>
      <c r="L2282" s="5">
        <v>0.25</v>
      </c>
      <c r="M2282" t="s">
        <v>131</v>
      </c>
      <c r="N2282" t="s">
        <v>363</v>
      </c>
    </row>
    <row r="2283" spans="1:14">
      <c r="A2283" t="s">
        <v>29</v>
      </c>
      <c r="B2283">
        <v>1185732</v>
      </c>
      <c r="C2283" s="2">
        <v>44414</v>
      </c>
      <c r="D2283" t="s">
        <v>138</v>
      </c>
      <c r="E2283" t="s">
        <v>174</v>
      </c>
      <c r="F2283" t="s">
        <v>175</v>
      </c>
      <c r="G2283" t="s">
        <v>148</v>
      </c>
      <c r="H2283" s="3">
        <v>0.45</v>
      </c>
      <c r="I2283">
        <v>7750</v>
      </c>
      <c r="J2283" s="4">
        <v>3487.5</v>
      </c>
      <c r="K2283" s="4">
        <v>1046.25</v>
      </c>
      <c r="L2283" s="5">
        <v>0.3</v>
      </c>
      <c r="M2283" t="s">
        <v>131</v>
      </c>
      <c r="N2283" t="s">
        <v>363</v>
      </c>
    </row>
    <row r="2284" spans="1:14">
      <c r="A2284" t="s">
        <v>29</v>
      </c>
      <c r="B2284">
        <v>1185732</v>
      </c>
      <c r="C2284" s="2">
        <v>44414</v>
      </c>
      <c r="D2284" t="s">
        <v>138</v>
      </c>
      <c r="E2284" t="s">
        <v>174</v>
      </c>
      <c r="F2284" t="s">
        <v>175</v>
      </c>
      <c r="G2284" t="s">
        <v>147</v>
      </c>
      <c r="H2284" s="3">
        <v>0.55000000000000004</v>
      </c>
      <c r="I2284">
        <v>7500</v>
      </c>
      <c r="J2284" s="4">
        <v>4125</v>
      </c>
      <c r="K2284" s="4">
        <v>1443.75</v>
      </c>
      <c r="L2284" s="5">
        <v>0.35</v>
      </c>
      <c r="M2284" t="s">
        <v>131</v>
      </c>
      <c r="N2284" t="s">
        <v>363</v>
      </c>
    </row>
    <row r="2285" spans="1:14">
      <c r="A2285" t="s">
        <v>29</v>
      </c>
      <c r="B2285">
        <v>1185732</v>
      </c>
      <c r="C2285" s="2">
        <v>44414</v>
      </c>
      <c r="D2285" t="s">
        <v>138</v>
      </c>
      <c r="E2285" t="s">
        <v>174</v>
      </c>
      <c r="F2285" t="s">
        <v>175</v>
      </c>
      <c r="G2285" t="s">
        <v>144</v>
      </c>
      <c r="H2285" s="3">
        <v>0.60000000000000009</v>
      </c>
      <c r="I2285">
        <v>9250</v>
      </c>
      <c r="J2285" s="4">
        <v>5550.0000000000009</v>
      </c>
      <c r="K2285" s="4">
        <v>2775.0000000000005</v>
      </c>
      <c r="L2285" s="5">
        <v>0.5</v>
      </c>
      <c r="M2285" t="s">
        <v>131</v>
      </c>
      <c r="N2285" t="s">
        <v>363</v>
      </c>
    </row>
    <row r="2286" spans="1:14">
      <c r="A2286" t="s">
        <v>29</v>
      </c>
      <c r="B2286">
        <v>1185732</v>
      </c>
      <c r="C2286" s="2">
        <v>44444</v>
      </c>
      <c r="D2286" t="s">
        <v>138</v>
      </c>
      <c r="E2286" t="s">
        <v>174</v>
      </c>
      <c r="F2286" t="s">
        <v>175</v>
      </c>
      <c r="G2286" t="s">
        <v>27</v>
      </c>
      <c r="H2286" s="3">
        <v>0.55000000000000004</v>
      </c>
      <c r="I2286">
        <v>10250</v>
      </c>
      <c r="J2286" s="4">
        <v>5637.5000000000009</v>
      </c>
      <c r="K2286" s="4">
        <v>2536.8750000000005</v>
      </c>
      <c r="L2286" s="5">
        <v>0.45</v>
      </c>
      <c r="M2286" t="s">
        <v>132</v>
      </c>
      <c r="N2286" t="s">
        <v>363</v>
      </c>
    </row>
    <row r="2287" spans="1:14">
      <c r="A2287" t="s">
        <v>29</v>
      </c>
      <c r="B2287">
        <v>1185732</v>
      </c>
      <c r="C2287" s="2">
        <v>44444</v>
      </c>
      <c r="D2287" t="s">
        <v>138</v>
      </c>
      <c r="E2287" t="s">
        <v>174</v>
      </c>
      <c r="F2287" t="s">
        <v>175</v>
      </c>
      <c r="G2287" t="s">
        <v>145</v>
      </c>
      <c r="H2287" s="3">
        <v>0.50000000000000011</v>
      </c>
      <c r="I2287">
        <v>8250</v>
      </c>
      <c r="J2287" s="4">
        <v>4125.0000000000009</v>
      </c>
      <c r="K2287" s="4">
        <v>1443.7500000000002</v>
      </c>
      <c r="L2287" s="5">
        <v>0.35</v>
      </c>
      <c r="M2287" t="s">
        <v>132</v>
      </c>
      <c r="N2287" t="s">
        <v>363</v>
      </c>
    </row>
    <row r="2288" spans="1:14">
      <c r="A2288" t="s">
        <v>29</v>
      </c>
      <c r="B2288">
        <v>1185732</v>
      </c>
      <c r="C2288" s="2">
        <v>44444</v>
      </c>
      <c r="D2288" t="s">
        <v>138</v>
      </c>
      <c r="E2288" t="s">
        <v>174</v>
      </c>
      <c r="F2288" t="s">
        <v>175</v>
      </c>
      <c r="G2288" t="s">
        <v>146</v>
      </c>
      <c r="H2288" s="3">
        <v>0.4</v>
      </c>
      <c r="I2288">
        <v>7250</v>
      </c>
      <c r="J2288" s="4">
        <v>2900</v>
      </c>
      <c r="K2288" s="4">
        <v>725</v>
      </c>
      <c r="L2288" s="5">
        <v>0.25</v>
      </c>
      <c r="M2288" t="s">
        <v>132</v>
      </c>
      <c r="N2288" t="s">
        <v>363</v>
      </c>
    </row>
    <row r="2289" spans="1:14">
      <c r="A2289" t="s">
        <v>29</v>
      </c>
      <c r="B2289">
        <v>1185732</v>
      </c>
      <c r="C2289" s="2">
        <v>44444</v>
      </c>
      <c r="D2289" t="s">
        <v>138</v>
      </c>
      <c r="E2289" t="s">
        <v>174</v>
      </c>
      <c r="F2289" t="s">
        <v>175</v>
      </c>
      <c r="G2289" t="s">
        <v>148</v>
      </c>
      <c r="H2289" s="3">
        <v>0.4</v>
      </c>
      <c r="I2289">
        <v>7000</v>
      </c>
      <c r="J2289" s="4">
        <v>2800</v>
      </c>
      <c r="K2289" s="4">
        <v>840</v>
      </c>
      <c r="L2289" s="5">
        <v>0.3</v>
      </c>
      <c r="M2289" t="s">
        <v>132</v>
      </c>
      <c r="N2289" t="s">
        <v>363</v>
      </c>
    </row>
    <row r="2290" spans="1:14">
      <c r="A2290" t="s">
        <v>29</v>
      </c>
      <c r="B2290">
        <v>1185732</v>
      </c>
      <c r="C2290" s="2">
        <v>44444</v>
      </c>
      <c r="D2290" t="s">
        <v>138</v>
      </c>
      <c r="E2290" t="s">
        <v>174</v>
      </c>
      <c r="F2290" t="s">
        <v>175</v>
      </c>
      <c r="G2290" t="s">
        <v>147</v>
      </c>
      <c r="H2290" s="3">
        <v>0.5</v>
      </c>
      <c r="I2290">
        <v>7000</v>
      </c>
      <c r="J2290" s="4">
        <v>3500</v>
      </c>
      <c r="K2290" s="4">
        <v>1225</v>
      </c>
      <c r="L2290" s="5">
        <v>0.35</v>
      </c>
      <c r="M2290" t="s">
        <v>132</v>
      </c>
      <c r="N2290" t="s">
        <v>363</v>
      </c>
    </row>
    <row r="2291" spans="1:14">
      <c r="A2291" t="s">
        <v>29</v>
      </c>
      <c r="B2291">
        <v>1185732</v>
      </c>
      <c r="C2291" s="2">
        <v>44444</v>
      </c>
      <c r="D2291" t="s">
        <v>138</v>
      </c>
      <c r="E2291" t="s">
        <v>174</v>
      </c>
      <c r="F2291" t="s">
        <v>175</v>
      </c>
      <c r="G2291" t="s">
        <v>144</v>
      </c>
      <c r="H2291" s="3">
        <v>0.55000000000000004</v>
      </c>
      <c r="I2291">
        <v>8000</v>
      </c>
      <c r="J2291" s="4">
        <v>4400</v>
      </c>
      <c r="K2291" s="4">
        <v>2200</v>
      </c>
      <c r="L2291" s="5">
        <v>0.5</v>
      </c>
      <c r="M2291" t="s">
        <v>132</v>
      </c>
      <c r="N2291" t="s">
        <v>363</v>
      </c>
    </row>
    <row r="2292" spans="1:14">
      <c r="A2292" t="s">
        <v>29</v>
      </c>
      <c r="B2292">
        <v>1185732</v>
      </c>
      <c r="C2292" s="2">
        <v>44476</v>
      </c>
      <c r="D2292" t="s">
        <v>138</v>
      </c>
      <c r="E2292" t="s">
        <v>174</v>
      </c>
      <c r="F2292" t="s">
        <v>175</v>
      </c>
      <c r="G2292" t="s">
        <v>27</v>
      </c>
      <c r="H2292" s="3">
        <v>0.55000000000000004</v>
      </c>
      <c r="I2292">
        <v>9750</v>
      </c>
      <c r="J2292" s="4">
        <v>5362.5</v>
      </c>
      <c r="K2292" s="4">
        <v>2413.125</v>
      </c>
      <c r="L2292" s="5">
        <v>0.45</v>
      </c>
      <c r="M2292" t="s">
        <v>133</v>
      </c>
      <c r="N2292" t="s">
        <v>364</v>
      </c>
    </row>
    <row r="2293" spans="1:14">
      <c r="A2293" t="s">
        <v>29</v>
      </c>
      <c r="B2293">
        <v>1185732</v>
      </c>
      <c r="C2293" s="2">
        <v>44476</v>
      </c>
      <c r="D2293" t="s">
        <v>138</v>
      </c>
      <c r="E2293" t="s">
        <v>174</v>
      </c>
      <c r="F2293" t="s">
        <v>175</v>
      </c>
      <c r="G2293" t="s">
        <v>145</v>
      </c>
      <c r="H2293" s="3">
        <v>0.45000000000000012</v>
      </c>
      <c r="I2293">
        <v>8000</v>
      </c>
      <c r="J2293" s="4">
        <v>3600.0000000000009</v>
      </c>
      <c r="K2293" s="4">
        <v>1260.0000000000002</v>
      </c>
      <c r="L2293" s="5">
        <v>0.35</v>
      </c>
      <c r="M2293" t="s">
        <v>133</v>
      </c>
      <c r="N2293" t="s">
        <v>364</v>
      </c>
    </row>
    <row r="2294" spans="1:14">
      <c r="A2294" t="s">
        <v>29</v>
      </c>
      <c r="B2294">
        <v>1185732</v>
      </c>
      <c r="C2294" s="2">
        <v>44476</v>
      </c>
      <c r="D2294" t="s">
        <v>138</v>
      </c>
      <c r="E2294" t="s">
        <v>174</v>
      </c>
      <c r="F2294" t="s">
        <v>175</v>
      </c>
      <c r="G2294" t="s">
        <v>146</v>
      </c>
      <c r="H2294" s="3">
        <v>0.45000000000000012</v>
      </c>
      <c r="I2294">
        <v>6750</v>
      </c>
      <c r="J2294" s="4">
        <v>3037.5000000000009</v>
      </c>
      <c r="K2294" s="4">
        <v>759.37500000000023</v>
      </c>
      <c r="L2294" s="5">
        <v>0.25</v>
      </c>
      <c r="M2294" t="s">
        <v>133</v>
      </c>
      <c r="N2294" t="s">
        <v>364</v>
      </c>
    </row>
    <row r="2295" spans="1:14">
      <c r="A2295" t="s">
        <v>29</v>
      </c>
      <c r="B2295">
        <v>1185732</v>
      </c>
      <c r="C2295" s="2">
        <v>44476</v>
      </c>
      <c r="D2295" t="s">
        <v>138</v>
      </c>
      <c r="E2295" t="s">
        <v>174</v>
      </c>
      <c r="F2295" t="s">
        <v>175</v>
      </c>
      <c r="G2295" t="s">
        <v>148</v>
      </c>
      <c r="H2295" s="3">
        <v>0.45000000000000012</v>
      </c>
      <c r="I2295">
        <v>6500</v>
      </c>
      <c r="J2295" s="4">
        <v>2925.0000000000009</v>
      </c>
      <c r="K2295" s="4">
        <v>877.50000000000023</v>
      </c>
      <c r="L2295" s="5">
        <v>0.3</v>
      </c>
      <c r="M2295" t="s">
        <v>133</v>
      </c>
      <c r="N2295" t="s">
        <v>364</v>
      </c>
    </row>
    <row r="2296" spans="1:14">
      <c r="A2296" t="s">
        <v>29</v>
      </c>
      <c r="B2296">
        <v>1185732</v>
      </c>
      <c r="C2296" s="2">
        <v>44476</v>
      </c>
      <c r="D2296" t="s">
        <v>138</v>
      </c>
      <c r="E2296" t="s">
        <v>174</v>
      </c>
      <c r="F2296" t="s">
        <v>175</v>
      </c>
      <c r="G2296" t="s">
        <v>147</v>
      </c>
      <c r="H2296" s="3">
        <v>0.55000000000000004</v>
      </c>
      <c r="I2296">
        <v>6500</v>
      </c>
      <c r="J2296" s="4">
        <v>3575.0000000000005</v>
      </c>
      <c r="K2296" s="4">
        <v>1251.25</v>
      </c>
      <c r="L2296" s="5">
        <v>0.35</v>
      </c>
      <c r="M2296" t="s">
        <v>133</v>
      </c>
      <c r="N2296" t="s">
        <v>364</v>
      </c>
    </row>
    <row r="2297" spans="1:14">
      <c r="A2297" t="s">
        <v>29</v>
      </c>
      <c r="B2297">
        <v>1185732</v>
      </c>
      <c r="C2297" s="2">
        <v>44476</v>
      </c>
      <c r="D2297" t="s">
        <v>138</v>
      </c>
      <c r="E2297" t="s">
        <v>174</v>
      </c>
      <c r="F2297" t="s">
        <v>175</v>
      </c>
      <c r="G2297" t="s">
        <v>144</v>
      </c>
      <c r="H2297" s="3">
        <v>0.6</v>
      </c>
      <c r="I2297">
        <v>7750</v>
      </c>
      <c r="J2297" s="4">
        <v>4650</v>
      </c>
      <c r="K2297" s="4">
        <v>2325</v>
      </c>
      <c r="L2297" s="5">
        <v>0.5</v>
      </c>
      <c r="M2297" t="s">
        <v>133</v>
      </c>
      <c r="N2297" t="s">
        <v>364</v>
      </c>
    </row>
    <row r="2298" spans="1:14">
      <c r="A2298" t="s">
        <v>29</v>
      </c>
      <c r="B2298">
        <v>1185732</v>
      </c>
      <c r="C2298" s="2">
        <v>44506</v>
      </c>
      <c r="D2298" t="s">
        <v>138</v>
      </c>
      <c r="E2298" t="s">
        <v>174</v>
      </c>
      <c r="F2298" t="s">
        <v>175</v>
      </c>
      <c r="G2298" t="s">
        <v>27</v>
      </c>
      <c r="H2298" s="3">
        <v>0.55000000000000004</v>
      </c>
      <c r="I2298">
        <v>9250</v>
      </c>
      <c r="J2298" s="4">
        <v>5087.5</v>
      </c>
      <c r="K2298" s="4">
        <v>2289.375</v>
      </c>
      <c r="L2298" s="5">
        <v>0.45</v>
      </c>
      <c r="M2298" t="s">
        <v>134</v>
      </c>
      <c r="N2298" t="s">
        <v>364</v>
      </c>
    </row>
    <row r="2299" spans="1:14">
      <c r="A2299" t="s">
        <v>29</v>
      </c>
      <c r="B2299">
        <v>1185732</v>
      </c>
      <c r="C2299" s="2">
        <v>44506</v>
      </c>
      <c r="D2299" t="s">
        <v>138</v>
      </c>
      <c r="E2299" t="s">
        <v>174</v>
      </c>
      <c r="F2299" t="s">
        <v>175</v>
      </c>
      <c r="G2299" t="s">
        <v>145</v>
      </c>
      <c r="H2299" s="3">
        <v>0.45000000000000012</v>
      </c>
      <c r="I2299">
        <v>7500</v>
      </c>
      <c r="J2299" s="4">
        <v>3375.0000000000009</v>
      </c>
      <c r="K2299" s="4">
        <v>1181.2500000000002</v>
      </c>
      <c r="L2299" s="5">
        <v>0.35</v>
      </c>
      <c r="M2299" t="s">
        <v>134</v>
      </c>
      <c r="N2299" t="s">
        <v>364</v>
      </c>
    </row>
    <row r="2300" spans="1:14">
      <c r="A2300" t="s">
        <v>29</v>
      </c>
      <c r="B2300">
        <v>1185732</v>
      </c>
      <c r="C2300" s="2">
        <v>44506</v>
      </c>
      <c r="D2300" t="s">
        <v>138</v>
      </c>
      <c r="E2300" t="s">
        <v>174</v>
      </c>
      <c r="F2300" t="s">
        <v>175</v>
      </c>
      <c r="G2300" t="s">
        <v>146</v>
      </c>
      <c r="H2300" s="3">
        <v>0.45000000000000012</v>
      </c>
      <c r="I2300">
        <v>6950</v>
      </c>
      <c r="J2300" s="4">
        <v>3127.5000000000009</v>
      </c>
      <c r="K2300" s="4">
        <v>781.87500000000023</v>
      </c>
      <c r="L2300" s="5">
        <v>0.25</v>
      </c>
      <c r="M2300" t="s">
        <v>134</v>
      </c>
      <c r="N2300" t="s">
        <v>364</v>
      </c>
    </row>
    <row r="2301" spans="1:14">
      <c r="A2301" t="s">
        <v>29</v>
      </c>
      <c r="B2301">
        <v>1185732</v>
      </c>
      <c r="C2301" s="2">
        <v>44506</v>
      </c>
      <c r="D2301" t="s">
        <v>138</v>
      </c>
      <c r="E2301" t="s">
        <v>174</v>
      </c>
      <c r="F2301" t="s">
        <v>175</v>
      </c>
      <c r="G2301" t="s">
        <v>148</v>
      </c>
      <c r="H2301" s="3">
        <v>0.55000000000000016</v>
      </c>
      <c r="I2301">
        <v>7500</v>
      </c>
      <c r="J2301" s="4">
        <v>4125.0000000000009</v>
      </c>
      <c r="K2301" s="4">
        <v>1237.5000000000002</v>
      </c>
      <c r="L2301" s="5">
        <v>0.3</v>
      </c>
      <c r="M2301" t="s">
        <v>134</v>
      </c>
      <c r="N2301" t="s">
        <v>364</v>
      </c>
    </row>
    <row r="2302" spans="1:14">
      <c r="A2302" t="s">
        <v>29</v>
      </c>
      <c r="B2302">
        <v>1185732</v>
      </c>
      <c r="C2302" s="2">
        <v>44506</v>
      </c>
      <c r="D2302" t="s">
        <v>138</v>
      </c>
      <c r="E2302" t="s">
        <v>174</v>
      </c>
      <c r="F2302" t="s">
        <v>175</v>
      </c>
      <c r="G2302" t="s">
        <v>147</v>
      </c>
      <c r="H2302" s="3">
        <v>0.70000000000000007</v>
      </c>
      <c r="I2302">
        <v>7250</v>
      </c>
      <c r="J2302" s="4">
        <v>5075.0000000000009</v>
      </c>
      <c r="K2302" s="4">
        <v>1776.2500000000002</v>
      </c>
      <c r="L2302" s="5">
        <v>0.35</v>
      </c>
      <c r="M2302" t="s">
        <v>134</v>
      </c>
      <c r="N2302" t="s">
        <v>364</v>
      </c>
    </row>
    <row r="2303" spans="1:14">
      <c r="A2303" t="s">
        <v>29</v>
      </c>
      <c r="B2303">
        <v>1185732</v>
      </c>
      <c r="C2303" s="2">
        <v>44506</v>
      </c>
      <c r="D2303" t="s">
        <v>138</v>
      </c>
      <c r="E2303" t="s">
        <v>174</v>
      </c>
      <c r="F2303" t="s">
        <v>175</v>
      </c>
      <c r="G2303" t="s">
        <v>144</v>
      </c>
      <c r="H2303" s="3">
        <v>0.75</v>
      </c>
      <c r="I2303">
        <v>8250</v>
      </c>
      <c r="J2303" s="4">
        <v>6187.5</v>
      </c>
      <c r="K2303" s="4">
        <v>3093.75</v>
      </c>
      <c r="L2303" s="5">
        <v>0.5</v>
      </c>
      <c r="M2303" t="s">
        <v>134</v>
      </c>
      <c r="N2303" t="s">
        <v>364</v>
      </c>
    </row>
    <row r="2304" spans="1:14">
      <c r="A2304" t="s">
        <v>29</v>
      </c>
      <c r="B2304">
        <v>1185732</v>
      </c>
      <c r="C2304" s="2">
        <v>44535</v>
      </c>
      <c r="D2304" t="s">
        <v>138</v>
      </c>
      <c r="E2304" t="s">
        <v>174</v>
      </c>
      <c r="F2304" t="s">
        <v>175</v>
      </c>
      <c r="G2304" t="s">
        <v>27</v>
      </c>
      <c r="H2304" s="3">
        <v>0.70000000000000007</v>
      </c>
      <c r="I2304">
        <v>10750</v>
      </c>
      <c r="J2304" s="4">
        <v>7525.0000000000009</v>
      </c>
      <c r="K2304" s="4">
        <v>3386.2500000000005</v>
      </c>
      <c r="L2304" s="5">
        <v>0.45</v>
      </c>
      <c r="M2304" t="s">
        <v>23</v>
      </c>
      <c r="N2304" t="s">
        <v>364</v>
      </c>
    </row>
    <row r="2305" spans="1:14">
      <c r="A2305" t="s">
        <v>29</v>
      </c>
      <c r="B2305">
        <v>1185732</v>
      </c>
      <c r="C2305" s="2">
        <v>44535</v>
      </c>
      <c r="D2305" t="s">
        <v>138</v>
      </c>
      <c r="E2305" t="s">
        <v>174</v>
      </c>
      <c r="F2305" t="s">
        <v>175</v>
      </c>
      <c r="G2305" t="s">
        <v>145</v>
      </c>
      <c r="H2305" s="3">
        <v>0.60000000000000009</v>
      </c>
      <c r="I2305">
        <v>8750</v>
      </c>
      <c r="J2305" s="4">
        <v>5250.0000000000009</v>
      </c>
      <c r="K2305" s="4">
        <v>1837.5000000000002</v>
      </c>
      <c r="L2305" s="5">
        <v>0.35</v>
      </c>
      <c r="M2305" t="s">
        <v>23</v>
      </c>
      <c r="N2305" t="s">
        <v>364</v>
      </c>
    </row>
    <row r="2306" spans="1:14">
      <c r="A2306" t="s">
        <v>29</v>
      </c>
      <c r="B2306">
        <v>1185732</v>
      </c>
      <c r="C2306" s="2">
        <v>44535</v>
      </c>
      <c r="D2306" t="s">
        <v>138</v>
      </c>
      <c r="E2306" t="s">
        <v>174</v>
      </c>
      <c r="F2306" t="s">
        <v>175</v>
      </c>
      <c r="G2306" t="s">
        <v>146</v>
      </c>
      <c r="H2306" s="3">
        <v>0.60000000000000009</v>
      </c>
      <c r="I2306">
        <v>8250</v>
      </c>
      <c r="J2306" s="4">
        <v>4950.0000000000009</v>
      </c>
      <c r="K2306" s="4">
        <v>1237.5000000000002</v>
      </c>
      <c r="L2306" s="5">
        <v>0.25</v>
      </c>
      <c r="M2306" t="s">
        <v>23</v>
      </c>
      <c r="N2306" t="s">
        <v>364</v>
      </c>
    </row>
    <row r="2307" spans="1:14">
      <c r="A2307" t="s">
        <v>29</v>
      </c>
      <c r="B2307">
        <v>1185732</v>
      </c>
      <c r="C2307" s="2">
        <v>44535</v>
      </c>
      <c r="D2307" t="s">
        <v>138</v>
      </c>
      <c r="E2307" t="s">
        <v>174</v>
      </c>
      <c r="F2307" t="s">
        <v>175</v>
      </c>
      <c r="G2307" t="s">
        <v>148</v>
      </c>
      <c r="H2307" s="3">
        <v>0.60000000000000009</v>
      </c>
      <c r="I2307">
        <v>7750</v>
      </c>
      <c r="J2307" s="4">
        <v>4650.0000000000009</v>
      </c>
      <c r="K2307" s="4">
        <v>1395.0000000000002</v>
      </c>
      <c r="L2307" s="5">
        <v>0.3</v>
      </c>
      <c r="M2307" t="s">
        <v>23</v>
      </c>
      <c r="N2307" t="s">
        <v>364</v>
      </c>
    </row>
    <row r="2308" spans="1:14">
      <c r="A2308" t="s">
        <v>29</v>
      </c>
      <c r="B2308">
        <v>1185732</v>
      </c>
      <c r="C2308" s="2">
        <v>44535</v>
      </c>
      <c r="D2308" t="s">
        <v>138</v>
      </c>
      <c r="E2308" t="s">
        <v>174</v>
      </c>
      <c r="F2308" t="s">
        <v>175</v>
      </c>
      <c r="G2308" t="s">
        <v>147</v>
      </c>
      <c r="H2308" s="3">
        <v>0.70000000000000007</v>
      </c>
      <c r="I2308">
        <v>7750</v>
      </c>
      <c r="J2308" s="4">
        <v>5425.0000000000009</v>
      </c>
      <c r="K2308" s="4">
        <v>1898.7500000000002</v>
      </c>
      <c r="L2308" s="5">
        <v>0.35</v>
      </c>
      <c r="M2308" t="s">
        <v>23</v>
      </c>
      <c r="N2308" t="s">
        <v>364</v>
      </c>
    </row>
    <row r="2309" spans="1:14">
      <c r="A2309" t="s">
        <v>29</v>
      </c>
      <c r="B2309">
        <v>1185732</v>
      </c>
      <c r="C2309" s="2">
        <v>44535</v>
      </c>
      <c r="D2309" t="s">
        <v>138</v>
      </c>
      <c r="E2309" t="s">
        <v>174</v>
      </c>
      <c r="F2309" t="s">
        <v>175</v>
      </c>
      <c r="G2309" t="s">
        <v>144</v>
      </c>
      <c r="H2309" s="3">
        <v>0.75</v>
      </c>
      <c r="I2309">
        <v>8750</v>
      </c>
      <c r="J2309" s="4">
        <v>6562.5</v>
      </c>
      <c r="K2309" s="4">
        <v>3281.25</v>
      </c>
      <c r="L2309" s="5">
        <v>0.5</v>
      </c>
      <c r="M2309" t="s">
        <v>23</v>
      </c>
      <c r="N2309" t="s">
        <v>364</v>
      </c>
    </row>
    <row r="2310" spans="1:14">
      <c r="A2310" t="s">
        <v>29</v>
      </c>
      <c r="B2310">
        <v>1185732</v>
      </c>
      <c r="C2310" s="2">
        <v>44202</v>
      </c>
      <c r="D2310" t="s">
        <v>138</v>
      </c>
      <c r="E2310" t="s">
        <v>181</v>
      </c>
      <c r="F2310" t="s">
        <v>186</v>
      </c>
      <c r="G2310" t="s">
        <v>27</v>
      </c>
      <c r="H2310" s="3">
        <v>0.35000000000000003</v>
      </c>
      <c r="I2310">
        <v>9250</v>
      </c>
      <c r="J2310" s="4">
        <v>3237.5000000000005</v>
      </c>
      <c r="K2310" s="4">
        <v>1295.0000000000002</v>
      </c>
      <c r="L2310" s="5">
        <v>0.4</v>
      </c>
      <c r="M2310" t="s">
        <v>125</v>
      </c>
      <c r="N2310" t="s">
        <v>361</v>
      </c>
    </row>
    <row r="2311" spans="1:14">
      <c r="A2311" t="s">
        <v>29</v>
      </c>
      <c r="B2311">
        <v>1185732</v>
      </c>
      <c r="C2311" s="2">
        <v>44202</v>
      </c>
      <c r="D2311" t="s">
        <v>138</v>
      </c>
      <c r="E2311" t="s">
        <v>181</v>
      </c>
      <c r="F2311" t="s">
        <v>186</v>
      </c>
      <c r="G2311" t="s">
        <v>145</v>
      </c>
      <c r="H2311" s="3">
        <v>0.35000000000000003</v>
      </c>
      <c r="I2311">
        <v>7250</v>
      </c>
      <c r="J2311" s="4">
        <v>2537.5000000000005</v>
      </c>
      <c r="K2311" s="4">
        <v>888.12500000000011</v>
      </c>
      <c r="L2311" s="5">
        <v>0.35</v>
      </c>
      <c r="M2311" t="s">
        <v>125</v>
      </c>
      <c r="N2311" t="s">
        <v>361</v>
      </c>
    </row>
    <row r="2312" spans="1:14">
      <c r="A2312" t="s">
        <v>29</v>
      </c>
      <c r="B2312">
        <v>1185732</v>
      </c>
      <c r="C2312" s="2">
        <v>44202</v>
      </c>
      <c r="D2312" t="s">
        <v>138</v>
      </c>
      <c r="E2312" t="s">
        <v>181</v>
      </c>
      <c r="F2312" t="s">
        <v>186</v>
      </c>
      <c r="G2312" t="s">
        <v>146</v>
      </c>
      <c r="H2312" s="3">
        <v>0.25000000000000006</v>
      </c>
      <c r="I2312">
        <v>7250</v>
      </c>
      <c r="J2312" s="4">
        <v>1812.5000000000005</v>
      </c>
      <c r="K2312" s="4">
        <v>725.00000000000023</v>
      </c>
      <c r="L2312" s="5">
        <v>0.4</v>
      </c>
      <c r="M2312" t="s">
        <v>125</v>
      </c>
      <c r="N2312" t="s">
        <v>361</v>
      </c>
    </row>
    <row r="2313" spans="1:14">
      <c r="A2313" t="s">
        <v>29</v>
      </c>
      <c r="B2313">
        <v>1185732</v>
      </c>
      <c r="C2313" s="2">
        <v>44202</v>
      </c>
      <c r="D2313" t="s">
        <v>138</v>
      </c>
      <c r="E2313" t="s">
        <v>181</v>
      </c>
      <c r="F2313" t="s">
        <v>186</v>
      </c>
      <c r="G2313" t="s">
        <v>148</v>
      </c>
      <c r="H2313" s="3">
        <v>0.3</v>
      </c>
      <c r="I2313">
        <v>5750</v>
      </c>
      <c r="J2313" s="4">
        <v>1725</v>
      </c>
      <c r="K2313" s="4">
        <v>690</v>
      </c>
      <c r="L2313" s="5">
        <v>0.4</v>
      </c>
      <c r="M2313" t="s">
        <v>125</v>
      </c>
      <c r="N2313" t="s">
        <v>361</v>
      </c>
    </row>
    <row r="2314" spans="1:14">
      <c r="A2314" t="s">
        <v>29</v>
      </c>
      <c r="B2314">
        <v>1185732</v>
      </c>
      <c r="C2314" s="2">
        <v>44202</v>
      </c>
      <c r="D2314" t="s">
        <v>138</v>
      </c>
      <c r="E2314" t="s">
        <v>181</v>
      </c>
      <c r="F2314" t="s">
        <v>186</v>
      </c>
      <c r="G2314" t="s">
        <v>147</v>
      </c>
      <c r="H2314" s="3">
        <v>0.45</v>
      </c>
      <c r="I2314">
        <v>6250</v>
      </c>
      <c r="J2314" s="4">
        <v>2812.5</v>
      </c>
      <c r="K2314" s="4">
        <v>984.37499999999989</v>
      </c>
      <c r="L2314" s="5">
        <v>0.35</v>
      </c>
      <c r="M2314" t="s">
        <v>125</v>
      </c>
      <c r="N2314" t="s">
        <v>361</v>
      </c>
    </row>
    <row r="2315" spans="1:14">
      <c r="A2315" t="s">
        <v>29</v>
      </c>
      <c r="B2315">
        <v>1185732</v>
      </c>
      <c r="C2315" s="2">
        <v>44202</v>
      </c>
      <c r="D2315" t="s">
        <v>138</v>
      </c>
      <c r="E2315" t="s">
        <v>181</v>
      </c>
      <c r="F2315" t="s">
        <v>186</v>
      </c>
      <c r="G2315" t="s">
        <v>144</v>
      </c>
      <c r="H2315" s="3">
        <v>0.35000000000000003</v>
      </c>
      <c r="I2315">
        <v>7250</v>
      </c>
      <c r="J2315" s="4">
        <v>2537.5000000000005</v>
      </c>
      <c r="K2315" s="4">
        <v>1268.7500000000002</v>
      </c>
      <c r="L2315" s="5">
        <v>0.5</v>
      </c>
      <c r="M2315" t="s">
        <v>125</v>
      </c>
      <c r="N2315" t="s">
        <v>361</v>
      </c>
    </row>
    <row r="2316" spans="1:14">
      <c r="A2316" t="s">
        <v>29</v>
      </c>
      <c r="B2316">
        <v>1185732</v>
      </c>
      <c r="C2316" s="2">
        <v>44231</v>
      </c>
      <c r="D2316" t="s">
        <v>138</v>
      </c>
      <c r="E2316" t="s">
        <v>181</v>
      </c>
      <c r="F2316" t="s">
        <v>186</v>
      </c>
      <c r="G2316" t="s">
        <v>27</v>
      </c>
      <c r="H2316" s="3">
        <v>0.35000000000000003</v>
      </c>
      <c r="I2316">
        <v>9750</v>
      </c>
      <c r="J2316" s="4">
        <v>3412.5000000000005</v>
      </c>
      <c r="K2316" s="4">
        <v>1365.0000000000002</v>
      </c>
      <c r="L2316" s="5">
        <v>0.4</v>
      </c>
      <c r="M2316" t="s">
        <v>126</v>
      </c>
      <c r="N2316" t="s">
        <v>361</v>
      </c>
    </row>
    <row r="2317" spans="1:14">
      <c r="A2317" t="s">
        <v>29</v>
      </c>
      <c r="B2317">
        <v>1185732</v>
      </c>
      <c r="C2317" s="2">
        <v>44231</v>
      </c>
      <c r="D2317" t="s">
        <v>138</v>
      </c>
      <c r="E2317" t="s">
        <v>181</v>
      </c>
      <c r="F2317" t="s">
        <v>186</v>
      </c>
      <c r="G2317" t="s">
        <v>145</v>
      </c>
      <c r="H2317" s="3">
        <v>0.35000000000000003</v>
      </c>
      <c r="I2317">
        <v>6250</v>
      </c>
      <c r="J2317" s="4">
        <v>2187.5</v>
      </c>
      <c r="K2317" s="4">
        <v>765.625</v>
      </c>
      <c r="L2317" s="5">
        <v>0.35</v>
      </c>
      <c r="M2317" t="s">
        <v>126</v>
      </c>
      <c r="N2317" t="s">
        <v>361</v>
      </c>
    </row>
    <row r="2318" spans="1:14">
      <c r="A2318" t="s">
        <v>29</v>
      </c>
      <c r="B2318">
        <v>1185732</v>
      </c>
      <c r="C2318" s="2">
        <v>44231</v>
      </c>
      <c r="D2318" t="s">
        <v>138</v>
      </c>
      <c r="E2318" t="s">
        <v>181</v>
      </c>
      <c r="F2318" t="s">
        <v>186</v>
      </c>
      <c r="G2318" t="s">
        <v>146</v>
      </c>
      <c r="H2318" s="3">
        <v>0.25000000000000006</v>
      </c>
      <c r="I2318">
        <v>6750</v>
      </c>
      <c r="J2318" s="4">
        <v>1687.5000000000005</v>
      </c>
      <c r="K2318" s="4">
        <v>675.00000000000023</v>
      </c>
      <c r="L2318" s="5">
        <v>0.4</v>
      </c>
      <c r="M2318" t="s">
        <v>126</v>
      </c>
      <c r="N2318" t="s">
        <v>361</v>
      </c>
    </row>
    <row r="2319" spans="1:14">
      <c r="A2319" t="s">
        <v>29</v>
      </c>
      <c r="B2319">
        <v>1185732</v>
      </c>
      <c r="C2319" s="2">
        <v>44231</v>
      </c>
      <c r="D2319" t="s">
        <v>138</v>
      </c>
      <c r="E2319" t="s">
        <v>181</v>
      </c>
      <c r="F2319" t="s">
        <v>186</v>
      </c>
      <c r="G2319" t="s">
        <v>148</v>
      </c>
      <c r="H2319" s="3">
        <v>0.3</v>
      </c>
      <c r="I2319">
        <v>5250</v>
      </c>
      <c r="J2319" s="4">
        <v>1575</v>
      </c>
      <c r="K2319" s="4">
        <v>630</v>
      </c>
      <c r="L2319" s="5">
        <v>0.4</v>
      </c>
      <c r="M2319" t="s">
        <v>126</v>
      </c>
      <c r="N2319" t="s">
        <v>361</v>
      </c>
    </row>
    <row r="2320" spans="1:14">
      <c r="A2320" t="s">
        <v>29</v>
      </c>
      <c r="B2320">
        <v>1185732</v>
      </c>
      <c r="C2320" s="2">
        <v>44231</v>
      </c>
      <c r="D2320" t="s">
        <v>138</v>
      </c>
      <c r="E2320" t="s">
        <v>181</v>
      </c>
      <c r="F2320" t="s">
        <v>186</v>
      </c>
      <c r="G2320" t="s">
        <v>147</v>
      </c>
      <c r="H2320" s="3">
        <v>0.45</v>
      </c>
      <c r="I2320">
        <v>6000</v>
      </c>
      <c r="J2320" s="4">
        <v>2700</v>
      </c>
      <c r="K2320" s="4">
        <v>944.99999999999989</v>
      </c>
      <c r="L2320" s="5">
        <v>0.35</v>
      </c>
      <c r="M2320" t="s">
        <v>126</v>
      </c>
      <c r="N2320" t="s">
        <v>361</v>
      </c>
    </row>
    <row r="2321" spans="1:14">
      <c r="A2321" t="s">
        <v>29</v>
      </c>
      <c r="B2321">
        <v>1185732</v>
      </c>
      <c r="C2321" s="2">
        <v>44231</v>
      </c>
      <c r="D2321" t="s">
        <v>138</v>
      </c>
      <c r="E2321" t="s">
        <v>181</v>
      </c>
      <c r="F2321" t="s">
        <v>186</v>
      </c>
      <c r="G2321" t="s">
        <v>144</v>
      </c>
      <c r="H2321" s="3">
        <v>0.3</v>
      </c>
      <c r="I2321">
        <v>7000</v>
      </c>
      <c r="J2321" s="4">
        <v>2100</v>
      </c>
      <c r="K2321" s="4">
        <v>1050</v>
      </c>
      <c r="L2321" s="5">
        <v>0.5</v>
      </c>
      <c r="M2321" t="s">
        <v>126</v>
      </c>
      <c r="N2321" t="s">
        <v>361</v>
      </c>
    </row>
    <row r="2322" spans="1:14">
      <c r="A2322" t="s">
        <v>29</v>
      </c>
      <c r="B2322">
        <v>1185732</v>
      </c>
      <c r="C2322" s="2">
        <v>44257</v>
      </c>
      <c r="D2322" t="s">
        <v>138</v>
      </c>
      <c r="E2322" t="s">
        <v>181</v>
      </c>
      <c r="F2322" t="s">
        <v>186</v>
      </c>
      <c r="G2322" t="s">
        <v>27</v>
      </c>
      <c r="H2322" s="3">
        <v>0.3</v>
      </c>
      <c r="I2322">
        <v>9200</v>
      </c>
      <c r="J2322" s="4">
        <v>2760</v>
      </c>
      <c r="K2322" s="4">
        <v>1104</v>
      </c>
      <c r="L2322" s="5">
        <v>0.4</v>
      </c>
      <c r="M2322" t="s">
        <v>24</v>
      </c>
      <c r="N2322" t="s">
        <v>361</v>
      </c>
    </row>
    <row r="2323" spans="1:14">
      <c r="A2323" t="s">
        <v>29</v>
      </c>
      <c r="B2323">
        <v>1185732</v>
      </c>
      <c r="C2323" s="2">
        <v>44257</v>
      </c>
      <c r="D2323" t="s">
        <v>138</v>
      </c>
      <c r="E2323" t="s">
        <v>181</v>
      </c>
      <c r="F2323" t="s">
        <v>186</v>
      </c>
      <c r="G2323" t="s">
        <v>145</v>
      </c>
      <c r="H2323" s="3">
        <v>0.3</v>
      </c>
      <c r="I2323">
        <v>6000</v>
      </c>
      <c r="J2323" s="4">
        <v>1800</v>
      </c>
      <c r="K2323" s="4">
        <v>630</v>
      </c>
      <c r="L2323" s="5">
        <v>0.35</v>
      </c>
      <c r="M2323" t="s">
        <v>24</v>
      </c>
      <c r="N2323" t="s">
        <v>361</v>
      </c>
    </row>
    <row r="2324" spans="1:14">
      <c r="A2324" t="s">
        <v>29</v>
      </c>
      <c r="B2324">
        <v>1185732</v>
      </c>
      <c r="C2324" s="2">
        <v>44257</v>
      </c>
      <c r="D2324" t="s">
        <v>138</v>
      </c>
      <c r="E2324" t="s">
        <v>181</v>
      </c>
      <c r="F2324" t="s">
        <v>186</v>
      </c>
      <c r="G2324" t="s">
        <v>146</v>
      </c>
      <c r="H2324" s="3">
        <v>0.2</v>
      </c>
      <c r="I2324">
        <v>6250</v>
      </c>
      <c r="J2324" s="4">
        <v>1250</v>
      </c>
      <c r="K2324" s="4">
        <v>500</v>
      </c>
      <c r="L2324" s="5">
        <v>0.4</v>
      </c>
      <c r="M2324" t="s">
        <v>24</v>
      </c>
      <c r="N2324" t="s">
        <v>361</v>
      </c>
    </row>
    <row r="2325" spans="1:14">
      <c r="A2325" t="s">
        <v>29</v>
      </c>
      <c r="B2325">
        <v>1185732</v>
      </c>
      <c r="C2325" s="2">
        <v>44257</v>
      </c>
      <c r="D2325" t="s">
        <v>138</v>
      </c>
      <c r="E2325" t="s">
        <v>181</v>
      </c>
      <c r="F2325" t="s">
        <v>186</v>
      </c>
      <c r="G2325" t="s">
        <v>148</v>
      </c>
      <c r="H2325" s="3">
        <v>0.24999999999999994</v>
      </c>
      <c r="I2325">
        <v>4750</v>
      </c>
      <c r="J2325" s="4">
        <v>1187.4999999999998</v>
      </c>
      <c r="K2325" s="4">
        <v>474.99999999999994</v>
      </c>
      <c r="L2325" s="5">
        <v>0.4</v>
      </c>
      <c r="M2325" t="s">
        <v>24</v>
      </c>
      <c r="N2325" t="s">
        <v>361</v>
      </c>
    </row>
    <row r="2326" spans="1:14">
      <c r="A2326" t="s">
        <v>29</v>
      </c>
      <c r="B2326">
        <v>1185732</v>
      </c>
      <c r="C2326" s="2">
        <v>44257</v>
      </c>
      <c r="D2326" t="s">
        <v>138</v>
      </c>
      <c r="E2326" t="s">
        <v>181</v>
      </c>
      <c r="F2326" t="s">
        <v>186</v>
      </c>
      <c r="G2326" t="s">
        <v>147</v>
      </c>
      <c r="H2326" s="3">
        <v>0.40000000000000008</v>
      </c>
      <c r="I2326">
        <v>5250</v>
      </c>
      <c r="J2326" s="4">
        <v>2100.0000000000005</v>
      </c>
      <c r="K2326" s="4">
        <v>735.00000000000011</v>
      </c>
      <c r="L2326" s="5">
        <v>0.35</v>
      </c>
      <c r="M2326" t="s">
        <v>24</v>
      </c>
      <c r="N2326" t="s">
        <v>361</v>
      </c>
    </row>
    <row r="2327" spans="1:14">
      <c r="A2327" t="s">
        <v>29</v>
      </c>
      <c r="B2327">
        <v>1185732</v>
      </c>
      <c r="C2327" s="2">
        <v>44257</v>
      </c>
      <c r="D2327" t="s">
        <v>138</v>
      </c>
      <c r="E2327" t="s">
        <v>181</v>
      </c>
      <c r="F2327" t="s">
        <v>186</v>
      </c>
      <c r="G2327" t="s">
        <v>144</v>
      </c>
      <c r="H2327" s="3">
        <v>0.3</v>
      </c>
      <c r="I2327">
        <v>6250</v>
      </c>
      <c r="J2327" s="4">
        <v>1875</v>
      </c>
      <c r="K2327" s="4">
        <v>937.5</v>
      </c>
      <c r="L2327" s="5">
        <v>0.5</v>
      </c>
      <c r="M2327" t="s">
        <v>24</v>
      </c>
      <c r="N2327" t="s">
        <v>361</v>
      </c>
    </row>
    <row r="2328" spans="1:14">
      <c r="A2328" t="s">
        <v>29</v>
      </c>
      <c r="B2328">
        <v>1185732</v>
      </c>
      <c r="C2328" s="2">
        <v>44289</v>
      </c>
      <c r="D2328" t="s">
        <v>138</v>
      </c>
      <c r="E2328" t="s">
        <v>181</v>
      </c>
      <c r="F2328" t="s">
        <v>186</v>
      </c>
      <c r="G2328" t="s">
        <v>27</v>
      </c>
      <c r="H2328" s="3">
        <v>0.3</v>
      </c>
      <c r="I2328">
        <v>8750</v>
      </c>
      <c r="J2328" s="4">
        <v>2625</v>
      </c>
      <c r="K2328" s="4">
        <v>1050</v>
      </c>
      <c r="L2328" s="5">
        <v>0.4</v>
      </c>
      <c r="M2328" t="s">
        <v>127</v>
      </c>
      <c r="N2328" t="s">
        <v>362</v>
      </c>
    </row>
    <row r="2329" spans="1:14">
      <c r="A2329" t="s">
        <v>29</v>
      </c>
      <c r="B2329">
        <v>1185732</v>
      </c>
      <c r="C2329" s="2">
        <v>44289</v>
      </c>
      <c r="D2329" t="s">
        <v>138</v>
      </c>
      <c r="E2329" t="s">
        <v>181</v>
      </c>
      <c r="F2329" t="s">
        <v>186</v>
      </c>
      <c r="G2329" t="s">
        <v>145</v>
      </c>
      <c r="H2329" s="3">
        <v>0.3</v>
      </c>
      <c r="I2329">
        <v>5750</v>
      </c>
      <c r="J2329" s="4">
        <v>1725</v>
      </c>
      <c r="K2329" s="4">
        <v>603.75</v>
      </c>
      <c r="L2329" s="5">
        <v>0.35</v>
      </c>
      <c r="M2329" t="s">
        <v>127</v>
      </c>
      <c r="N2329" t="s">
        <v>362</v>
      </c>
    </row>
    <row r="2330" spans="1:14">
      <c r="A2330" t="s">
        <v>29</v>
      </c>
      <c r="B2330">
        <v>1185732</v>
      </c>
      <c r="C2330" s="2">
        <v>44289</v>
      </c>
      <c r="D2330" t="s">
        <v>138</v>
      </c>
      <c r="E2330" t="s">
        <v>181</v>
      </c>
      <c r="F2330" t="s">
        <v>186</v>
      </c>
      <c r="G2330" t="s">
        <v>146</v>
      </c>
      <c r="H2330" s="3">
        <v>0.2</v>
      </c>
      <c r="I2330">
        <v>5750</v>
      </c>
      <c r="J2330" s="4">
        <v>1150</v>
      </c>
      <c r="K2330" s="4">
        <v>460</v>
      </c>
      <c r="L2330" s="5">
        <v>0.4</v>
      </c>
      <c r="M2330" t="s">
        <v>127</v>
      </c>
      <c r="N2330" t="s">
        <v>362</v>
      </c>
    </row>
    <row r="2331" spans="1:14">
      <c r="A2331" t="s">
        <v>29</v>
      </c>
      <c r="B2331">
        <v>1185732</v>
      </c>
      <c r="C2331" s="2">
        <v>44289</v>
      </c>
      <c r="D2331" t="s">
        <v>138</v>
      </c>
      <c r="E2331" t="s">
        <v>181</v>
      </c>
      <c r="F2331" t="s">
        <v>186</v>
      </c>
      <c r="G2331" t="s">
        <v>148</v>
      </c>
      <c r="H2331" s="3">
        <v>0.24999999999999994</v>
      </c>
      <c r="I2331">
        <v>5000</v>
      </c>
      <c r="J2331" s="4">
        <v>1249.9999999999998</v>
      </c>
      <c r="K2331" s="4">
        <v>499.99999999999994</v>
      </c>
      <c r="L2331" s="5">
        <v>0.4</v>
      </c>
      <c r="M2331" t="s">
        <v>127</v>
      </c>
      <c r="N2331" t="s">
        <v>362</v>
      </c>
    </row>
    <row r="2332" spans="1:14">
      <c r="A2332" t="s">
        <v>29</v>
      </c>
      <c r="B2332">
        <v>1185732</v>
      </c>
      <c r="C2332" s="2">
        <v>44289</v>
      </c>
      <c r="D2332" t="s">
        <v>138</v>
      </c>
      <c r="E2332" t="s">
        <v>181</v>
      </c>
      <c r="F2332" t="s">
        <v>186</v>
      </c>
      <c r="G2332" t="s">
        <v>147</v>
      </c>
      <c r="H2332" s="3">
        <v>0.45</v>
      </c>
      <c r="I2332">
        <v>5250</v>
      </c>
      <c r="J2332" s="4">
        <v>2362.5</v>
      </c>
      <c r="K2332" s="4">
        <v>826.875</v>
      </c>
      <c r="L2332" s="5">
        <v>0.35</v>
      </c>
      <c r="M2332" t="s">
        <v>127</v>
      </c>
      <c r="N2332" t="s">
        <v>362</v>
      </c>
    </row>
    <row r="2333" spans="1:14">
      <c r="A2333" t="s">
        <v>29</v>
      </c>
      <c r="B2333">
        <v>1185732</v>
      </c>
      <c r="C2333" s="2">
        <v>44289</v>
      </c>
      <c r="D2333" t="s">
        <v>138</v>
      </c>
      <c r="E2333" t="s">
        <v>181</v>
      </c>
      <c r="F2333" t="s">
        <v>186</v>
      </c>
      <c r="G2333" t="s">
        <v>144</v>
      </c>
      <c r="H2333" s="3">
        <v>0.35000000000000003</v>
      </c>
      <c r="I2333">
        <v>6750</v>
      </c>
      <c r="J2333" s="4">
        <v>2362.5</v>
      </c>
      <c r="K2333" s="4">
        <v>1181.25</v>
      </c>
      <c r="L2333" s="5">
        <v>0.5</v>
      </c>
      <c r="M2333" t="s">
        <v>127</v>
      </c>
      <c r="N2333" t="s">
        <v>362</v>
      </c>
    </row>
    <row r="2334" spans="1:14">
      <c r="A2334" t="s">
        <v>29</v>
      </c>
      <c r="B2334">
        <v>1185732</v>
      </c>
      <c r="C2334" s="2">
        <v>44318</v>
      </c>
      <c r="D2334" t="s">
        <v>138</v>
      </c>
      <c r="E2334" t="s">
        <v>181</v>
      </c>
      <c r="F2334" t="s">
        <v>186</v>
      </c>
      <c r="G2334" t="s">
        <v>27</v>
      </c>
      <c r="H2334" s="3">
        <v>0.45</v>
      </c>
      <c r="I2334">
        <v>9450</v>
      </c>
      <c r="J2334" s="4">
        <v>4252.5</v>
      </c>
      <c r="K2334" s="4">
        <v>1701</v>
      </c>
      <c r="L2334" s="5">
        <v>0.4</v>
      </c>
      <c r="M2334" t="s">
        <v>128</v>
      </c>
      <c r="N2334" t="s">
        <v>362</v>
      </c>
    </row>
    <row r="2335" spans="1:14">
      <c r="A2335" t="s">
        <v>29</v>
      </c>
      <c r="B2335">
        <v>1185732</v>
      </c>
      <c r="C2335" s="2">
        <v>44318</v>
      </c>
      <c r="D2335" t="s">
        <v>138</v>
      </c>
      <c r="E2335" t="s">
        <v>181</v>
      </c>
      <c r="F2335" t="s">
        <v>186</v>
      </c>
      <c r="G2335" t="s">
        <v>145</v>
      </c>
      <c r="H2335" s="3">
        <v>0.45</v>
      </c>
      <c r="I2335">
        <v>6500</v>
      </c>
      <c r="J2335" s="4">
        <v>2925</v>
      </c>
      <c r="K2335" s="4">
        <v>1023.7499999999999</v>
      </c>
      <c r="L2335" s="5">
        <v>0.35</v>
      </c>
      <c r="M2335" t="s">
        <v>128</v>
      </c>
      <c r="N2335" t="s">
        <v>362</v>
      </c>
    </row>
    <row r="2336" spans="1:14">
      <c r="A2336" t="s">
        <v>29</v>
      </c>
      <c r="B2336">
        <v>1185732</v>
      </c>
      <c r="C2336" s="2">
        <v>44318</v>
      </c>
      <c r="D2336" t="s">
        <v>138</v>
      </c>
      <c r="E2336" t="s">
        <v>181</v>
      </c>
      <c r="F2336" t="s">
        <v>186</v>
      </c>
      <c r="G2336" t="s">
        <v>146</v>
      </c>
      <c r="H2336" s="3">
        <v>0.4</v>
      </c>
      <c r="I2336">
        <v>6250</v>
      </c>
      <c r="J2336" s="4">
        <v>2500</v>
      </c>
      <c r="K2336" s="4">
        <v>1000</v>
      </c>
      <c r="L2336" s="5">
        <v>0.4</v>
      </c>
      <c r="M2336" t="s">
        <v>128</v>
      </c>
      <c r="N2336" t="s">
        <v>362</v>
      </c>
    </row>
    <row r="2337" spans="1:14">
      <c r="A2337" t="s">
        <v>29</v>
      </c>
      <c r="B2337">
        <v>1185732</v>
      </c>
      <c r="C2337" s="2">
        <v>44318</v>
      </c>
      <c r="D2337" t="s">
        <v>138</v>
      </c>
      <c r="E2337" t="s">
        <v>181</v>
      </c>
      <c r="F2337" t="s">
        <v>186</v>
      </c>
      <c r="G2337" t="s">
        <v>148</v>
      </c>
      <c r="H2337" s="3">
        <v>0.4</v>
      </c>
      <c r="I2337">
        <v>5750</v>
      </c>
      <c r="J2337" s="4">
        <v>2300</v>
      </c>
      <c r="K2337" s="4">
        <v>920</v>
      </c>
      <c r="L2337" s="5">
        <v>0.4</v>
      </c>
      <c r="M2337" t="s">
        <v>128</v>
      </c>
      <c r="N2337" t="s">
        <v>362</v>
      </c>
    </row>
    <row r="2338" spans="1:14">
      <c r="A2338" t="s">
        <v>29</v>
      </c>
      <c r="B2338">
        <v>1185732</v>
      </c>
      <c r="C2338" s="2">
        <v>44318</v>
      </c>
      <c r="D2338" t="s">
        <v>138</v>
      </c>
      <c r="E2338" t="s">
        <v>181</v>
      </c>
      <c r="F2338" t="s">
        <v>186</v>
      </c>
      <c r="G2338" t="s">
        <v>147</v>
      </c>
      <c r="H2338" s="3">
        <v>0.49999999999999994</v>
      </c>
      <c r="I2338">
        <v>6000</v>
      </c>
      <c r="J2338" s="4">
        <v>2999.9999999999995</v>
      </c>
      <c r="K2338" s="4">
        <v>1049.9999999999998</v>
      </c>
      <c r="L2338" s="5">
        <v>0.35</v>
      </c>
      <c r="M2338" t="s">
        <v>128</v>
      </c>
      <c r="N2338" t="s">
        <v>362</v>
      </c>
    </row>
    <row r="2339" spans="1:14">
      <c r="A2339" t="s">
        <v>29</v>
      </c>
      <c r="B2339">
        <v>1185732</v>
      </c>
      <c r="C2339" s="2">
        <v>44318</v>
      </c>
      <c r="D2339" t="s">
        <v>138</v>
      </c>
      <c r="E2339" t="s">
        <v>181</v>
      </c>
      <c r="F2339" t="s">
        <v>186</v>
      </c>
      <c r="G2339" t="s">
        <v>144</v>
      </c>
      <c r="H2339" s="3">
        <v>0.54999999999999993</v>
      </c>
      <c r="I2339">
        <v>7000</v>
      </c>
      <c r="J2339" s="4">
        <v>3849.9999999999995</v>
      </c>
      <c r="K2339" s="4">
        <v>1924.9999999999998</v>
      </c>
      <c r="L2339" s="5">
        <v>0.5</v>
      </c>
      <c r="M2339" t="s">
        <v>128</v>
      </c>
      <c r="N2339" t="s">
        <v>362</v>
      </c>
    </row>
    <row r="2340" spans="1:14">
      <c r="A2340" t="s">
        <v>29</v>
      </c>
      <c r="B2340">
        <v>1185732</v>
      </c>
      <c r="C2340" s="2">
        <v>44351</v>
      </c>
      <c r="D2340" t="s">
        <v>138</v>
      </c>
      <c r="E2340" t="s">
        <v>181</v>
      </c>
      <c r="F2340" t="s">
        <v>186</v>
      </c>
      <c r="G2340" t="s">
        <v>27</v>
      </c>
      <c r="H2340" s="3">
        <v>0.49999999999999994</v>
      </c>
      <c r="I2340">
        <v>9500</v>
      </c>
      <c r="J2340" s="4">
        <v>4749.9999999999991</v>
      </c>
      <c r="K2340" s="4">
        <v>1899.9999999999998</v>
      </c>
      <c r="L2340" s="5">
        <v>0.4</v>
      </c>
      <c r="M2340" t="s">
        <v>129</v>
      </c>
      <c r="N2340" t="s">
        <v>362</v>
      </c>
    </row>
    <row r="2341" spans="1:14">
      <c r="A2341" t="s">
        <v>29</v>
      </c>
      <c r="B2341">
        <v>1185732</v>
      </c>
      <c r="C2341" s="2">
        <v>44351</v>
      </c>
      <c r="D2341" t="s">
        <v>138</v>
      </c>
      <c r="E2341" t="s">
        <v>181</v>
      </c>
      <c r="F2341" t="s">
        <v>186</v>
      </c>
      <c r="G2341" t="s">
        <v>145</v>
      </c>
      <c r="H2341" s="3">
        <v>0.45</v>
      </c>
      <c r="I2341">
        <v>7000</v>
      </c>
      <c r="J2341" s="4">
        <v>3150</v>
      </c>
      <c r="K2341" s="4">
        <v>1102.5</v>
      </c>
      <c r="L2341" s="5">
        <v>0.35</v>
      </c>
      <c r="M2341" t="s">
        <v>129</v>
      </c>
      <c r="N2341" t="s">
        <v>362</v>
      </c>
    </row>
    <row r="2342" spans="1:14">
      <c r="A2342" t="s">
        <v>29</v>
      </c>
      <c r="B2342">
        <v>1185732</v>
      </c>
      <c r="C2342" s="2">
        <v>44351</v>
      </c>
      <c r="D2342" t="s">
        <v>138</v>
      </c>
      <c r="E2342" t="s">
        <v>181</v>
      </c>
      <c r="F2342" t="s">
        <v>186</v>
      </c>
      <c r="G2342" t="s">
        <v>146</v>
      </c>
      <c r="H2342" s="3">
        <v>0.5</v>
      </c>
      <c r="I2342">
        <v>6750</v>
      </c>
      <c r="J2342" s="4">
        <v>3375</v>
      </c>
      <c r="K2342" s="4">
        <v>1350</v>
      </c>
      <c r="L2342" s="5">
        <v>0.4</v>
      </c>
      <c r="M2342" t="s">
        <v>129</v>
      </c>
      <c r="N2342" t="s">
        <v>362</v>
      </c>
    </row>
    <row r="2343" spans="1:14">
      <c r="A2343" t="s">
        <v>29</v>
      </c>
      <c r="B2343">
        <v>1185732</v>
      </c>
      <c r="C2343" s="2">
        <v>44351</v>
      </c>
      <c r="D2343" t="s">
        <v>138</v>
      </c>
      <c r="E2343" t="s">
        <v>181</v>
      </c>
      <c r="F2343" t="s">
        <v>186</v>
      </c>
      <c r="G2343" t="s">
        <v>148</v>
      </c>
      <c r="H2343" s="3">
        <v>0.5</v>
      </c>
      <c r="I2343">
        <v>6500</v>
      </c>
      <c r="J2343" s="4">
        <v>3250</v>
      </c>
      <c r="K2343" s="4">
        <v>1300</v>
      </c>
      <c r="L2343" s="5">
        <v>0.4</v>
      </c>
      <c r="M2343" t="s">
        <v>129</v>
      </c>
      <c r="N2343" t="s">
        <v>362</v>
      </c>
    </row>
    <row r="2344" spans="1:14">
      <c r="A2344" t="s">
        <v>29</v>
      </c>
      <c r="B2344">
        <v>1185732</v>
      </c>
      <c r="C2344" s="2">
        <v>44351</v>
      </c>
      <c r="D2344" t="s">
        <v>138</v>
      </c>
      <c r="E2344" t="s">
        <v>181</v>
      </c>
      <c r="F2344" t="s">
        <v>186</v>
      </c>
      <c r="G2344" t="s">
        <v>147</v>
      </c>
      <c r="H2344" s="3">
        <v>0.65</v>
      </c>
      <c r="I2344">
        <v>6500</v>
      </c>
      <c r="J2344" s="4">
        <v>4225</v>
      </c>
      <c r="K2344" s="4">
        <v>1478.75</v>
      </c>
      <c r="L2344" s="5">
        <v>0.35</v>
      </c>
      <c r="M2344" t="s">
        <v>129</v>
      </c>
      <c r="N2344" t="s">
        <v>362</v>
      </c>
    </row>
    <row r="2345" spans="1:14">
      <c r="A2345" t="s">
        <v>29</v>
      </c>
      <c r="B2345">
        <v>1185732</v>
      </c>
      <c r="C2345" s="2">
        <v>44351</v>
      </c>
      <c r="D2345" t="s">
        <v>138</v>
      </c>
      <c r="E2345" t="s">
        <v>181</v>
      </c>
      <c r="F2345" t="s">
        <v>186</v>
      </c>
      <c r="G2345" t="s">
        <v>144</v>
      </c>
      <c r="H2345" s="3">
        <v>0.70000000000000007</v>
      </c>
      <c r="I2345">
        <v>8250</v>
      </c>
      <c r="J2345" s="4">
        <v>5775.0000000000009</v>
      </c>
      <c r="K2345" s="4">
        <v>2887.5000000000005</v>
      </c>
      <c r="L2345" s="5">
        <v>0.5</v>
      </c>
      <c r="M2345" t="s">
        <v>129</v>
      </c>
      <c r="N2345" t="s">
        <v>362</v>
      </c>
    </row>
    <row r="2346" spans="1:14">
      <c r="A2346" t="s">
        <v>29</v>
      </c>
      <c r="B2346">
        <v>1185732</v>
      </c>
      <c r="C2346" s="2">
        <v>44379</v>
      </c>
      <c r="D2346" t="s">
        <v>138</v>
      </c>
      <c r="E2346" t="s">
        <v>181</v>
      </c>
      <c r="F2346" t="s">
        <v>186</v>
      </c>
      <c r="G2346" t="s">
        <v>27</v>
      </c>
      <c r="H2346" s="3">
        <v>0.65</v>
      </c>
      <c r="I2346">
        <v>10500</v>
      </c>
      <c r="J2346" s="4">
        <v>6825</v>
      </c>
      <c r="K2346" s="4">
        <v>2730</v>
      </c>
      <c r="L2346" s="5">
        <v>0.4</v>
      </c>
      <c r="M2346" t="s">
        <v>130</v>
      </c>
      <c r="N2346" t="s">
        <v>363</v>
      </c>
    </row>
    <row r="2347" spans="1:14">
      <c r="A2347" t="s">
        <v>29</v>
      </c>
      <c r="B2347">
        <v>1185732</v>
      </c>
      <c r="C2347" s="2">
        <v>44379</v>
      </c>
      <c r="D2347" t="s">
        <v>138</v>
      </c>
      <c r="E2347" t="s">
        <v>181</v>
      </c>
      <c r="F2347" t="s">
        <v>186</v>
      </c>
      <c r="G2347" t="s">
        <v>145</v>
      </c>
      <c r="H2347" s="3">
        <v>0.60000000000000009</v>
      </c>
      <c r="I2347">
        <v>8000</v>
      </c>
      <c r="J2347" s="4">
        <v>4800.0000000000009</v>
      </c>
      <c r="K2347" s="4">
        <v>1680.0000000000002</v>
      </c>
      <c r="L2347" s="5">
        <v>0.35</v>
      </c>
      <c r="M2347" t="s">
        <v>130</v>
      </c>
      <c r="N2347" t="s">
        <v>363</v>
      </c>
    </row>
    <row r="2348" spans="1:14">
      <c r="A2348" t="s">
        <v>29</v>
      </c>
      <c r="B2348">
        <v>1185732</v>
      </c>
      <c r="C2348" s="2">
        <v>44379</v>
      </c>
      <c r="D2348" t="s">
        <v>138</v>
      </c>
      <c r="E2348" t="s">
        <v>181</v>
      </c>
      <c r="F2348" t="s">
        <v>186</v>
      </c>
      <c r="G2348" t="s">
        <v>146</v>
      </c>
      <c r="H2348" s="3">
        <v>0.55000000000000004</v>
      </c>
      <c r="I2348">
        <v>7250</v>
      </c>
      <c r="J2348" s="4">
        <v>3987.5000000000005</v>
      </c>
      <c r="K2348" s="4">
        <v>1595.0000000000002</v>
      </c>
      <c r="L2348" s="5">
        <v>0.4</v>
      </c>
      <c r="M2348" t="s">
        <v>130</v>
      </c>
      <c r="N2348" t="s">
        <v>363</v>
      </c>
    </row>
    <row r="2349" spans="1:14">
      <c r="A2349" t="s">
        <v>29</v>
      </c>
      <c r="B2349">
        <v>1185732</v>
      </c>
      <c r="C2349" s="2">
        <v>44379</v>
      </c>
      <c r="D2349" t="s">
        <v>138</v>
      </c>
      <c r="E2349" t="s">
        <v>181</v>
      </c>
      <c r="F2349" t="s">
        <v>186</v>
      </c>
      <c r="G2349" t="s">
        <v>148</v>
      </c>
      <c r="H2349" s="3">
        <v>0.55000000000000004</v>
      </c>
      <c r="I2349">
        <v>6750</v>
      </c>
      <c r="J2349" s="4">
        <v>3712.5000000000005</v>
      </c>
      <c r="K2349" s="4">
        <v>1485.0000000000002</v>
      </c>
      <c r="L2349" s="5">
        <v>0.4</v>
      </c>
      <c r="M2349" t="s">
        <v>130</v>
      </c>
      <c r="N2349" t="s">
        <v>363</v>
      </c>
    </row>
    <row r="2350" spans="1:14">
      <c r="A2350" t="s">
        <v>29</v>
      </c>
      <c r="B2350">
        <v>1185732</v>
      </c>
      <c r="C2350" s="2">
        <v>44379</v>
      </c>
      <c r="D2350" t="s">
        <v>138</v>
      </c>
      <c r="E2350" t="s">
        <v>181</v>
      </c>
      <c r="F2350" t="s">
        <v>186</v>
      </c>
      <c r="G2350" t="s">
        <v>147</v>
      </c>
      <c r="H2350" s="3">
        <v>0.65</v>
      </c>
      <c r="I2350">
        <v>7000</v>
      </c>
      <c r="J2350" s="4">
        <v>4550</v>
      </c>
      <c r="K2350" s="4">
        <v>1592.5</v>
      </c>
      <c r="L2350" s="5">
        <v>0.35</v>
      </c>
      <c r="M2350" t="s">
        <v>130</v>
      </c>
      <c r="N2350" t="s">
        <v>363</v>
      </c>
    </row>
    <row r="2351" spans="1:14">
      <c r="A2351" t="s">
        <v>29</v>
      </c>
      <c r="B2351">
        <v>1185732</v>
      </c>
      <c r="C2351" s="2">
        <v>44379</v>
      </c>
      <c r="D2351" t="s">
        <v>138</v>
      </c>
      <c r="E2351" t="s">
        <v>181</v>
      </c>
      <c r="F2351" t="s">
        <v>186</v>
      </c>
      <c r="G2351" t="s">
        <v>144</v>
      </c>
      <c r="H2351" s="3">
        <v>0.70000000000000007</v>
      </c>
      <c r="I2351">
        <v>8750</v>
      </c>
      <c r="J2351" s="4">
        <v>6125.0000000000009</v>
      </c>
      <c r="K2351" s="4">
        <v>3062.5000000000005</v>
      </c>
      <c r="L2351" s="5">
        <v>0.5</v>
      </c>
      <c r="M2351" t="s">
        <v>130</v>
      </c>
      <c r="N2351" t="s">
        <v>363</v>
      </c>
    </row>
    <row r="2352" spans="1:14">
      <c r="A2352" t="s">
        <v>29</v>
      </c>
      <c r="B2352">
        <v>1185732</v>
      </c>
      <c r="C2352" s="2">
        <v>44411</v>
      </c>
      <c r="D2352" t="s">
        <v>138</v>
      </c>
      <c r="E2352" t="s">
        <v>181</v>
      </c>
      <c r="F2352" t="s">
        <v>186</v>
      </c>
      <c r="G2352" t="s">
        <v>27</v>
      </c>
      <c r="H2352" s="3">
        <v>0.65</v>
      </c>
      <c r="I2352">
        <v>10250</v>
      </c>
      <c r="J2352" s="4">
        <v>6662.5</v>
      </c>
      <c r="K2352" s="4">
        <v>2665</v>
      </c>
      <c r="L2352" s="5">
        <v>0.4</v>
      </c>
      <c r="M2352" t="s">
        <v>131</v>
      </c>
      <c r="N2352" t="s">
        <v>363</v>
      </c>
    </row>
    <row r="2353" spans="1:14">
      <c r="A2353" t="s">
        <v>29</v>
      </c>
      <c r="B2353">
        <v>1185732</v>
      </c>
      <c r="C2353" s="2">
        <v>44411</v>
      </c>
      <c r="D2353" t="s">
        <v>138</v>
      </c>
      <c r="E2353" t="s">
        <v>181</v>
      </c>
      <c r="F2353" t="s">
        <v>186</v>
      </c>
      <c r="G2353" t="s">
        <v>145</v>
      </c>
      <c r="H2353" s="3">
        <v>0.60000000000000009</v>
      </c>
      <c r="I2353">
        <v>8000</v>
      </c>
      <c r="J2353" s="4">
        <v>4800.0000000000009</v>
      </c>
      <c r="K2353" s="4">
        <v>1680.0000000000002</v>
      </c>
      <c r="L2353" s="5">
        <v>0.35</v>
      </c>
      <c r="M2353" t="s">
        <v>131</v>
      </c>
      <c r="N2353" t="s">
        <v>363</v>
      </c>
    </row>
    <row r="2354" spans="1:14">
      <c r="A2354" t="s">
        <v>29</v>
      </c>
      <c r="B2354">
        <v>1185732</v>
      </c>
      <c r="C2354" s="2">
        <v>44411</v>
      </c>
      <c r="D2354" t="s">
        <v>138</v>
      </c>
      <c r="E2354" t="s">
        <v>181</v>
      </c>
      <c r="F2354" t="s">
        <v>186</v>
      </c>
      <c r="G2354" t="s">
        <v>146</v>
      </c>
      <c r="H2354" s="3">
        <v>0.55000000000000004</v>
      </c>
      <c r="I2354">
        <v>7250</v>
      </c>
      <c r="J2354" s="4">
        <v>3987.5000000000005</v>
      </c>
      <c r="K2354" s="4">
        <v>1595.0000000000002</v>
      </c>
      <c r="L2354" s="5">
        <v>0.4</v>
      </c>
      <c r="M2354" t="s">
        <v>131</v>
      </c>
      <c r="N2354" t="s">
        <v>363</v>
      </c>
    </row>
    <row r="2355" spans="1:14">
      <c r="A2355" t="s">
        <v>29</v>
      </c>
      <c r="B2355">
        <v>1185732</v>
      </c>
      <c r="C2355" s="2">
        <v>44411</v>
      </c>
      <c r="D2355" t="s">
        <v>138</v>
      </c>
      <c r="E2355" t="s">
        <v>181</v>
      </c>
      <c r="F2355" t="s">
        <v>186</v>
      </c>
      <c r="G2355" t="s">
        <v>148</v>
      </c>
      <c r="H2355" s="3">
        <v>0.45</v>
      </c>
      <c r="I2355">
        <v>6750</v>
      </c>
      <c r="J2355" s="4">
        <v>3037.5</v>
      </c>
      <c r="K2355" s="4">
        <v>1215</v>
      </c>
      <c r="L2355" s="5">
        <v>0.4</v>
      </c>
      <c r="M2355" t="s">
        <v>131</v>
      </c>
      <c r="N2355" t="s">
        <v>363</v>
      </c>
    </row>
    <row r="2356" spans="1:14">
      <c r="A2356" t="s">
        <v>29</v>
      </c>
      <c r="B2356">
        <v>1185732</v>
      </c>
      <c r="C2356" s="2">
        <v>44411</v>
      </c>
      <c r="D2356" t="s">
        <v>138</v>
      </c>
      <c r="E2356" t="s">
        <v>181</v>
      </c>
      <c r="F2356" t="s">
        <v>186</v>
      </c>
      <c r="G2356" t="s">
        <v>147</v>
      </c>
      <c r="H2356" s="3">
        <v>0.55000000000000004</v>
      </c>
      <c r="I2356">
        <v>6500</v>
      </c>
      <c r="J2356" s="4">
        <v>3575.0000000000005</v>
      </c>
      <c r="K2356" s="4">
        <v>1251.25</v>
      </c>
      <c r="L2356" s="5">
        <v>0.35</v>
      </c>
      <c r="M2356" t="s">
        <v>131</v>
      </c>
      <c r="N2356" t="s">
        <v>363</v>
      </c>
    </row>
    <row r="2357" spans="1:14">
      <c r="A2357" t="s">
        <v>29</v>
      </c>
      <c r="B2357">
        <v>1185732</v>
      </c>
      <c r="C2357" s="2">
        <v>44411</v>
      </c>
      <c r="D2357" t="s">
        <v>138</v>
      </c>
      <c r="E2357" t="s">
        <v>181</v>
      </c>
      <c r="F2357" t="s">
        <v>186</v>
      </c>
      <c r="G2357" t="s">
        <v>144</v>
      </c>
      <c r="H2357" s="3">
        <v>0.60000000000000009</v>
      </c>
      <c r="I2357">
        <v>8250</v>
      </c>
      <c r="J2357" s="4">
        <v>4950.0000000000009</v>
      </c>
      <c r="K2357" s="4">
        <v>2475.0000000000005</v>
      </c>
      <c r="L2357" s="5">
        <v>0.5</v>
      </c>
      <c r="M2357" t="s">
        <v>131</v>
      </c>
      <c r="N2357" t="s">
        <v>363</v>
      </c>
    </row>
    <row r="2358" spans="1:14">
      <c r="A2358" t="s">
        <v>29</v>
      </c>
      <c r="B2358">
        <v>1185732</v>
      </c>
      <c r="C2358" s="2">
        <v>44441</v>
      </c>
      <c r="D2358" t="s">
        <v>138</v>
      </c>
      <c r="E2358" t="s">
        <v>181</v>
      </c>
      <c r="F2358" t="s">
        <v>186</v>
      </c>
      <c r="G2358" t="s">
        <v>27</v>
      </c>
      <c r="H2358" s="3">
        <v>0.55000000000000004</v>
      </c>
      <c r="I2358">
        <v>9250</v>
      </c>
      <c r="J2358" s="4">
        <v>5087.5</v>
      </c>
      <c r="K2358" s="4">
        <v>2035</v>
      </c>
      <c r="L2358" s="5">
        <v>0.4</v>
      </c>
      <c r="M2358" t="s">
        <v>132</v>
      </c>
      <c r="N2358" t="s">
        <v>363</v>
      </c>
    </row>
    <row r="2359" spans="1:14">
      <c r="A2359" t="s">
        <v>29</v>
      </c>
      <c r="B2359">
        <v>1185732</v>
      </c>
      <c r="C2359" s="2">
        <v>44441</v>
      </c>
      <c r="D2359" t="s">
        <v>138</v>
      </c>
      <c r="E2359" t="s">
        <v>181</v>
      </c>
      <c r="F2359" t="s">
        <v>186</v>
      </c>
      <c r="G2359" t="s">
        <v>145</v>
      </c>
      <c r="H2359" s="3">
        <v>0.50000000000000011</v>
      </c>
      <c r="I2359">
        <v>7250</v>
      </c>
      <c r="J2359" s="4">
        <v>3625.0000000000009</v>
      </c>
      <c r="K2359" s="4">
        <v>1268.7500000000002</v>
      </c>
      <c r="L2359" s="5">
        <v>0.35</v>
      </c>
      <c r="M2359" t="s">
        <v>132</v>
      </c>
      <c r="N2359" t="s">
        <v>363</v>
      </c>
    </row>
    <row r="2360" spans="1:14">
      <c r="A2360" t="s">
        <v>29</v>
      </c>
      <c r="B2360">
        <v>1185732</v>
      </c>
      <c r="C2360" s="2">
        <v>44441</v>
      </c>
      <c r="D2360" t="s">
        <v>138</v>
      </c>
      <c r="E2360" t="s">
        <v>181</v>
      </c>
      <c r="F2360" t="s">
        <v>186</v>
      </c>
      <c r="G2360" t="s">
        <v>146</v>
      </c>
      <c r="H2360" s="3">
        <v>0.30000000000000004</v>
      </c>
      <c r="I2360">
        <v>6250</v>
      </c>
      <c r="J2360" s="4">
        <v>1875.0000000000002</v>
      </c>
      <c r="K2360" s="4">
        <v>750.00000000000011</v>
      </c>
      <c r="L2360" s="5">
        <v>0.4</v>
      </c>
      <c r="M2360" t="s">
        <v>132</v>
      </c>
      <c r="N2360" t="s">
        <v>363</v>
      </c>
    </row>
    <row r="2361" spans="1:14">
      <c r="A2361" t="s">
        <v>29</v>
      </c>
      <c r="B2361">
        <v>1185732</v>
      </c>
      <c r="C2361" s="2">
        <v>44441</v>
      </c>
      <c r="D2361" t="s">
        <v>138</v>
      </c>
      <c r="E2361" t="s">
        <v>181</v>
      </c>
      <c r="F2361" t="s">
        <v>186</v>
      </c>
      <c r="G2361" t="s">
        <v>148</v>
      </c>
      <c r="H2361" s="3">
        <v>0.30000000000000004</v>
      </c>
      <c r="I2361">
        <v>6000</v>
      </c>
      <c r="J2361" s="4">
        <v>1800.0000000000002</v>
      </c>
      <c r="K2361" s="4">
        <v>720.00000000000011</v>
      </c>
      <c r="L2361" s="5">
        <v>0.4</v>
      </c>
      <c r="M2361" t="s">
        <v>132</v>
      </c>
      <c r="N2361" t="s">
        <v>363</v>
      </c>
    </row>
    <row r="2362" spans="1:14">
      <c r="A2362" t="s">
        <v>29</v>
      </c>
      <c r="B2362">
        <v>1185732</v>
      </c>
      <c r="C2362" s="2">
        <v>44441</v>
      </c>
      <c r="D2362" t="s">
        <v>138</v>
      </c>
      <c r="E2362" t="s">
        <v>181</v>
      </c>
      <c r="F2362" t="s">
        <v>186</v>
      </c>
      <c r="G2362" t="s">
        <v>147</v>
      </c>
      <c r="H2362" s="3">
        <v>0.4</v>
      </c>
      <c r="I2362">
        <v>6000</v>
      </c>
      <c r="J2362" s="4">
        <v>2400</v>
      </c>
      <c r="K2362" s="4">
        <v>840</v>
      </c>
      <c r="L2362" s="5">
        <v>0.35</v>
      </c>
      <c r="M2362" t="s">
        <v>132</v>
      </c>
      <c r="N2362" t="s">
        <v>363</v>
      </c>
    </row>
    <row r="2363" spans="1:14">
      <c r="A2363" t="s">
        <v>29</v>
      </c>
      <c r="B2363">
        <v>1185732</v>
      </c>
      <c r="C2363" s="2">
        <v>44441</v>
      </c>
      <c r="D2363" t="s">
        <v>138</v>
      </c>
      <c r="E2363" t="s">
        <v>181</v>
      </c>
      <c r="F2363" t="s">
        <v>186</v>
      </c>
      <c r="G2363" t="s">
        <v>144</v>
      </c>
      <c r="H2363" s="3">
        <v>0.45000000000000007</v>
      </c>
      <c r="I2363">
        <v>7000</v>
      </c>
      <c r="J2363" s="4">
        <v>3150.0000000000005</v>
      </c>
      <c r="K2363" s="4">
        <v>1575.0000000000002</v>
      </c>
      <c r="L2363" s="5">
        <v>0.5</v>
      </c>
      <c r="M2363" t="s">
        <v>132</v>
      </c>
      <c r="N2363" t="s">
        <v>363</v>
      </c>
    </row>
    <row r="2364" spans="1:14">
      <c r="A2364" t="s">
        <v>29</v>
      </c>
      <c r="B2364">
        <v>1185732</v>
      </c>
      <c r="C2364" s="2">
        <v>44473</v>
      </c>
      <c r="D2364" t="s">
        <v>138</v>
      </c>
      <c r="E2364" t="s">
        <v>181</v>
      </c>
      <c r="F2364" t="s">
        <v>186</v>
      </c>
      <c r="G2364" t="s">
        <v>27</v>
      </c>
      <c r="H2364" s="3">
        <v>0.45000000000000007</v>
      </c>
      <c r="I2364">
        <v>8750</v>
      </c>
      <c r="J2364" s="4">
        <v>3937.5000000000005</v>
      </c>
      <c r="K2364" s="4">
        <v>1575.0000000000002</v>
      </c>
      <c r="L2364" s="5">
        <v>0.4</v>
      </c>
      <c r="M2364" t="s">
        <v>133</v>
      </c>
      <c r="N2364" t="s">
        <v>364</v>
      </c>
    </row>
    <row r="2365" spans="1:14">
      <c r="A2365" t="s">
        <v>29</v>
      </c>
      <c r="B2365">
        <v>1185732</v>
      </c>
      <c r="C2365" s="2">
        <v>44473</v>
      </c>
      <c r="D2365" t="s">
        <v>138</v>
      </c>
      <c r="E2365" t="s">
        <v>181</v>
      </c>
      <c r="F2365" t="s">
        <v>186</v>
      </c>
      <c r="G2365" t="s">
        <v>145</v>
      </c>
      <c r="H2365" s="3">
        <v>0.35000000000000009</v>
      </c>
      <c r="I2365">
        <v>7000</v>
      </c>
      <c r="J2365" s="4">
        <v>2450.0000000000005</v>
      </c>
      <c r="K2365" s="4">
        <v>857.50000000000011</v>
      </c>
      <c r="L2365" s="5">
        <v>0.35</v>
      </c>
      <c r="M2365" t="s">
        <v>133</v>
      </c>
      <c r="N2365" t="s">
        <v>364</v>
      </c>
    </row>
    <row r="2366" spans="1:14">
      <c r="A2366" t="s">
        <v>29</v>
      </c>
      <c r="B2366">
        <v>1185732</v>
      </c>
      <c r="C2366" s="2">
        <v>44473</v>
      </c>
      <c r="D2366" t="s">
        <v>138</v>
      </c>
      <c r="E2366" t="s">
        <v>181</v>
      </c>
      <c r="F2366" t="s">
        <v>186</v>
      </c>
      <c r="G2366" t="s">
        <v>146</v>
      </c>
      <c r="H2366" s="3">
        <v>0.35000000000000009</v>
      </c>
      <c r="I2366">
        <v>5750</v>
      </c>
      <c r="J2366" s="4">
        <v>2012.5000000000005</v>
      </c>
      <c r="K2366" s="4">
        <v>805.00000000000023</v>
      </c>
      <c r="L2366" s="5">
        <v>0.4</v>
      </c>
      <c r="M2366" t="s">
        <v>133</v>
      </c>
      <c r="N2366" t="s">
        <v>364</v>
      </c>
    </row>
    <row r="2367" spans="1:14">
      <c r="A2367" t="s">
        <v>29</v>
      </c>
      <c r="B2367">
        <v>1185732</v>
      </c>
      <c r="C2367" s="2">
        <v>44473</v>
      </c>
      <c r="D2367" t="s">
        <v>138</v>
      </c>
      <c r="E2367" t="s">
        <v>181</v>
      </c>
      <c r="F2367" t="s">
        <v>186</v>
      </c>
      <c r="G2367" t="s">
        <v>148</v>
      </c>
      <c r="H2367" s="3">
        <v>0.35000000000000009</v>
      </c>
      <c r="I2367">
        <v>5500</v>
      </c>
      <c r="J2367" s="4">
        <v>1925.0000000000005</v>
      </c>
      <c r="K2367" s="4">
        <v>770.00000000000023</v>
      </c>
      <c r="L2367" s="5">
        <v>0.4</v>
      </c>
      <c r="M2367" t="s">
        <v>133</v>
      </c>
      <c r="N2367" t="s">
        <v>364</v>
      </c>
    </row>
    <row r="2368" spans="1:14">
      <c r="A2368" t="s">
        <v>29</v>
      </c>
      <c r="B2368">
        <v>1185732</v>
      </c>
      <c r="C2368" s="2">
        <v>44473</v>
      </c>
      <c r="D2368" t="s">
        <v>138</v>
      </c>
      <c r="E2368" t="s">
        <v>181</v>
      </c>
      <c r="F2368" t="s">
        <v>186</v>
      </c>
      <c r="G2368" t="s">
        <v>147</v>
      </c>
      <c r="H2368" s="3">
        <v>0.45000000000000007</v>
      </c>
      <c r="I2368">
        <v>5500</v>
      </c>
      <c r="J2368" s="4">
        <v>2475.0000000000005</v>
      </c>
      <c r="K2368" s="4">
        <v>866.25000000000011</v>
      </c>
      <c r="L2368" s="5">
        <v>0.35</v>
      </c>
      <c r="M2368" t="s">
        <v>133</v>
      </c>
      <c r="N2368" t="s">
        <v>364</v>
      </c>
    </row>
    <row r="2369" spans="1:14">
      <c r="A2369" t="s">
        <v>29</v>
      </c>
      <c r="B2369">
        <v>1185732</v>
      </c>
      <c r="C2369" s="2">
        <v>44473</v>
      </c>
      <c r="D2369" t="s">
        <v>138</v>
      </c>
      <c r="E2369" t="s">
        <v>181</v>
      </c>
      <c r="F2369" t="s">
        <v>186</v>
      </c>
      <c r="G2369" t="s">
        <v>144</v>
      </c>
      <c r="H2369" s="3">
        <v>0.5</v>
      </c>
      <c r="I2369">
        <v>6750</v>
      </c>
      <c r="J2369" s="4">
        <v>3375</v>
      </c>
      <c r="K2369" s="4">
        <v>1687.5</v>
      </c>
      <c r="L2369" s="5">
        <v>0.5</v>
      </c>
      <c r="M2369" t="s">
        <v>133</v>
      </c>
      <c r="N2369" t="s">
        <v>364</v>
      </c>
    </row>
    <row r="2370" spans="1:14">
      <c r="A2370" t="s">
        <v>29</v>
      </c>
      <c r="B2370">
        <v>1185732</v>
      </c>
      <c r="C2370" s="2">
        <v>44503</v>
      </c>
      <c r="D2370" t="s">
        <v>138</v>
      </c>
      <c r="E2370" t="s">
        <v>181</v>
      </c>
      <c r="F2370" t="s">
        <v>186</v>
      </c>
      <c r="G2370" t="s">
        <v>27</v>
      </c>
      <c r="H2370" s="3">
        <v>0.45000000000000007</v>
      </c>
      <c r="I2370">
        <v>8250</v>
      </c>
      <c r="J2370" s="4">
        <v>3712.5000000000005</v>
      </c>
      <c r="K2370" s="4">
        <v>1485.0000000000002</v>
      </c>
      <c r="L2370" s="5">
        <v>0.4</v>
      </c>
      <c r="M2370" t="s">
        <v>134</v>
      </c>
      <c r="N2370" t="s">
        <v>364</v>
      </c>
    </row>
    <row r="2371" spans="1:14">
      <c r="A2371" t="s">
        <v>29</v>
      </c>
      <c r="B2371">
        <v>1185732</v>
      </c>
      <c r="C2371" s="2">
        <v>44503</v>
      </c>
      <c r="D2371" t="s">
        <v>138</v>
      </c>
      <c r="E2371" t="s">
        <v>181</v>
      </c>
      <c r="F2371" t="s">
        <v>186</v>
      </c>
      <c r="G2371" t="s">
        <v>145</v>
      </c>
      <c r="H2371" s="3">
        <v>0.35000000000000009</v>
      </c>
      <c r="I2371">
        <v>6500</v>
      </c>
      <c r="J2371" s="4">
        <v>2275.0000000000005</v>
      </c>
      <c r="K2371" s="4">
        <v>796.25000000000011</v>
      </c>
      <c r="L2371" s="5">
        <v>0.35</v>
      </c>
      <c r="M2371" t="s">
        <v>134</v>
      </c>
      <c r="N2371" t="s">
        <v>364</v>
      </c>
    </row>
    <row r="2372" spans="1:14">
      <c r="A2372" t="s">
        <v>29</v>
      </c>
      <c r="B2372">
        <v>1185732</v>
      </c>
      <c r="C2372" s="2">
        <v>44503</v>
      </c>
      <c r="D2372" t="s">
        <v>138</v>
      </c>
      <c r="E2372" t="s">
        <v>181</v>
      </c>
      <c r="F2372" t="s">
        <v>186</v>
      </c>
      <c r="G2372" t="s">
        <v>146</v>
      </c>
      <c r="H2372" s="3">
        <v>0.40000000000000013</v>
      </c>
      <c r="I2372">
        <v>5950</v>
      </c>
      <c r="J2372" s="4">
        <v>2380.0000000000009</v>
      </c>
      <c r="K2372" s="4">
        <v>952.00000000000045</v>
      </c>
      <c r="L2372" s="5">
        <v>0.4</v>
      </c>
      <c r="M2372" t="s">
        <v>134</v>
      </c>
      <c r="N2372" t="s">
        <v>364</v>
      </c>
    </row>
    <row r="2373" spans="1:14">
      <c r="A2373" t="s">
        <v>29</v>
      </c>
      <c r="B2373">
        <v>1185732</v>
      </c>
      <c r="C2373" s="2">
        <v>44503</v>
      </c>
      <c r="D2373" t="s">
        <v>138</v>
      </c>
      <c r="E2373" t="s">
        <v>181</v>
      </c>
      <c r="F2373" t="s">
        <v>186</v>
      </c>
      <c r="G2373" t="s">
        <v>148</v>
      </c>
      <c r="H2373" s="3">
        <v>0.6000000000000002</v>
      </c>
      <c r="I2373">
        <v>6500</v>
      </c>
      <c r="J2373" s="4">
        <v>3900.0000000000014</v>
      </c>
      <c r="K2373" s="4">
        <v>1560.0000000000007</v>
      </c>
      <c r="L2373" s="5">
        <v>0.4</v>
      </c>
      <c r="M2373" t="s">
        <v>134</v>
      </c>
      <c r="N2373" t="s">
        <v>364</v>
      </c>
    </row>
    <row r="2374" spans="1:14">
      <c r="A2374" t="s">
        <v>29</v>
      </c>
      <c r="B2374">
        <v>1185732</v>
      </c>
      <c r="C2374" s="2">
        <v>44503</v>
      </c>
      <c r="D2374" t="s">
        <v>138</v>
      </c>
      <c r="E2374" t="s">
        <v>181</v>
      </c>
      <c r="F2374" t="s">
        <v>186</v>
      </c>
      <c r="G2374" t="s">
        <v>147</v>
      </c>
      <c r="H2374" s="3">
        <v>0.75000000000000011</v>
      </c>
      <c r="I2374">
        <v>6250</v>
      </c>
      <c r="J2374" s="4">
        <v>4687.5000000000009</v>
      </c>
      <c r="K2374" s="4">
        <v>1640.6250000000002</v>
      </c>
      <c r="L2374" s="5">
        <v>0.35</v>
      </c>
      <c r="M2374" t="s">
        <v>134</v>
      </c>
      <c r="N2374" t="s">
        <v>364</v>
      </c>
    </row>
    <row r="2375" spans="1:14">
      <c r="A2375" t="s">
        <v>29</v>
      </c>
      <c r="B2375">
        <v>1185732</v>
      </c>
      <c r="C2375" s="2">
        <v>44503</v>
      </c>
      <c r="D2375" t="s">
        <v>138</v>
      </c>
      <c r="E2375" t="s">
        <v>181</v>
      </c>
      <c r="F2375" t="s">
        <v>186</v>
      </c>
      <c r="G2375" t="s">
        <v>144</v>
      </c>
      <c r="H2375" s="3">
        <v>0.75</v>
      </c>
      <c r="I2375">
        <v>7250</v>
      </c>
      <c r="J2375" s="4">
        <v>5437.5</v>
      </c>
      <c r="K2375" s="4">
        <v>2718.75</v>
      </c>
      <c r="L2375" s="5">
        <v>0.5</v>
      </c>
      <c r="M2375" t="s">
        <v>134</v>
      </c>
      <c r="N2375" t="s">
        <v>364</v>
      </c>
    </row>
    <row r="2376" spans="1:14">
      <c r="A2376" t="s">
        <v>29</v>
      </c>
      <c r="B2376">
        <v>1185732</v>
      </c>
      <c r="C2376" s="2">
        <v>44532</v>
      </c>
      <c r="D2376" t="s">
        <v>138</v>
      </c>
      <c r="E2376" t="s">
        <v>181</v>
      </c>
      <c r="F2376" t="s">
        <v>186</v>
      </c>
      <c r="G2376" t="s">
        <v>27</v>
      </c>
      <c r="H2376" s="3">
        <v>0.70000000000000007</v>
      </c>
      <c r="I2376">
        <v>9750</v>
      </c>
      <c r="J2376" s="4">
        <v>6825.0000000000009</v>
      </c>
      <c r="K2376" s="4">
        <v>2730.0000000000005</v>
      </c>
      <c r="L2376" s="5">
        <v>0.4</v>
      </c>
      <c r="M2376" t="s">
        <v>23</v>
      </c>
      <c r="N2376" t="s">
        <v>364</v>
      </c>
    </row>
    <row r="2377" spans="1:14">
      <c r="A2377" t="s">
        <v>29</v>
      </c>
      <c r="B2377">
        <v>1185732</v>
      </c>
      <c r="C2377" s="2">
        <v>44532</v>
      </c>
      <c r="D2377" t="s">
        <v>138</v>
      </c>
      <c r="E2377" t="s">
        <v>181</v>
      </c>
      <c r="F2377" t="s">
        <v>186</v>
      </c>
      <c r="G2377" t="s">
        <v>145</v>
      </c>
      <c r="H2377" s="3">
        <v>0.60000000000000009</v>
      </c>
      <c r="I2377">
        <v>7750</v>
      </c>
      <c r="J2377" s="4">
        <v>4650.0000000000009</v>
      </c>
      <c r="K2377" s="4">
        <v>1627.5000000000002</v>
      </c>
      <c r="L2377" s="5">
        <v>0.35</v>
      </c>
      <c r="M2377" t="s">
        <v>23</v>
      </c>
      <c r="N2377" t="s">
        <v>364</v>
      </c>
    </row>
    <row r="2378" spans="1:14">
      <c r="A2378" t="s">
        <v>29</v>
      </c>
      <c r="B2378">
        <v>1185732</v>
      </c>
      <c r="C2378" s="2">
        <v>44532</v>
      </c>
      <c r="D2378" t="s">
        <v>138</v>
      </c>
      <c r="E2378" t="s">
        <v>181</v>
      </c>
      <c r="F2378" t="s">
        <v>186</v>
      </c>
      <c r="G2378" t="s">
        <v>146</v>
      </c>
      <c r="H2378" s="3">
        <v>0.60000000000000009</v>
      </c>
      <c r="I2378">
        <v>7250</v>
      </c>
      <c r="J2378" s="4">
        <v>4350.0000000000009</v>
      </c>
      <c r="K2378" s="4">
        <v>1740.0000000000005</v>
      </c>
      <c r="L2378" s="5">
        <v>0.4</v>
      </c>
      <c r="M2378" t="s">
        <v>23</v>
      </c>
      <c r="N2378" t="s">
        <v>364</v>
      </c>
    </row>
    <row r="2379" spans="1:14">
      <c r="A2379" t="s">
        <v>29</v>
      </c>
      <c r="B2379">
        <v>1185732</v>
      </c>
      <c r="C2379" s="2">
        <v>44532</v>
      </c>
      <c r="D2379" t="s">
        <v>138</v>
      </c>
      <c r="E2379" t="s">
        <v>181</v>
      </c>
      <c r="F2379" t="s">
        <v>186</v>
      </c>
      <c r="G2379" t="s">
        <v>148</v>
      </c>
      <c r="H2379" s="3">
        <v>0.60000000000000009</v>
      </c>
      <c r="I2379">
        <v>6750</v>
      </c>
      <c r="J2379" s="4">
        <v>4050.0000000000005</v>
      </c>
      <c r="K2379" s="4">
        <v>1620.0000000000002</v>
      </c>
      <c r="L2379" s="5">
        <v>0.4</v>
      </c>
      <c r="M2379" t="s">
        <v>23</v>
      </c>
      <c r="N2379" t="s">
        <v>364</v>
      </c>
    </row>
    <row r="2380" spans="1:14">
      <c r="A2380" t="s">
        <v>29</v>
      </c>
      <c r="B2380">
        <v>1185732</v>
      </c>
      <c r="C2380" s="2">
        <v>44532</v>
      </c>
      <c r="D2380" t="s">
        <v>138</v>
      </c>
      <c r="E2380" t="s">
        <v>181</v>
      </c>
      <c r="F2380" t="s">
        <v>186</v>
      </c>
      <c r="G2380" t="s">
        <v>147</v>
      </c>
      <c r="H2380" s="3">
        <v>0.70000000000000007</v>
      </c>
      <c r="I2380">
        <v>6750</v>
      </c>
      <c r="J2380" s="4">
        <v>4725</v>
      </c>
      <c r="K2380" s="4">
        <v>1653.75</v>
      </c>
      <c r="L2380" s="5">
        <v>0.35</v>
      </c>
      <c r="M2380" t="s">
        <v>23</v>
      </c>
      <c r="N2380" t="s">
        <v>364</v>
      </c>
    </row>
    <row r="2381" spans="1:14">
      <c r="A2381" t="s">
        <v>29</v>
      </c>
      <c r="B2381">
        <v>1185732</v>
      </c>
      <c r="C2381" s="2">
        <v>44532</v>
      </c>
      <c r="D2381" t="s">
        <v>138</v>
      </c>
      <c r="E2381" t="s">
        <v>181</v>
      </c>
      <c r="F2381" t="s">
        <v>186</v>
      </c>
      <c r="G2381" t="s">
        <v>144</v>
      </c>
      <c r="H2381" s="3">
        <v>0.75</v>
      </c>
      <c r="I2381">
        <v>7750</v>
      </c>
      <c r="J2381" s="4">
        <v>5812.5</v>
      </c>
      <c r="K2381" s="4">
        <v>2906.25</v>
      </c>
      <c r="L2381" s="5">
        <v>0.5</v>
      </c>
      <c r="M2381" t="s">
        <v>23</v>
      </c>
      <c r="N2381" t="s">
        <v>364</v>
      </c>
    </row>
    <row r="2382" spans="1:14">
      <c r="A2382" t="s">
        <v>29</v>
      </c>
      <c r="B2382">
        <v>1185732</v>
      </c>
      <c r="C2382" s="2">
        <v>44209</v>
      </c>
      <c r="D2382" t="s">
        <v>138</v>
      </c>
      <c r="E2382" t="s">
        <v>199</v>
      </c>
      <c r="F2382" t="s">
        <v>208</v>
      </c>
      <c r="G2382" t="s">
        <v>27</v>
      </c>
      <c r="H2382" s="3">
        <v>0.35000000000000003</v>
      </c>
      <c r="I2382">
        <v>7750</v>
      </c>
      <c r="J2382" s="4">
        <v>2712.5000000000005</v>
      </c>
      <c r="K2382" s="4">
        <v>1085.0000000000002</v>
      </c>
      <c r="L2382" s="5">
        <v>0.4</v>
      </c>
      <c r="M2382" t="s">
        <v>125</v>
      </c>
      <c r="N2382" t="s">
        <v>361</v>
      </c>
    </row>
    <row r="2383" spans="1:14">
      <c r="A2383" t="s">
        <v>29</v>
      </c>
      <c r="B2383">
        <v>1185732</v>
      </c>
      <c r="C2383" s="2">
        <v>44209</v>
      </c>
      <c r="D2383" t="s">
        <v>138</v>
      </c>
      <c r="E2383" t="s">
        <v>199</v>
      </c>
      <c r="F2383" t="s">
        <v>208</v>
      </c>
      <c r="G2383" t="s">
        <v>145</v>
      </c>
      <c r="H2383" s="3">
        <v>0.35000000000000003</v>
      </c>
      <c r="I2383">
        <v>5750</v>
      </c>
      <c r="J2383" s="4">
        <v>2012.5000000000002</v>
      </c>
      <c r="K2383" s="4">
        <v>704.375</v>
      </c>
      <c r="L2383" s="5">
        <v>0.35</v>
      </c>
      <c r="M2383" t="s">
        <v>125</v>
      </c>
      <c r="N2383" t="s">
        <v>361</v>
      </c>
    </row>
    <row r="2384" spans="1:14">
      <c r="A2384" t="s">
        <v>29</v>
      </c>
      <c r="B2384">
        <v>1185732</v>
      </c>
      <c r="C2384" s="2">
        <v>44209</v>
      </c>
      <c r="D2384" t="s">
        <v>138</v>
      </c>
      <c r="E2384" t="s">
        <v>199</v>
      </c>
      <c r="F2384" t="s">
        <v>208</v>
      </c>
      <c r="G2384" t="s">
        <v>146</v>
      </c>
      <c r="H2384" s="3">
        <v>0.25000000000000006</v>
      </c>
      <c r="I2384">
        <v>5750</v>
      </c>
      <c r="J2384" s="4">
        <v>1437.5000000000002</v>
      </c>
      <c r="K2384" s="4">
        <v>575.00000000000011</v>
      </c>
      <c r="L2384" s="5">
        <v>0.4</v>
      </c>
      <c r="M2384" t="s">
        <v>125</v>
      </c>
      <c r="N2384" t="s">
        <v>361</v>
      </c>
    </row>
    <row r="2385" spans="1:14">
      <c r="A2385" t="s">
        <v>29</v>
      </c>
      <c r="B2385">
        <v>1185732</v>
      </c>
      <c r="C2385" s="2">
        <v>44209</v>
      </c>
      <c r="D2385" t="s">
        <v>138</v>
      </c>
      <c r="E2385" t="s">
        <v>199</v>
      </c>
      <c r="F2385" t="s">
        <v>208</v>
      </c>
      <c r="G2385" t="s">
        <v>148</v>
      </c>
      <c r="H2385" s="3">
        <v>0.3</v>
      </c>
      <c r="I2385">
        <v>4250</v>
      </c>
      <c r="J2385" s="4">
        <v>1275</v>
      </c>
      <c r="K2385" s="4">
        <v>510</v>
      </c>
      <c r="L2385" s="5">
        <v>0.4</v>
      </c>
      <c r="M2385" t="s">
        <v>125</v>
      </c>
      <c r="N2385" t="s">
        <v>361</v>
      </c>
    </row>
    <row r="2386" spans="1:14">
      <c r="A2386" t="s">
        <v>29</v>
      </c>
      <c r="B2386">
        <v>1185732</v>
      </c>
      <c r="C2386" s="2">
        <v>44209</v>
      </c>
      <c r="D2386" t="s">
        <v>138</v>
      </c>
      <c r="E2386" t="s">
        <v>199</v>
      </c>
      <c r="F2386" t="s">
        <v>208</v>
      </c>
      <c r="G2386" t="s">
        <v>147</v>
      </c>
      <c r="H2386" s="3">
        <v>0.45</v>
      </c>
      <c r="I2386">
        <v>4750</v>
      </c>
      <c r="J2386" s="4">
        <v>2137.5</v>
      </c>
      <c r="K2386" s="4">
        <v>748.125</v>
      </c>
      <c r="L2386" s="5">
        <v>0.35</v>
      </c>
      <c r="M2386" t="s">
        <v>125</v>
      </c>
      <c r="N2386" t="s">
        <v>361</v>
      </c>
    </row>
    <row r="2387" spans="1:14">
      <c r="A2387" t="s">
        <v>29</v>
      </c>
      <c r="B2387">
        <v>1185732</v>
      </c>
      <c r="C2387" s="2">
        <v>44209</v>
      </c>
      <c r="D2387" t="s">
        <v>138</v>
      </c>
      <c r="E2387" t="s">
        <v>199</v>
      </c>
      <c r="F2387" t="s">
        <v>208</v>
      </c>
      <c r="G2387" t="s">
        <v>144</v>
      </c>
      <c r="H2387" s="3">
        <v>0.35000000000000003</v>
      </c>
      <c r="I2387">
        <v>5750</v>
      </c>
      <c r="J2387" s="4">
        <v>2012.5000000000002</v>
      </c>
      <c r="K2387" s="4">
        <v>1006.2500000000001</v>
      </c>
      <c r="L2387" s="5">
        <v>0.5</v>
      </c>
      <c r="M2387" t="s">
        <v>125</v>
      </c>
      <c r="N2387" t="s">
        <v>361</v>
      </c>
    </row>
    <row r="2388" spans="1:14">
      <c r="A2388" t="s">
        <v>29</v>
      </c>
      <c r="B2388">
        <v>1185732</v>
      </c>
      <c r="C2388" s="2">
        <v>44238</v>
      </c>
      <c r="D2388" t="s">
        <v>138</v>
      </c>
      <c r="E2388" t="s">
        <v>199</v>
      </c>
      <c r="F2388" t="s">
        <v>208</v>
      </c>
      <c r="G2388" t="s">
        <v>27</v>
      </c>
      <c r="H2388" s="3">
        <v>0.35000000000000003</v>
      </c>
      <c r="I2388">
        <v>8250</v>
      </c>
      <c r="J2388" s="4">
        <v>2887.5000000000005</v>
      </c>
      <c r="K2388" s="4">
        <v>1155.0000000000002</v>
      </c>
      <c r="L2388" s="5">
        <v>0.4</v>
      </c>
      <c r="M2388" t="s">
        <v>126</v>
      </c>
      <c r="N2388" t="s">
        <v>361</v>
      </c>
    </row>
    <row r="2389" spans="1:14">
      <c r="A2389" t="s">
        <v>29</v>
      </c>
      <c r="B2389">
        <v>1185732</v>
      </c>
      <c r="C2389" s="2">
        <v>44238</v>
      </c>
      <c r="D2389" t="s">
        <v>138</v>
      </c>
      <c r="E2389" t="s">
        <v>199</v>
      </c>
      <c r="F2389" t="s">
        <v>208</v>
      </c>
      <c r="G2389" t="s">
        <v>145</v>
      </c>
      <c r="H2389" s="3">
        <v>0.35000000000000003</v>
      </c>
      <c r="I2389">
        <v>4750</v>
      </c>
      <c r="J2389" s="4">
        <v>1662.5000000000002</v>
      </c>
      <c r="K2389" s="4">
        <v>581.875</v>
      </c>
      <c r="L2389" s="5">
        <v>0.35</v>
      </c>
      <c r="M2389" t="s">
        <v>126</v>
      </c>
      <c r="N2389" t="s">
        <v>361</v>
      </c>
    </row>
    <row r="2390" spans="1:14">
      <c r="A2390" t="s">
        <v>29</v>
      </c>
      <c r="B2390">
        <v>1185732</v>
      </c>
      <c r="C2390" s="2">
        <v>44238</v>
      </c>
      <c r="D2390" t="s">
        <v>138</v>
      </c>
      <c r="E2390" t="s">
        <v>199</v>
      </c>
      <c r="F2390" t="s">
        <v>208</v>
      </c>
      <c r="G2390" t="s">
        <v>146</v>
      </c>
      <c r="H2390" s="3">
        <v>0.25000000000000006</v>
      </c>
      <c r="I2390">
        <v>5250</v>
      </c>
      <c r="J2390" s="4">
        <v>1312.5000000000002</v>
      </c>
      <c r="K2390" s="4">
        <v>525.00000000000011</v>
      </c>
      <c r="L2390" s="5">
        <v>0.4</v>
      </c>
      <c r="M2390" t="s">
        <v>126</v>
      </c>
      <c r="N2390" t="s">
        <v>361</v>
      </c>
    </row>
    <row r="2391" spans="1:14">
      <c r="A2391" t="s">
        <v>29</v>
      </c>
      <c r="B2391">
        <v>1185732</v>
      </c>
      <c r="C2391" s="2">
        <v>44238</v>
      </c>
      <c r="D2391" t="s">
        <v>138</v>
      </c>
      <c r="E2391" t="s">
        <v>199</v>
      </c>
      <c r="F2391" t="s">
        <v>208</v>
      </c>
      <c r="G2391" t="s">
        <v>148</v>
      </c>
      <c r="H2391" s="3">
        <v>0.3</v>
      </c>
      <c r="I2391">
        <v>3750</v>
      </c>
      <c r="J2391" s="4">
        <v>1125</v>
      </c>
      <c r="K2391" s="4">
        <v>450</v>
      </c>
      <c r="L2391" s="5">
        <v>0.4</v>
      </c>
      <c r="M2391" t="s">
        <v>126</v>
      </c>
      <c r="N2391" t="s">
        <v>361</v>
      </c>
    </row>
    <row r="2392" spans="1:14">
      <c r="A2392" t="s">
        <v>29</v>
      </c>
      <c r="B2392">
        <v>1185732</v>
      </c>
      <c r="C2392" s="2">
        <v>44238</v>
      </c>
      <c r="D2392" t="s">
        <v>138</v>
      </c>
      <c r="E2392" t="s">
        <v>199</v>
      </c>
      <c r="F2392" t="s">
        <v>208</v>
      </c>
      <c r="G2392" t="s">
        <v>147</v>
      </c>
      <c r="H2392" s="3">
        <v>0.45</v>
      </c>
      <c r="I2392">
        <v>4500</v>
      </c>
      <c r="J2392" s="4">
        <v>2025</v>
      </c>
      <c r="K2392" s="4">
        <v>708.75</v>
      </c>
      <c r="L2392" s="5">
        <v>0.35</v>
      </c>
      <c r="M2392" t="s">
        <v>126</v>
      </c>
      <c r="N2392" t="s">
        <v>361</v>
      </c>
    </row>
    <row r="2393" spans="1:14">
      <c r="A2393" t="s">
        <v>29</v>
      </c>
      <c r="B2393">
        <v>1185732</v>
      </c>
      <c r="C2393" s="2">
        <v>44238</v>
      </c>
      <c r="D2393" t="s">
        <v>138</v>
      </c>
      <c r="E2393" t="s">
        <v>199</v>
      </c>
      <c r="F2393" t="s">
        <v>208</v>
      </c>
      <c r="G2393" t="s">
        <v>144</v>
      </c>
      <c r="H2393" s="3">
        <v>0.3</v>
      </c>
      <c r="I2393">
        <v>5500</v>
      </c>
      <c r="J2393" s="4">
        <v>1650</v>
      </c>
      <c r="K2393" s="4">
        <v>825</v>
      </c>
      <c r="L2393" s="5">
        <v>0.5</v>
      </c>
      <c r="M2393" t="s">
        <v>126</v>
      </c>
      <c r="N2393" t="s">
        <v>361</v>
      </c>
    </row>
    <row r="2394" spans="1:14">
      <c r="A2394" t="s">
        <v>29</v>
      </c>
      <c r="B2394">
        <v>1185732</v>
      </c>
      <c r="C2394" s="2">
        <v>44264</v>
      </c>
      <c r="D2394" t="s">
        <v>138</v>
      </c>
      <c r="E2394" t="s">
        <v>199</v>
      </c>
      <c r="F2394" t="s">
        <v>208</v>
      </c>
      <c r="G2394" t="s">
        <v>27</v>
      </c>
      <c r="H2394" s="3">
        <v>0.3</v>
      </c>
      <c r="I2394">
        <v>7700</v>
      </c>
      <c r="J2394" s="4">
        <v>2310</v>
      </c>
      <c r="K2394" s="4">
        <v>924</v>
      </c>
      <c r="L2394" s="5">
        <v>0.4</v>
      </c>
      <c r="M2394" t="s">
        <v>24</v>
      </c>
      <c r="N2394" t="s">
        <v>361</v>
      </c>
    </row>
    <row r="2395" spans="1:14">
      <c r="A2395" t="s">
        <v>29</v>
      </c>
      <c r="B2395">
        <v>1185732</v>
      </c>
      <c r="C2395" s="2">
        <v>44264</v>
      </c>
      <c r="D2395" t="s">
        <v>138</v>
      </c>
      <c r="E2395" t="s">
        <v>199</v>
      </c>
      <c r="F2395" t="s">
        <v>208</v>
      </c>
      <c r="G2395" t="s">
        <v>145</v>
      </c>
      <c r="H2395" s="3">
        <v>0.3</v>
      </c>
      <c r="I2395">
        <v>4500</v>
      </c>
      <c r="J2395" s="4">
        <v>1350</v>
      </c>
      <c r="K2395" s="4">
        <v>472.49999999999994</v>
      </c>
      <c r="L2395" s="5">
        <v>0.35</v>
      </c>
      <c r="M2395" t="s">
        <v>24</v>
      </c>
      <c r="N2395" t="s">
        <v>361</v>
      </c>
    </row>
    <row r="2396" spans="1:14">
      <c r="A2396" t="s">
        <v>29</v>
      </c>
      <c r="B2396">
        <v>1185732</v>
      </c>
      <c r="C2396" s="2">
        <v>44264</v>
      </c>
      <c r="D2396" t="s">
        <v>138</v>
      </c>
      <c r="E2396" t="s">
        <v>199</v>
      </c>
      <c r="F2396" t="s">
        <v>208</v>
      </c>
      <c r="G2396" t="s">
        <v>146</v>
      </c>
      <c r="H2396" s="3">
        <v>0.2</v>
      </c>
      <c r="I2396">
        <v>4750</v>
      </c>
      <c r="J2396" s="4">
        <v>950</v>
      </c>
      <c r="K2396" s="4">
        <v>380</v>
      </c>
      <c r="L2396" s="5">
        <v>0.4</v>
      </c>
      <c r="M2396" t="s">
        <v>24</v>
      </c>
      <c r="N2396" t="s">
        <v>361</v>
      </c>
    </row>
    <row r="2397" spans="1:14">
      <c r="A2397" t="s">
        <v>29</v>
      </c>
      <c r="B2397">
        <v>1185732</v>
      </c>
      <c r="C2397" s="2">
        <v>44264</v>
      </c>
      <c r="D2397" t="s">
        <v>138</v>
      </c>
      <c r="E2397" t="s">
        <v>199</v>
      </c>
      <c r="F2397" t="s">
        <v>208</v>
      </c>
      <c r="G2397" t="s">
        <v>148</v>
      </c>
      <c r="H2397" s="3">
        <v>0.24999999999999994</v>
      </c>
      <c r="I2397">
        <v>3250</v>
      </c>
      <c r="J2397" s="4">
        <v>812.49999999999977</v>
      </c>
      <c r="K2397" s="4">
        <v>324.99999999999994</v>
      </c>
      <c r="L2397" s="5">
        <v>0.4</v>
      </c>
      <c r="M2397" t="s">
        <v>24</v>
      </c>
      <c r="N2397" t="s">
        <v>361</v>
      </c>
    </row>
    <row r="2398" spans="1:14">
      <c r="A2398" t="s">
        <v>29</v>
      </c>
      <c r="B2398">
        <v>1185732</v>
      </c>
      <c r="C2398" s="2">
        <v>44264</v>
      </c>
      <c r="D2398" t="s">
        <v>138</v>
      </c>
      <c r="E2398" t="s">
        <v>199</v>
      </c>
      <c r="F2398" t="s">
        <v>208</v>
      </c>
      <c r="G2398" t="s">
        <v>147</v>
      </c>
      <c r="H2398" s="3">
        <v>0.40000000000000008</v>
      </c>
      <c r="I2398">
        <v>3750</v>
      </c>
      <c r="J2398" s="4">
        <v>1500.0000000000002</v>
      </c>
      <c r="K2398" s="4">
        <v>525</v>
      </c>
      <c r="L2398" s="5">
        <v>0.35</v>
      </c>
      <c r="M2398" t="s">
        <v>24</v>
      </c>
      <c r="N2398" t="s">
        <v>361</v>
      </c>
    </row>
    <row r="2399" spans="1:14">
      <c r="A2399" t="s">
        <v>29</v>
      </c>
      <c r="B2399">
        <v>1185732</v>
      </c>
      <c r="C2399" s="2">
        <v>44264</v>
      </c>
      <c r="D2399" t="s">
        <v>138</v>
      </c>
      <c r="E2399" t="s">
        <v>199</v>
      </c>
      <c r="F2399" t="s">
        <v>208</v>
      </c>
      <c r="G2399" t="s">
        <v>144</v>
      </c>
      <c r="H2399" s="3">
        <v>0.3</v>
      </c>
      <c r="I2399">
        <v>4750</v>
      </c>
      <c r="J2399" s="4">
        <v>1425</v>
      </c>
      <c r="K2399" s="4">
        <v>712.5</v>
      </c>
      <c r="L2399" s="5">
        <v>0.5</v>
      </c>
      <c r="M2399" t="s">
        <v>24</v>
      </c>
      <c r="N2399" t="s">
        <v>361</v>
      </c>
    </row>
    <row r="2400" spans="1:14">
      <c r="A2400" t="s">
        <v>29</v>
      </c>
      <c r="B2400">
        <v>1185732</v>
      </c>
      <c r="C2400" s="2">
        <v>44296</v>
      </c>
      <c r="D2400" t="s">
        <v>138</v>
      </c>
      <c r="E2400" t="s">
        <v>199</v>
      </c>
      <c r="F2400" t="s">
        <v>208</v>
      </c>
      <c r="G2400" t="s">
        <v>27</v>
      </c>
      <c r="H2400" s="3">
        <v>0.3</v>
      </c>
      <c r="I2400">
        <v>7250</v>
      </c>
      <c r="J2400" s="4">
        <v>2175</v>
      </c>
      <c r="K2400" s="4">
        <v>870</v>
      </c>
      <c r="L2400" s="5">
        <v>0.4</v>
      </c>
      <c r="M2400" t="s">
        <v>127</v>
      </c>
      <c r="N2400" t="s">
        <v>362</v>
      </c>
    </row>
    <row r="2401" spans="1:14">
      <c r="A2401" t="s">
        <v>29</v>
      </c>
      <c r="B2401">
        <v>1185732</v>
      </c>
      <c r="C2401" s="2">
        <v>44296</v>
      </c>
      <c r="D2401" t="s">
        <v>138</v>
      </c>
      <c r="E2401" t="s">
        <v>199</v>
      </c>
      <c r="F2401" t="s">
        <v>208</v>
      </c>
      <c r="G2401" t="s">
        <v>145</v>
      </c>
      <c r="H2401" s="3">
        <v>0.3</v>
      </c>
      <c r="I2401">
        <v>4250</v>
      </c>
      <c r="J2401" s="4">
        <v>1275</v>
      </c>
      <c r="K2401" s="4">
        <v>446.25</v>
      </c>
      <c r="L2401" s="5">
        <v>0.35</v>
      </c>
      <c r="M2401" t="s">
        <v>127</v>
      </c>
      <c r="N2401" t="s">
        <v>362</v>
      </c>
    </row>
    <row r="2402" spans="1:14">
      <c r="A2402" t="s">
        <v>29</v>
      </c>
      <c r="B2402">
        <v>1185732</v>
      </c>
      <c r="C2402" s="2">
        <v>44296</v>
      </c>
      <c r="D2402" t="s">
        <v>138</v>
      </c>
      <c r="E2402" t="s">
        <v>199</v>
      </c>
      <c r="F2402" t="s">
        <v>208</v>
      </c>
      <c r="G2402" t="s">
        <v>146</v>
      </c>
      <c r="H2402" s="3">
        <v>0.2</v>
      </c>
      <c r="I2402">
        <v>4250</v>
      </c>
      <c r="J2402" s="4">
        <v>850</v>
      </c>
      <c r="K2402" s="4">
        <v>340</v>
      </c>
      <c r="L2402" s="5">
        <v>0.4</v>
      </c>
      <c r="M2402" t="s">
        <v>127</v>
      </c>
      <c r="N2402" t="s">
        <v>362</v>
      </c>
    </row>
    <row r="2403" spans="1:14">
      <c r="A2403" t="s">
        <v>29</v>
      </c>
      <c r="B2403">
        <v>1185732</v>
      </c>
      <c r="C2403" s="2">
        <v>44296</v>
      </c>
      <c r="D2403" t="s">
        <v>138</v>
      </c>
      <c r="E2403" t="s">
        <v>199</v>
      </c>
      <c r="F2403" t="s">
        <v>208</v>
      </c>
      <c r="G2403" t="s">
        <v>148</v>
      </c>
      <c r="H2403" s="3">
        <v>0.24999999999999994</v>
      </c>
      <c r="I2403">
        <v>3500</v>
      </c>
      <c r="J2403" s="4">
        <v>874.99999999999977</v>
      </c>
      <c r="K2403" s="4">
        <v>349.99999999999994</v>
      </c>
      <c r="L2403" s="5">
        <v>0.4</v>
      </c>
      <c r="M2403" t="s">
        <v>127</v>
      </c>
      <c r="N2403" t="s">
        <v>362</v>
      </c>
    </row>
    <row r="2404" spans="1:14">
      <c r="A2404" t="s">
        <v>29</v>
      </c>
      <c r="B2404">
        <v>1185732</v>
      </c>
      <c r="C2404" s="2">
        <v>44296</v>
      </c>
      <c r="D2404" t="s">
        <v>138</v>
      </c>
      <c r="E2404" t="s">
        <v>199</v>
      </c>
      <c r="F2404" t="s">
        <v>208</v>
      </c>
      <c r="G2404" t="s">
        <v>147</v>
      </c>
      <c r="H2404" s="3">
        <v>0.45</v>
      </c>
      <c r="I2404">
        <v>3750</v>
      </c>
      <c r="J2404" s="4">
        <v>1687.5</v>
      </c>
      <c r="K2404" s="4">
        <v>590.625</v>
      </c>
      <c r="L2404" s="5">
        <v>0.35</v>
      </c>
      <c r="M2404" t="s">
        <v>127</v>
      </c>
      <c r="N2404" t="s">
        <v>362</v>
      </c>
    </row>
    <row r="2405" spans="1:14">
      <c r="A2405" t="s">
        <v>29</v>
      </c>
      <c r="B2405">
        <v>1185732</v>
      </c>
      <c r="C2405" s="2">
        <v>44296</v>
      </c>
      <c r="D2405" t="s">
        <v>138</v>
      </c>
      <c r="E2405" t="s">
        <v>199</v>
      </c>
      <c r="F2405" t="s">
        <v>208</v>
      </c>
      <c r="G2405" t="s">
        <v>144</v>
      </c>
      <c r="H2405" s="3">
        <v>0.35000000000000003</v>
      </c>
      <c r="I2405">
        <v>5250</v>
      </c>
      <c r="J2405" s="4">
        <v>1837.5000000000002</v>
      </c>
      <c r="K2405" s="4">
        <v>918.75000000000011</v>
      </c>
      <c r="L2405" s="5">
        <v>0.5</v>
      </c>
      <c r="M2405" t="s">
        <v>127</v>
      </c>
      <c r="N2405" t="s">
        <v>362</v>
      </c>
    </row>
    <row r="2406" spans="1:14">
      <c r="A2406" t="s">
        <v>29</v>
      </c>
      <c r="B2406">
        <v>1185732</v>
      </c>
      <c r="C2406" s="2">
        <v>44325</v>
      </c>
      <c r="D2406" t="s">
        <v>138</v>
      </c>
      <c r="E2406" t="s">
        <v>199</v>
      </c>
      <c r="F2406" t="s">
        <v>208</v>
      </c>
      <c r="G2406" t="s">
        <v>27</v>
      </c>
      <c r="H2406" s="3">
        <v>0.45</v>
      </c>
      <c r="I2406">
        <v>7950</v>
      </c>
      <c r="J2406" s="4">
        <v>3577.5</v>
      </c>
      <c r="K2406" s="4">
        <v>1431</v>
      </c>
      <c r="L2406" s="5">
        <v>0.4</v>
      </c>
      <c r="M2406" t="s">
        <v>128</v>
      </c>
      <c r="N2406" t="s">
        <v>362</v>
      </c>
    </row>
    <row r="2407" spans="1:14">
      <c r="A2407" t="s">
        <v>29</v>
      </c>
      <c r="B2407">
        <v>1185732</v>
      </c>
      <c r="C2407" s="2">
        <v>44325</v>
      </c>
      <c r="D2407" t="s">
        <v>138</v>
      </c>
      <c r="E2407" t="s">
        <v>199</v>
      </c>
      <c r="F2407" t="s">
        <v>208</v>
      </c>
      <c r="G2407" t="s">
        <v>145</v>
      </c>
      <c r="H2407" s="3">
        <v>0.45</v>
      </c>
      <c r="I2407">
        <v>5000</v>
      </c>
      <c r="J2407" s="4">
        <v>2250</v>
      </c>
      <c r="K2407" s="4">
        <v>787.5</v>
      </c>
      <c r="L2407" s="5">
        <v>0.35</v>
      </c>
      <c r="M2407" t="s">
        <v>128</v>
      </c>
      <c r="N2407" t="s">
        <v>362</v>
      </c>
    </row>
    <row r="2408" spans="1:14">
      <c r="A2408" t="s">
        <v>29</v>
      </c>
      <c r="B2408">
        <v>1185732</v>
      </c>
      <c r="C2408" s="2">
        <v>44325</v>
      </c>
      <c r="D2408" t="s">
        <v>138</v>
      </c>
      <c r="E2408" t="s">
        <v>199</v>
      </c>
      <c r="F2408" t="s">
        <v>208</v>
      </c>
      <c r="G2408" t="s">
        <v>146</v>
      </c>
      <c r="H2408" s="3">
        <v>0.4</v>
      </c>
      <c r="I2408">
        <v>4750</v>
      </c>
      <c r="J2408" s="4">
        <v>1900</v>
      </c>
      <c r="K2408" s="4">
        <v>760</v>
      </c>
      <c r="L2408" s="5">
        <v>0.4</v>
      </c>
      <c r="M2408" t="s">
        <v>128</v>
      </c>
      <c r="N2408" t="s">
        <v>362</v>
      </c>
    </row>
    <row r="2409" spans="1:14">
      <c r="A2409" t="s">
        <v>29</v>
      </c>
      <c r="B2409">
        <v>1185732</v>
      </c>
      <c r="C2409" s="2">
        <v>44325</v>
      </c>
      <c r="D2409" t="s">
        <v>138</v>
      </c>
      <c r="E2409" t="s">
        <v>199</v>
      </c>
      <c r="F2409" t="s">
        <v>208</v>
      </c>
      <c r="G2409" t="s">
        <v>148</v>
      </c>
      <c r="H2409" s="3">
        <v>0.4</v>
      </c>
      <c r="I2409">
        <v>4250</v>
      </c>
      <c r="J2409" s="4">
        <v>1700</v>
      </c>
      <c r="K2409" s="4">
        <v>680</v>
      </c>
      <c r="L2409" s="5">
        <v>0.4</v>
      </c>
      <c r="M2409" t="s">
        <v>128</v>
      </c>
      <c r="N2409" t="s">
        <v>362</v>
      </c>
    </row>
    <row r="2410" spans="1:14">
      <c r="A2410" t="s">
        <v>29</v>
      </c>
      <c r="B2410">
        <v>1185732</v>
      </c>
      <c r="C2410" s="2">
        <v>44325</v>
      </c>
      <c r="D2410" t="s">
        <v>138</v>
      </c>
      <c r="E2410" t="s">
        <v>199</v>
      </c>
      <c r="F2410" t="s">
        <v>208</v>
      </c>
      <c r="G2410" t="s">
        <v>147</v>
      </c>
      <c r="H2410" s="3">
        <v>0.49999999999999994</v>
      </c>
      <c r="I2410">
        <v>4500</v>
      </c>
      <c r="J2410" s="4">
        <v>2249.9999999999995</v>
      </c>
      <c r="K2410" s="4">
        <v>787.49999999999977</v>
      </c>
      <c r="L2410" s="5">
        <v>0.35</v>
      </c>
      <c r="M2410" t="s">
        <v>128</v>
      </c>
      <c r="N2410" t="s">
        <v>362</v>
      </c>
    </row>
    <row r="2411" spans="1:14">
      <c r="A2411" t="s">
        <v>29</v>
      </c>
      <c r="B2411">
        <v>1185732</v>
      </c>
      <c r="C2411" s="2">
        <v>44325</v>
      </c>
      <c r="D2411" t="s">
        <v>138</v>
      </c>
      <c r="E2411" t="s">
        <v>199</v>
      </c>
      <c r="F2411" t="s">
        <v>208</v>
      </c>
      <c r="G2411" t="s">
        <v>144</v>
      </c>
      <c r="H2411" s="3">
        <v>0.54999999999999993</v>
      </c>
      <c r="I2411">
        <v>5500</v>
      </c>
      <c r="J2411" s="4">
        <v>3024.9999999999995</v>
      </c>
      <c r="K2411" s="4">
        <v>1512.4999999999998</v>
      </c>
      <c r="L2411" s="5">
        <v>0.5</v>
      </c>
      <c r="M2411" t="s">
        <v>128</v>
      </c>
      <c r="N2411" t="s">
        <v>362</v>
      </c>
    </row>
    <row r="2412" spans="1:14">
      <c r="A2412" t="s">
        <v>29</v>
      </c>
      <c r="B2412">
        <v>1185732</v>
      </c>
      <c r="C2412" s="2">
        <v>44358</v>
      </c>
      <c r="D2412" t="s">
        <v>138</v>
      </c>
      <c r="E2412" t="s">
        <v>199</v>
      </c>
      <c r="F2412" t="s">
        <v>208</v>
      </c>
      <c r="G2412" t="s">
        <v>27</v>
      </c>
      <c r="H2412" s="3">
        <v>0.49999999999999994</v>
      </c>
      <c r="I2412">
        <v>8000</v>
      </c>
      <c r="J2412" s="4">
        <v>3999.9999999999995</v>
      </c>
      <c r="K2412" s="4">
        <v>1600</v>
      </c>
      <c r="L2412" s="5">
        <v>0.4</v>
      </c>
      <c r="M2412" t="s">
        <v>129</v>
      </c>
      <c r="N2412" t="s">
        <v>362</v>
      </c>
    </row>
    <row r="2413" spans="1:14">
      <c r="A2413" t="s">
        <v>29</v>
      </c>
      <c r="B2413">
        <v>1185732</v>
      </c>
      <c r="C2413" s="2">
        <v>44358</v>
      </c>
      <c r="D2413" t="s">
        <v>138</v>
      </c>
      <c r="E2413" t="s">
        <v>199</v>
      </c>
      <c r="F2413" t="s">
        <v>208</v>
      </c>
      <c r="G2413" t="s">
        <v>145</v>
      </c>
      <c r="H2413" s="3">
        <v>0.45</v>
      </c>
      <c r="I2413">
        <v>5500</v>
      </c>
      <c r="J2413" s="4">
        <v>2475</v>
      </c>
      <c r="K2413" s="4">
        <v>866.25</v>
      </c>
      <c r="L2413" s="5">
        <v>0.35</v>
      </c>
      <c r="M2413" t="s">
        <v>129</v>
      </c>
      <c r="N2413" t="s">
        <v>362</v>
      </c>
    </row>
    <row r="2414" spans="1:14">
      <c r="A2414" t="s">
        <v>29</v>
      </c>
      <c r="B2414">
        <v>1185732</v>
      </c>
      <c r="C2414" s="2">
        <v>44358</v>
      </c>
      <c r="D2414" t="s">
        <v>138</v>
      </c>
      <c r="E2414" t="s">
        <v>199</v>
      </c>
      <c r="F2414" t="s">
        <v>208</v>
      </c>
      <c r="G2414" t="s">
        <v>146</v>
      </c>
      <c r="H2414" s="3">
        <v>0.5</v>
      </c>
      <c r="I2414">
        <v>5250</v>
      </c>
      <c r="J2414" s="4">
        <v>2625</v>
      </c>
      <c r="K2414" s="4">
        <v>1050</v>
      </c>
      <c r="L2414" s="5">
        <v>0.4</v>
      </c>
      <c r="M2414" t="s">
        <v>129</v>
      </c>
      <c r="N2414" t="s">
        <v>362</v>
      </c>
    </row>
    <row r="2415" spans="1:14">
      <c r="A2415" t="s">
        <v>29</v>
      </c>
      <c r="B2415">
        <v>1185732</v>
      </c>
      <c r="C2415" s="2">
        <v>44358</v>
      </c>
      <c r="D2415" t="s">
        <v>138</v>
      </c>
      <c r="E2415" t="s">
        <v>199</v>
      </c>
      <c r="F2415" t="s">
        <v>208</v>
      </c>
      <c r="G2415" t="s">
        <v>148</v>
      </c>
      <c r="H2415" s="3">
        <v>0.5</v>
      </c>
      <c r="I2415">
        <v>5000</v>
      </c>
      <c r="J2415" s="4">
        <v>2500</v>
      </c>
      <c r="K2415" s="4">
        <v>1000</v>
      </c>
      <c r="L2415" s="5">
        <v>0.4</v>
      </c>
      <c r="M2415" t="s">
        <v>129</v>
      </c>
      <c r="N2415" t="s">
        <v>362</v>
      </c>
    </row>
    <row r="2416" spans="1:14">
      <c r="A2416" t="s">
        <v>29</v>
      </c>
      <c r="B2416">
        <v>1185732</v>
      </c>
      <c r="C2416" s="2">
        <v>44358</v>
      </c>
      <c r="D2416" t="s">
        <v>138</v>
      </c>
      <c r="E2416" t="s">
        <v>199</v>
      </c>
      <c r="F2416" t="s">
        <v>208</v>
      </c>
      <c r="G2416" t="s">
        <v>147</v>
      </c>
      <c r="H2416" s="3">
        <v>0.65</v>
      </c>
      <c r="I2416">
        <v>5000</v>
      </c>
      <c r="J2416" s="4">
        <v>3250</v>
      </c>
      <c r="K2416" s="4">
        <v>1137.5</v>
      </c>
      <c r="L2416" s="5">
        <v>0.35</v>
      </c>
      <c r="M2416" t="s">
        <v>129</v>
      </c>
      <c r="N2416" t="s">
        <v>362</v>
      </c>
    </row>
    <row r="2417" spans="1:14">
      <c r="A2417" t="s">
        <v>29</v>
      </c>
      <c r="B2417">
        <v>1185732</v>
      </c>
      <c r="C2417" s="2">
        <v>44358</v>
      </c>
      <c r="D2417" t="s">
        <v>138</v>
      </c>
      <c r="E2417" t="s">
        <v>199</v>
      </c>
      <c r="F2417" t="s">
        <v>208</v>
      </c>
      <c r="G2417" t="s">
        <v>144</v>
      </c>
      <c r="H2417" s="3">
        <v>0.70000000000000007</v>
      </c>
      <c r="I2417">
        <v>6750</v>
      </c>
      <c r="J2417" s="4">
        <v>4725</v>
      </c>
      <c r="K2417" s="4">
        <v>2362.5</v>
      </c>
      <c r="L2417" s="5">
        <v>0.5</v>
      </c>
      <c r="M2417" t="s">
        <v>129</v>
      </c>
      <c r="N2417" t="s">
        <v>362</v>
      </c>
    </row>
    <row r="2418" spans="1:14">
      <c r="A2418" t="s">
        <v>29</v>
      </c>
      <c r="B2418">
        <v>1185732</v>
      </c>
      <c r="C2418" s="2">
        <v>44386</v>
      </c>
      <c r="D2418" t="s">
        <v>138</v>
      </c>
      <c r="E2418" t="s">
        <v>199</v>
      </c>
      <c r="F2418" t="s">
        <v>208</v>
      </c>
      <c r="G2418" t="s">
        <v>27</v>
      </c>
      <c r="H2418" s="3">
        <v>0.65</v>
      </c>
      <c r="I2418">
        <v>9000</v>
      </c>
      <c r="J2418" s="4">
        <v>5850</v>
      </c>
      <c r="K2418" s="4">
        <v>2340</v>
      </c>
      <c r="L2418" s="5">
        <v>0.4</v>
      </c>
      <c r="M2418" t="s">
        <v>130</v>
      </c>
      <c r="N2418" t="s">
        <v>363</v>
      </c>
    </row>
    <row r="2419" spans="1:14">
      <c r="A2419" t="s">
        <v>29</v>
      </c>
      <c r="B2419">
        <v>1185732</v>
      </c>
      <c r="C2419" s="2">
        <v>44386</v>
      </c>
      <c r="D2419" t="s">
        <v>138</v>
      </c>
      <c r="E2419" t="s">
        <v>199</v>
      </c>
      <c r="F2419" t="s">
        <v>208</v>
      </c>
      <c r="G2419" t="s">
        <v>145</v>
      </c>
      <c r="H2419" s="3">
        <v>0.60000000000000009</v>
      </c>
      <c r="I2419">
        <v>6500</v>
      </c>
      <c r="J2419" s="4">
        <v>3900.0000000000005</v>
      </c>
      <c r="K2419" s="4">
        <v>1365</v>
      </c>
      <c r="L2419" s="5">
        <v>0.35</v>
      </c>
      <c r="M2419" t="s">
        <v>130</v>
      </c>
      <c r="N2419" t="s">
        <v>363</v>
      </c>
    </row>
    <row r="2420" spans="1:14">
      <c r="A2420" t="s">
        <v>29</v>
      </c>
      <c r="B2420">
        <v>1185732</v>
      </c>
      <c r="C2420" s="2">
        <v>44386</v>
      </c>
      <c r="D2420" t="s">
        <v>138</v>
      </c>
      <c r="E2420" t="s">
        <v>199</v>
      </c>
      <c r="F2420" t="s">
        <v>208</v>
      </c>
      <c r="G2420" t="s">
        <v>146</v>
      </c>
      <c r="H2420" s="3">
        <v>0.55000000000000004</v>
      </c>
      <c r="I2420">
        <v>5750</v>
      </c>
      <c r="J2420" s="4">
        <v>3162.5000000000005</v>
      </c>
      <c r="K2420" s="4">
        <v>1265.0000000000002</v>
      </c>
      <c r="L2420" s="5">
        <v>0.4</v>
      </c>
      <c r="M2420" t="s">
        <v>130</v>
      </c>
      <c r="N2420" t="s">
        <v>363</v>
      </c>
    </row>
    <row r="2421" spans="1:14">
      <c r="A2421" t="s">
        <v>29</v>
      </c>
      <c r="B2421">
        <v>1185732</v>
      </c>
      <c r="C2421" s="2">
        <v>44386</v>
      </c>
      <c r="D2421" t="s">
        <v>138</v>
      </c>
      <c r="E2421" t="s">
        <v>199</v>
      </c>
      <c r="F2421" t="s">
        <v>208</v>
      </c>
      <c r="G2421" t="s">
        <v>148</v>
      </c>
      <c r="H2421" s="3">
        <v>0.55000000000000004</v>
      </c>
      <c r="I2421">
        <v>5250</v>
      </c>
      <c r="J2421" s="4">
        <v>2887.5000000000005</v>
      </c>
      <c r="K2421" s="4">
        <v>1155.0000000000002</v>
      </c>
      <c r="L2421" s="5">
        <v>0.4</v>
      </c>
      <c r="M2421" t="s">
        <v>130</v>
      </c>
      <c r="N2421" t="s">
        <v>363</v>
      </c>
    </row>
    <row r="2422" spans="1:14">
      <c r="A2422" t="s">
        <v>29</v>
      </c>
      <c r="B2422">
        <v>1185732</v>
      </c>
      <c r="C2422" s="2">
        <v>44386</v>
      </c>
      <c r="D2422" t="s">
        <v>138</v>
      </c>
      <c r="E2422" t="s">
        <v>199</v>
      </c>
      <c r="F2422" t="s">
        <v>208</v>
      </c>
      <c r="G2422" t="s">
        <v>147</v>
      </c>
      <c r="H2422" s="3">
        <v>0.65</v>
      </c>
      <c r="I2422">
        <v>5500</v>
      </c>
      <c r="J2422" s="4">
        <v>3575</v>
      </c>
      <c r="K2422" s="4">
        <v>1251.25</v>
      </c>
      <c r="L2422" s="5">
        <v>0.35</v>
      </c>
      <c r="M2422" t="s">
        <v>130</v>
      </c>
      <c r="N2422" t="s">
        <v>363</v>
      </c>
    </row>
    <row r="2423" spans="1:14">
      <c r="A2423" t="s">
        <v>29</v>
      </c>
      <c r="B2423">
        <v>1185732</v>
      </c>
      <c r="C2423" s="2">
        <v>44386</v>
      </c>
      <c r="D2423" t="s">
        <v>138</v>
      </c>
      <c r="E2423" t="s">
        <v>199</v>
      </c>
      <c r="F2423" t="s">
        <v>208</v>
      </c>
      <c r="G2423" t="s">
        <v>144</v>
      </c>
      <c r="H2423" s="3">
        <v>0.70000000000000007</v>
      </c>
      <c r="I2423">
        <v>7250</v>
      </c>
      <c r="J2423" s="4">
        <v>5075.0000000000009</v>
      </c>
      <c r="K2423" s="4">
        <v>2537.5000000000005</v>
      </c>
      <c r="L2423" s="5">
        <v>0.5</v>
      </c>
      <c r="M2423" t="s">
        <v>130</v>
      </c>
      <c r="N2423" t="s">
        <v>363</v>
      </c>
    </row>
    <row r="2424" spans="1:14">
      <c r="A2424" t="s">
        <v>29</v>
      </c>
      <c r="B2424">
        <v>1185732</v>
      </c>
      <c r="C2424" s="2">
        <v>44418</v>
      </c>
      <c r="D2424" t="s">
        <v>138</v>
      </c>
      <c r="E2424" t="s">
        <v>199</v>
      </c>
      <c r="F2424" t="s">
        <v>208</v>
      </c>
      <c r="G2424" t="s">
        <v>27</v>
      </c>
      <c r="H2424" s="3">
        <v>0.65</v>
      </c>
      <c r="I2424">
        <v>8750</v>
      </c>
      <c r="J2424" s="4">
        <v>5687.5</v>
      </c>
      <c r="K2424" s="4">
        <v>2275</v>
      </c>
      <c r="L2424" s="5">
        <v>0.4</v>
      </c>
      <c r="M2424" t="s">
        <v>131</v>
      </c>
      <c r="N2424" t="s">
        <v>363</v>
      </c>
    </row>
    <row r="2425" spans="1:14">
      <c r="A2425" t="s">
        <v>29</v>
      </c>
      <c r="B2425">
        <v>1185732</v>
      </c>
      <c r="C2425" s="2">
        <v>44418</v>
      </c>
      <c r="D2425" t="s">
        <v>138</v>
      </c>
      <c r="E2425" t="s">
        <v>199</v>
      </c>
      <c r="F2425" t="s">
        <v>208</v>
      </c>
      <c r="G2425" t="s">
        <v>145</v>
      </c>
      <c r="H2425" s="3">
        <v>0.60000000000000009</v>
      </c>
      <c r="I2425">
        <v>6500</v>
      </c>
      <c r="J2425" s="4">
        <v>3900.0000000000005</v>
      </c>
      <c r="K2425" s="4">
        <v>1365</v>
      </c>
      <c r="L2425" s="5">
        <v>0.35</v>
      </c>
      <c r="M2425" t="s">
        <v>131</v>
      </c>
      <c r="N2425" t="s">
        <v>363</v>
      </c>
    </row>
    <row r="2426" spans="1:14">
      <c r="A2426" t="s">
        <v>29</v>
      </c>
      <c r="B2426">
        <v>1185732</v>
      </c>
      <c r="C2426" s="2">
        <v>44418</v>
      </c>
      <c r="D2426" t="s">
        <v>138</v>
      </c>
      <c r="E2426" t="s">
        <v>199</v>
      </c>
      <c r="F2426" t="s">
        <v>208</v>
      </c>
      <c r="G2426" t="s">
        <v>146</v>
      </c>
      <c r="H2426" s="3">
        <v>0.55000000000000004</v>
      </c>
      <c r="I2426">
        <v>5750</v>
      </c>
      <c r="J2426" s="4">
        <v>3162.5000000000005</v>
      </c>
      <c r="K2426" s="4">
        <v>1265.0000000000002</v>
      </c>
      <c r="L2426" s="5">
        <v>0.4</v>
      </c>
      <c r="M2426" t="s">
        <v>131</v>
      </c>
      <c r="N2426" t="s">
        <v>363</v>
      </c>
    </row>
    <row r="2427" spans="1:14">
      <c r="A2427" t="s">
        <v>29</v>
      </c>
      <c r="B2427">
        <v>1185732</v>
      </c>
      <c r="C2427" s="2">
        <v>44418</v>
      </c>
      <c r="D2427" t="s">
        <v>138</v>
      </c>
      <c r="E2427" t="s">
        <v>199</v>
      </c>
      <c r="F2427" t="s">
        <v>208</v>
      </c>
      <c r="G2427" t="s">
        <v>148</v>
      </c>
      <c r="H2427" s="3">
        <v>0.45</v>
      </c>
      <c r="I2427">
        <v>5250</v>
      </c>
      <c r="J2427" s="4">
        <v>2362.5</v>
      </c>
      <c r="K2427" s="4">
        <v>945</v>
      </c>
      <c r="L2427" s="5">
        <v>0.4</v>
      </c>
      <c r="M2427" t="s">
        <v>131</v>
      </c>
      <c r="N2427" t="s">
        <v>363</v>
      </c>
    </row>
    <row r="2428" spans="1:14">
      <c r="A2428" t="s">
        <v>29</v>
      </c>
      <c r="B2428">
        <v>1185732</v>
      </c>
      <c r="C2428" s="2">
        <v>44418</v>
      </c>
      <c r="D2428" t="s">
        <v>138</v>
      </c>
      <c r="E2428" t="s">
        <v>199</v>
      </c>
      <c r="F2428" t="s">
        <v>208</v>
      </c>
      <c r="G2428" t="s">
        <v>147</v>
      </c>
      <c r="H2428" s="3">
        <v>0.55000000000000004</v>
      </c>
      <c r="I2428">
        <v>5000</v>
      </c>
      <c r="J2428" s="4">
        <v>2750</v>
      </c>
      <c r="K2428" s="4">
        <v>962.49999999999989</v>
      </c>
      <c r="L2428" s="5">
        <v>0.35</v>
      </c>
      <c r="M2428" t="s">
        <v>131</v>
      </c>
      <c r="N2428" t="s">
        <v>363</v>
      </c>
    </row>
    <row r="2429" spans="1:14">
      <c r="A2429" t="s">
        <v>29</v>
      </c>
      <c r="B2429">
        <v>1185732</v>
      </c>
      <c r="C2429" s="2">
        <v>44418</v>
      </c>
      <c r="D2429" t="s">
        <v>138</v>
      </c>
      <c r="E2429" t="s">
        <v>199</v>
      </c>
      <c r="F2429" t="s">
        <v>208</v>
      </c>
      <c r="G2429" t="s">
        <v>144</v>
      </c>
      <c r="H2429" s="3">
        <v>0.60000000000000009</v>
      </c>
      <c r="I2429">
        <v>6750</v>
      </c>
      <c r="J2429" s="4">
        <v>4050.0000000000005</v>
      </c>
      <c r="K2429" s="4">
        <v>2025.0000000000002</v>
      </c>
      <c r="L2429" s="5">
        <v>0.5</v>
      </c>
      <c r="M2429" t="s">
        <v>131</v>
      </c>
      <c r="N2429" t="s">
        <v>363</v>
      </c>
    </row>
    <row r="2430" spans="1:14">
      <c r="A2430" t="s">
        <v>29</v>
      </c>
      <c r="B2430">
        <v>1185732</v>
      </c>
      <c r="C2430" s="2">
        <v>44448</v>
      </c>
      <c r="D2430" t="s">
        <v>138</v>
      </c>
      <c r="E2430" t="s">
        <v>199</v>
      </c>
      <c r="F2430" t="s">
        <v>208</v>
      </c>
      <c r="G2430" t="s">
        <v>27</v>
      </c>
      <c r="H2430" s="3">
        <v>0.55000000000000004</v>
      </c>
      <c r="I2430">
        <v>7750</v>
      </c>
      <c r="J2430" s="4">
        <v>4262.5</v>
      </c>
      <c r="K2430" s="4">
        <v>1705</v>
      </c>
      <c r="L2430" s="5">
        <v>0.4</v>
      </c>
      <c r="M2430" t="s">
        <v>132</v>
      </c>
      <c r="N2430" t="s">
        <v>363</v>
      </c>
    </row>
    <row r="2431" spans="1:14">
      <c r="A2431" t="s">
        <v>29</v>
      </c>
      <c r="B2431">
        <v>1185732</v>
      </c>
      <c r="C2431" s="2">
        <v>44448</v>
      </c>
      <c r="D2431" t="s">
        <v>138</v>
      </c>
      <c r="E2431" t="s">
        <v>199</v>
      </c>
      <c r="F2431" t="s">
        <v>208</v>
      </c>
      <c r="G2431" t="s">
        <v>145</v>
      </c>
      <c r="H2431" s="3">
        <v>0.50000000000000011</v>
      </c>
      <c r="I2431">
        <v>5750</v>
      </c>
      <c r="J2431" s="4">
        <v>2875.0000000000005</v>
      </c>
      <c r="K2431" s="4">
        <v>1006.2500000000001</v>
      </c>
      <c r="L2431" s="5">
        <v>0.35</v>
      </c>
      <c r="M2431" t="s">
        <v>132</v>
      </c>
      <c r="N2431" t="s">
        <v>363</v>
      </c>
    </row>
    <row r="2432" spans="1:14">
      <c r="A2432" t="s">
        <v>29</v>
      </c>
      <c r="B2432">
        <v>1185732</v>
      </c>
      <c r="C2432" s="2">
        <v>44448</v>
      </c>
      <c r="D2432" t="s">
        <v>138</v>
      </c>
      <c r="E2432" t="s">
        <v>199</v>
      </c>
      <c r="F2432" t="s">
        <v>208</v>
      </c>
      <c r="G2432" t="s">
        <v>146</v>
      </c>
      <c r="H2432" s="3">
        <v>0.25000000000000006</v>
      </c>
      <c r="I2432">
        <v>4750</v>
      </c>
      <c r="J2432" s="4">
        <v>1187.5000000000002</v>
      </c>
      <c r="K2432" s="4">
        <v>475.00000000000011</v>
      </c>
      <c r="L2432" s="5">
        <v>0.4</v>
      </c>
      <c r="M2432" t="s">
        <v>132</v>
      </c>
      <c r="N2432" t="s">
        <v>363</v>
      </c>
    </row>
    <row r="2433" spans="1:14">
      <c r="A2433" t="s">
        <v>29</v>
      </c>
      <c r="B2433">
        <v>1185732</v>
      </c>
      <c r="C2433" s="2">
        <v>44448</v>
      </c>
      <c r="D2433" t="s">
        <v>138</v>
      </c>
      <c r="E2433" t="s">
        <v>199</v>
      </c>
      <c r="F2433" t="s">
        <v>208</v>
      </c>
      <c r="G2433" t="s">
        <v>148</v>
      </c>
      <c r="H2433" s="3">
        <v>0.25000000000000006</v>
      </c>
      <c r="I2433">
        <v>4500</v>
      </c>
      <c r="J2433" s="4">
        <v>1125.0000000000002</v>
      </c>
      <c r="K2433" s="4">
        <v>450.00000000000011</v>
      </c>
      <c r="L2433" s="5">
        <v>0.4</v>
      </c>
      <c r="M2433" t="s">
        <v>132</v>
      </c>
      <c r="N2433" t="s">
        <v>363</v>
      </c>
    </row>
    <row r="2434" spans="1:14">
      <c r="A2434" t="s">
        <v>29</v>
      </c>
      <c r="B2434">
        <v>1185732</v>
      </c>
      <c r="C2434" s="2">
        <v>44448</v>
      </c>
      <c r="D2434" t="s">
        <v>138</v>
      </c>
      <c r="E2434" t="s">
        <v>199</v>
      </c>
      <c r="F2434" t="s">
        <v>208</v>
      </c>
      <c r="G2434" t="s">
        <v>147</v>
      </c>
      <c r="H2434" s="3">
        <v>0.35000000000000003</v>
      </c>
      <c r="I2434">
        <v>4500</v>
      </c>
      <c r="J2434" s="4">
        <v>1575.0000000000002</v>
      </c>
      <c r="K2434" s="4">
        <v>551.25</v>
      </c>
      <c r="L2434" s="5">
        <v>0.35</v>
      </c>
      <c r="M2434" t="s">
        <v>132</v>
      </c>
      <c r="N2434" t="s">
        <v>363</v>
      </c>
    </row>
    <row r="2435" spans="1:14">
      <c r="A2435" t="s">
        <v>29</v>
      </c>
      <c r="B2435">
        <v>1185732</v>
      </c>
      <c r="C2435" s="2">
        <v>44448</v>
      </c>
      <c r="D2435" t="s">
        <v>138</v>
      </c>
      <c r="E2435" t="s">
        <v>199</v>
      </c>
      <c r="F2435" t="s">
        <v>208</v>
      </c>
      <c r="G2435" t="s">
        <v>144</v>
      </c>
      <c r="H2435" s="3">
        <v>0.40000000000000008</v>
      </c>
      <c r="I2435">
        <v>5500</v>
      </c>
      <c r="J2435" s="4">
        <v>2200.0000000000005</v>
      </c>
      <c r="K2435" s="4">
        <v>1100.0000000000002</v>
      </c>
      <c r="L2435" s="5">
        <v>0.5</v>
      </c>
      <c r="M2435" t="s">
        <v>132</v>
      </c>
      <c r="N2435" t="s">
        <v>363</v>
      </c>
    </row>
    <row r="2436" spans="1:14">
      <c r="A2436" t="s">
        <v>29</v>
      </c>
      <c r="B2436">
        <v>1185732</v>
      </c>
      <c r="C2436" s="2">
        <v>44480</v>
      </c>
      <c r="D2436" t="s">
        <v>138</v>
      </c>
      <c r="E2436" t="s">
        <v>199</v>
      </c>
      <c r="F2436" t="s">
        <v>208</v>
      </c>
      <c r="G2436" t="s">
        <v>27</v>
      </c>
      <c r="H2436" s="3">
        <v>0.40000000000000008</v>
      </c>
      <c r="I2436">
        <v>7250</v>
      </c>
      <c r="J2436" s="4">
        <v>2900.0000000000005</v>
      </c>
      <c r="K2436" s="4">
        <v>1160.0000000000002</v>
      </c>
      <c r="L2436" s="5">
        <v>0.4</v>
      </c>
      <c r="M2436" t="s">
        <v>133</v>
      </c>
      <c r="N2436" t="s">
        <v>364</v>
      </c>
    </row>
    <row r="2437" spans="1:14">
      <c r="A2437" t="s">
        <v>29</v>
      </c>
      <c r="B2437">
        <v>1185732</v>
      </c>
      <c r="C2437" s="2">
        <v>44480</v>
      </c>
      <c r="D2437" t="s">
        <v>138</v>
      </c>
      <c r="E2437" t="s">
        <v>199</v>
      </c>
      <c r="F2437" t="s">
        <v>208</v>
      </c>
      <c r="G2437" t="s">
        <v>145</v>
      </c>
      <c r="H2437" s="3">
        <v>0.3000000000000001</v>
      </c>
      <c r="I2437">
        <v>5500</v>
      </c>
      <c r="J2437" s="4">
        <v>1650.0000000000005</v>
      </c>
      <c r="K2437" s="4">
        <v>577.50000000000011</v>
      </c>
      <c r="L2437" s="5">
        <v>0.35</v>
      </c>
      <c r="M2437" t="s">
        <v>133</v>
      </c>
      <c r="N2437" t="s">
        <v>364</v>
      </c>
    </row>
    <row r="2438" spans="1:14">
      <c r="A2438" t="s">
        <v>29</v>
      </c>
      <c r="B2438">
        <v>1185732</v>
      </c>
      <c r="C2438" s="2">
        <v>44480</v>
      </c>
      <c r="D2438" t="s">
        <v>138</v>
      </c>
      <c r="E2438" t="s">
        <v>199</v>
      </c>
      <c r="F2438" t="s">
        <v>208</v>
      </c>
      <c r="G2438" t="s">
        <v>146</v>
      </c>
      <c r="H2438" s="3">
        <v>0.3000000000000001</v>
      </c>
      <c r="I2438">
        <v>4250</v>
      </c>
      <c r="J2438" s="4">
        <v>1275.0000000000005</v>
      </c>
      <c r="K2438" s="4">
        <v>510.00000000000023</v>
      </c>
      <c r="L2438" s="5">
        <v>0.4</v>
      </c>
      <c r="M2438" t="s">
        <v>133</v>
      </c>
      <c r="N2438" t="s">
        <v>364</v>
      </c>
    </row>
    <row r="2439" spans="1:14">
      <c r="A2439" t="s">
        <v>29</v>
      </c>
      <c r="B2439">
        <v>1185732</v>
      </c>
      <c r="C2439" s="2">
        <v>44480</v>
      </c>
      <c r="D2439" t="s">
        <v>138</v>
      </c>
      <c r="E2439" t="s">
        <v>199</v>
      </c>
      <c r="F2439" t="s">
        <v>208</v>
      </c>
      <c r="G2439" t="s">
        <v>148</v>
      </c>
      <c r="H2439" s="3">
        <v>0.3000000000000001</v>
      </c>
      <c r="I2439">
        <v>4000</v>
      </c>
      <c r="J2439" s="4">
        <v>1200.0000000000005</v>
      </c>
      <c r="K2439" s="4">
        <v>480.00000000000023</v>
      </c>
      <c r="L2439" s="5">
        <v>0.4</v>
      </c>
      <c r="M2439" t="s">
        <v>133</v>
      </c>
      <c r="N2439" t="s">
        <v>364</v>
      </c>
    </row>
    <row r="2440" spans="1:14">
      <c r="A2440" t="s">
        <v>29</v>
      </c>
      <c r="B2440">
        <v>1185732</v>
      </c>
      <c r="C2440" s="2">
        <v>44480</v>
      </c>
      <c r="D2440" t="s">
        <v>138</v>
      </c>
      <c r="E2440" t="s">
        <v>199</v>
      </c>
      <c r="F2440" t="s">
        <v>208</v>
      </c>
      <c r="G2440" t="s">
        <v>147</v>
      </c>
      <c r="H2440" s="3">
        <v>0.40000000000000008</v>
      </c>
      <c r="I2440">
        <v>4000</v>
      </c>
      <c r="J2440" s="4">
        <v>1600.0000000000002</v>
      </c>
      <c r="K2440" s="4">
        <v>560</v>
      </c>
      <c r="L2440" s="5">
        <v>0.35</v>
      </c>
      <c r="M2440" t="s">
        <v>133</v>
      </c>
      <c r="N2440" t="s">
        <v>364</v>
      </c>
    </row>
    <row r="2441" spans="1:14">
      <c r="A2441" t="s">
        <v>29</v>
      </c>
      <c r="B2441">
        <v>1185732</v>
      </c>
      <c r="C2441" s="2">
        <v>44480</v>
      </c>
      <c r="D2441" t="s">
        <v>138</v>
      </c>
      <c r="E2441" t="s">
        <v>199</v>
      </c>
      <c r="F2441" t="s">
        <v>208</v>
      </c>
      <c r="G2441" t="s">
        <v>144</v>
      </c>
      <c r="H2441" s="3">
        <v>0.4</v>
      </c>
      <c r="I2441">
        <v>5250</v>
      </c>
      <c r="J2441" s="4">
        <v>2100</v>
      </c>
      <c r="K2441" s="4">
        <v>1050</v>
      </c>
      <c r="L2441" s="5">
        <v>0.5</v>
      </c>
      <c r="M2441" t="s">
        <v>133</v>
      </c>
      <c r="N2441" t="s">
        <v>364</v>
      </c>
    </row>
    <row r="2442" spans="1:14">
      <c r="A2442" t="s">
        <v>29</v>
      </c>
      <c r="B2442">
        <v>1185732</v>
      </c>
      <c r="C2442" s="2">
        <v>44510</v>
      </c>
      <c r="D2442" t="s">
        <v>138</v>
      </c>
      <c r="E2442" t="s">
        <v>199</v>
      </c>
      <c r="F2442" t="s">
        <v>208</v>
      </c>
      <c r="G2442" t="s">
        <v>27</v>
      </c>
      <c r="H2442" s="3">
        <v>0.35000000000000009</v>
      </c>
      <c r="I2442">
        <v>6750</v>
      </c>
      <c r="J2442" s="4">
        <v>2362.5000000000005</v>
      </c>
      <c r="K2442" s="4">
        <v>945.00000000000023</v>
      </c>
      <c r="L2442" s="5">
        <v>0.4</v>
      </c>
      <c r="M2442" t="s">
        <v>134</v>
      </c>
      <c r="N2442" t="s">
        <v>364</v>
      </c>
    </row>
    <row r="2443" spans="1:14">
      <c r="A2443" t="s">
        <v>29</v>
      </c>
      <c r="B2443">
        <v>1185732</v>
      </c>
      <c r="C2443" s="2">
        <v>44510</v>
      </c>
      <c r="D2443" t="s">
        <v>138</v>
      </c>
      <c r="E2443" t="s">
        <v>199</v>
      </c>
      <c r="F2443" t="s">
        <v>208</v>
      </c>
      <c r="G2443" t="s">
        <v>145</v>
      </c>
      <c r="H2443" s="3">
        <v>0.25000000000000011</v>
      </c>
      <c r="I2443">
        <v>5000</v>
      </c>
      <c r="J2443" s="4">
        <v>1250.0000000000005</v>
      </c>
      <c r="K2443" s="4">
        <v>437.50000000000011</v>
      </c>
      <c r="L2443" s="5">
        <v>0.35</v>
      </c>
      <c r="M2443" t="s">
        <v>134</v>
      </c>
      <c r="N2443" t="s">
        <v>364</v>
      </c>
    </row>
    <row r="2444" spans="1:14">
      <c r="A2444" t="s">
        <v>29</v>
      </c>
      <c r="B2444">
        <v>1185732</v>
      </c>
      <c r="C2444" s="2">
        <v>44510</v>
      </c>
      <c r="D2444" t="s">
        <v>138</v>
      </c>
      <c r="E2444" t="s">
        <v>199</v>
      </c>
      <c r="F2444" t="s">
        <v>208</v>
      </c>
      <c r="G2444" t="s">
        <v>146</v>
      </c>
      <c r="H2444" s="3">
        <v>0.35000000000000014</v>
      </c>
      <c r="I2444">
        <v>4450</v>
      </c>
      <c r="J2444" s="4">
        <v>1557.5000000000007</v>
      </c>
      <c r="K2444" s="4">
        <v>623.00000000000034</v>
      </c>
      <c r="L2444" s="5">
        <v>0.4</v>
      </c>
      <c r="M2444" t="s">
        <v>134</v>
      </c>
      <c r="N2444" t="s">
        <v>364</v>
      </c>
    </row>
    <row r="2445" spans="1:14">
      <c r="A2445" t="s">
        <v>29</v>
      </c>
      <c r="B2445">
        <v>1185732</v>
      </c>
      <c r="C2445" s="2">
        <v>44510</v>
      </c>
      <c r="D2445" t="s">
        <v>138</v>
      </c>
      <c r="E2445" t="s">
        <v>199</v>
      </c>
      <c r="F2445" t="s">
        <v>208</v>
      </c>
      <c r="G2445" t="s">
        <v>148</v>
      </c>
      <c r="H2445" s="3">
        <v>0.65000000000000024</v>
      </c>
      <c r="I2445">
        <v>5000</v>
      </c>
      <c r="J2445" s="4">
        <v>3250.0000000000014</v>
      </c>
      <c r="K2445" s="4">
        <v>1300.0000000000007</v>
      </c>
      <c r="L2445" s="5">
        <v>0.4</v>
      </c>
      <c r="M2445" t="s">
        <v>134</v>
      </c>
      <c r="N2445" t="s">
        <v>364</v>
      </c>
    </row>
    <row r="2446" spans="1:14">
      <c r="A2446" t="s">
        <v>29</v>
      </c>
      <c r="B2446">
        <v>1185732</v>
      </c>
      <c r="C2446" s="2">
        <v>44510</v>
      </c>
      <c r="D2446" t="s">
        <v>138</v>
      </c>
      <c r="E2446" t="s">
        <v>199</v>
      </c>
      <c r="F2446" t="s">
        <v>208</v>
      </c>
      <c r="G2446" t="s">
        <v>147</v>
      </c>
      <c r="H2446" s="3">
        <v>0.80000000000000016</v>
      </c>
      <c r="I2446">
        <v>4750</v>
      </c>
      <c r="J2446" s="4">
        <v>3800.0000000000009</v>
      </c>
      <c r="K2446" s="4">
        <v>1330.0000000000002</v>
      </c>
      <c r="L2446" s="5">
        <v>0.35</v>
      </c>
      <c r="M2446" t="s">
        <v>134</v>
      </c>
      <c r="N2446" t="s">
        <v>364</v>
      </c>
    </row>
    <row r="2447" spans="1:14">
      <c r="A2447" t="s">
        <v>29</v>
      </c>
      <c r="B2447">
        <v>1185732</v>
      </c>
      <c r="C2447" s="2">
        <v>44510</v>
      </c>
      <c r="D2447" t="s">
        <v>138</v>
      </c>
      <c r="E2447" t="s">
        <v>199</v>
      </c>
      <c r="F2447" t="s">
        <v>208</v>
      </c>
      <c r="G2447" t="s">
        <v>144</v>
      </c>
      <c r="H2447" s="3">
        <v>0.8</v>
      </c>
      <c r="I2447">
        <v>5750</v>
      </c>
      <c r="J2447" s="4">
        <v>4600</v>
      </c>
      <c r="K2447" s="4">
        <v>2300</v>
      </c>
      <c r="L2447" s="5">
        <v>0.5</v>
      </c>
      <c r="M2447" t="s">
        <v>134</v>
      </c>
      <c r="N2447" t="s">
        <v>364</v>
      </c>
    </row>
    <row r="2448" spans="1:14">
      <c r="A2448" t="s">
        <v>29</v>
      </c>
      <c r="B2448">
        <v>1185732</v>
      </c>
      <c r="C2448" s="2">
        <v>44539</v>
      </c>
      <c r="D2448" t="s">
        <v>138</v>
      </c>
      <c r="E2448" t="s">
        <v>199</v>
      </c>
      <c r="F2448" t="s">
        <v>208</v>
      </c>
      <c r="G2448" t="s">
        <v>27</v>
      </c>
      <c r="H2448" s="3">
        <v>0.75000000000000011</v>
      </c>
      <c r="I2448">
        <v>8250</v>
      </c>
      <c r="J2448" s="4">
        <v>6187.5000000000009</v>
      </c>
      <c r="K2448" s="4">
        <v>2475.0000000000005</v>
      </c>
      <c r="L2448" s="5">
        <v>0.4</v>
      </c>
      <c r="M2448" t="s">
        <v>23</v>
      </c>
      <c r="N2448" t="s">
        <v>364</v>
      </c>
    </row>
    <row r="2449" spans="1:14">
      <c r="A2449" t="s">
        <v>29</v>
      </c>
      <c r="B2449">
        <v>1185732</v>
      </c>
      <c r="C2449" s="2">
        <v>44539</v>
      </c>
      <c r="D2449" t="s">
        <v>138</v>
      </c>
      <c r="E2449" t="s">
        <v>199</v>
      </c>
      <c r="F2449" t="s">
        <v>208</v>
      </c>
      <c r="G2449" t="s">
        <v>145</v>
      </c>
      <c r="H2449" s="3">
        <v>0.65000000000000013</v>
      </c>
      <c r="I2449">
        <v>6250</v>
      </c>
      <c r="J2449" s="4">
        <v>4062.5000000000009</v>
      </c>
      <c r="K2449" s="4">
        <v>1421.8750000000002</v>
      </c>
      <c r="L2449" s="5">
        <v>0.35</v>
      </c>
      <c r="M2449" t="s">
        <v>23</v>
      </c>
      <c r="N2449" t="s">
        <v>364</v>
      </c>
    </row>
    <row r="2450" spans="1:14">
      <c r="A2450" t="s">
        <v>29</v>
      </c>
      <c r="B2450">
        <v>1185732</v>
      </c>
      <c r="C2450" s="2">
        <v>44539</v>
      </c>
      <c r="D2450" t="s">
        <v>138</v>
      </c>
      <c r="E2450" t="s">
        <v>199</v>
      </c>
      <c r="F2450" t="s">
        <v>208</v>
      </c>
      <c r="G2450" t="s">
        <v>146</v>
      </c>
      <c r="H2450" s="3">
        <v>0.65000000000000013</v>
      </c>
      <c r="I2450">
        <v>5750</v>
      </c>
      <c r="J2450" s="4">
        <v>3737.5000000000009</v>
      </c>
      <c r="K2450" s="4">
        <v>1495.0000000000005</v>
      </c>
      <c r="L2450" s="5">
        <v>0.4</v>
      </c>
      <c r="M2450" t="s">
        <v>23</v>
      </c>
      <c r="N2450" t="s">
        <v>364</v>
      </c>
    </row>
    <row r="2451" spans="1:14">
      <c r="A2451" t="s">
        <v>29</v>
      </c>
      <c r="B2451">
        <v>1185732</v>
      </c>
      <c r="C2451" s="2">
        <v>44539</v>
      </c>
      <c r="D2451" t="s">
        <v>138</v>
      </c>
      <c r="E2451" t="s">
        <v>199</v>
      </c>
      <c r="F2451" t="s">
        <v>208</v>
      </c>
      <c r="G2451" t="s">
        <v>148</v>
      </c>
      <c r="H2451" s="3">
        <v>0.65000000000000013</v>
      </c>
      <c r="I2451">
        <v>5250</v>
      </c>
      <c r="J2451" s="4">
        <v>3412.5000000000009</v>
      </c>
      <c r="K2451" s="4">
        <v>1365.0000000000005</v>
      </c>
      <c r="L2451" s="5">
        <v>0.4</v>
      </c>
      <c r="M2451" t="s">
        <v>23</v>
      </c>
      <c r="N2451" t="s">
        <v>364</v>
      </c>
    </row>
    <row r="2452" spans="1:14">
      <c r="A2452" t="s">
        <v>29</v>
      </c>
      <c r="B2452">
        <v>1185732</v>
      </c>
      <c r="C2452" s="2">
        <v>44539</v>
      </c>
      <c r="D2452" t="s">
        <v>138</v>
      </c>
      <c r="E2452" t="s">
        <v>199</v>
      </c>
      <c r="F2452" t="s">
        <v>208</v>
      </c>
      <c r="G2452" t="s">
        <v>147</v>
      </c>
      <c r="H2452" s="3">
        <v>0.75000000000000011</v>
      </c>
      <c r="I2452">
        <v>5250</v>
      </c>
      <c r="J2452" s="4">
        <v>3937.5000000000005</v>
      </c>
      <c r="K2452" s="4">
        <v>1378.125</v>
      </c>
      <c r="L2452" s="5">
        <v>0.35</v>
      </c>
      <c r="M2452" t="s">
        <v>23</v>
      </c>
      <c r="N2452" t="s">
        <v>364</v>
      </c>
    </row>
    <row r="2453" spans="1:14">
      <c r="A2453" t="s">
        <v>29</v>
      </c>
      <c r="B2453">
        <v>1185732</v>
      </c>
      <c r="C2453" s="2">
        <v>44539</v>
      </c>
      <c r="D2453" t="s">
        <v>138</v>
      </c>
      <c r="E2453" t="s">
        <v>199</v>
      </c>
      <c r="F2453" t="s">
        <v>208</v>
      </c>
      <c r="G2453" t="s">
        <v>144</v>
      </c>
      <c r="H2453" s="3">
        <v>0.8</v>
      </c>
      <c r="I2453">
        <v>6250</v>
      </c>
      <c r="J2453" s="4">
        <v>5000</v>
      </c>
      <c r="K2453" s="4">
        <v>2500</v>
      </c>
      <c r="L2453" s="5">
        <v>0.5</v>
      </c>
      <c r="M2453" t="s">
        <v>23</v>
      </c>
      <c r="N2453" t="s">
        <v>364</v>
      </c>
    </row>
    <row r="2454" spans="1:14">
      <c r="A2454" t="s">
        <v>29</v>
      </c>
      <c r="B2454">
        <v>1185732</v>
      </c>
      <c r="C2454" s="2">
        <v>44218</v>
      </c>
      <c r="D2454" t="s">
        <v>140</v>
      </c>
      <c r="E2454" t="s">
        <v>237</v>
      </c>
      <c r="F2454" t="s">
        <v>246</v>
      </c>
      <c r="G2454" t="s">
        <v>27</v>
      </c>
      <c r="H2454" s="3">
        <v>0.4</v>
      </c>
      <c r="I2454">
        <v>5000</v>
      </c>
      <c r="J2454" s="4">
        <v>2000</v>
      </c>
      <c r="K2454" s="4">
        <v>800</v>
      </c>
      <c r="L2454" s="5">
        <v>0.4</v>
      </c>
      <c r="M2454" t="s">
        <v>125</v>
      </c>
      <c r="N2454" t="s">
        <v>361</v>
      </c>
    </row>
    <row r="2455" spans="1:14">
      <c r="A2455" t="s">
        <v>29</v>
      </c>
      <c r="B2455">
        <v>1185732</v>
      </c>
      <c r="C2455" s="2">
        <v>44218</v>
      </c>
      <c r="D2455" t="s">
        <v>140</v>
      </c>
      <c r="E2455" t="s">
        <v>237</v>
      </c>
      <c r="F2455" t="s">
        <v>246</v>
      </c>
      <c r="G2455" t="s">
        <v>145</v>
      </c>
      <c r="H2455" s="3">
        <v>0.4</v>
      </c>
      <c r="I2455">
        <v>3000</v>
      </c>
      <c r="J2455" s="4">
        <v>1200</v>
      </c>
      <c r="K2455" s="4">
        <v>420</v>
      </c>
      <c r="L2455" s="5">
        <v>0.35</v>
      </c>
      <c r="M2455" t="s">
        <v>125</v>
      </c>
      <c r="N2455" t="s">
        <v>361</v>
      </c>
    </row>
    <row r="2456" spans="1:14">
      <c r="A2456" t="s">
        <v>29</v>
      </c>
      <c r="B2456">
        <v>1185732</v>
      </c>
      <c r="C2456" s="2">
        <v>44218</v>
      </c>
      <c r="D2456" t="s">
        <v>140</v>
      </c>
      <c r="E2456" t="s">
        <v>237</v>
      </c>
      <c r="F2456" t="s">
        <v>246</v>
      </c>
      <c r="G2456" t="s">
        <v>146</v>
      </c>
      <c r="H2456" s="3">
        <v>0.30000000000000004</v>
      </c>
      <c r="I2456">
        <v>3000</v>
      </c>
      <c r="J2456" s="4">
        <v>900.00000000000011</v>
      </c>
      <c r="K2456" s="4">
        <v>360.00000000000006</v>
      </c>
      <c r="L2456" s="5">
        <v>0.4</v>
      </c>
      <c r="M2456" t="s">
        <v>125</v>
      </c>
      <c r="N2456" t="s">
        <v>361</v>
      </c>
    </row>
    <row r="2457" spans="1:14">
      <c r="A2457" t="s">
        <v>29</v>
      </c>
      <c r="B2457">
        <v>1185732</v>
      </c>
      <c r="C2457" s="2">
        <v>44218</v>
      </c>
      <c r="D2457" t="s">
        <v>140</v>
      </c>
      <c r="E2457" t="s">
        <v>237</v>
      </c>
      <c r="F2457" t="s">
        <v>246</v>
      </c>
      <c r="G2457" t="s">
        <v>148</v>
      </c>
      <c r="H2457" s="3">
        <v>0.35000000000000003</v>
      </c>
      <c r="I2457">
        <v>1500</v>
      </c>
      <c r="J2457" s="4">
        <v>525</v>
      </c>
      <c r="K2457" s="4">
        <v>210</v>
      </c>
      <c r="L2457" s="5">
        <v>0.4</v>
      </c>
      <c r="M2457" t="s">
        <v>125</v>
      </c>
      <c r="N2457" t="s">
        <v>361</v>
      </c>
    </row>
    <row r="2458" spans="1:14">
      <c r="A2458" t="s">
        <v>29</v>
      </c>
      <c r="B2458">
        <v>1185732</v>
      </c>
      <c r="C2458" s="2">
        <v>44218</v>
      </c>
      <c r="D2458" t="s">
        <v>140</v>
      </c>
      <c r="E2458" t="s">
        <v>237</v>
      </c>
      <c r="F2458" t="s">
        <v>246</v>
      </c>
      <c r="G2458" t="s">
        <v>147</v>
      </c>
      <c r="H2458" s="3">
        <v>0.49999999999999994</v>
      </c>
      <c r="I2458">
        <v>2000</v>
      </c>
      <c r="J2458" s="4">
        <v>999.99999999999989</v>
      </c>
      <c r="K2458" s="4">
        <v>349.99999999999994</v>
      </c>
      <c r="L2458" s="5">
        <v>0.35</v>
      </c>
      <c r="M2458" t="s">
        <v>125</v>
      </c>
      <c r="N2458" t="s">
        <v>361</v>
      </c>
    </row>
    <row r="2459" spans="1:14">
      <c r="A2459" t="s">
        <v>29</v>
      </c>
      <c r="B2459">
        <v>1185732</v>
      </c>
      <c r="C2459" s="2">
        <v>44218</v>
      </c>
      <c r="D2459" t="s">
        <v>140</v>
      </c>
      <c r="E2459" t="s">
        <v>237</v>
      </c>
      <c r="F2459" t="s">
        <v>246</v>
      </c>
      <c r="G2459" t="s">
        <v>144</v>
      </c>
      <c r="H2459" s="3">
        <v>0.4</v>
      </c>
      <c r="I2459">
        <v>3000</v>
      </c>
      <c r="J2459" s="4">
        <v>1200</v>
      </c>
      <c r="K2459" s="4">
        <v>480</v>
      </c>
      <c r="L2459" s="5">
        <v>0.4</v>
      </c>
      <c r="M2459" t="s">
        <v>125</v>
      </c>
      <c r="N2459" t="s">
        <v>361</v>
      </c>
    </row>
    <row r="2460" spans="1:14">
      <c r="A2460" t="s">
        <v>29</v>
      </c>
      <c r="B2460">
        <v>1185732</v>
      </c>
      <c r="C2460" s="2">
        <v>44249</v>
      </c>
      <c r="D2460" t="s">
        <v>140</v>
      </c>
      <c r="E2460" t="s">
        <v>237</v>
      </c>
      <c r="F2460" t="s">
        <v>246</v>
      </c>
      <c r="G2460" t="s">
        <v>27</v>
      </c>
      <c r="H2460" s="3">
        <v>0.4</v>
      </c>
      <c r="I2460">
        <v>5500</v>
      </c>
      <c r="J2460" s="4">
        <v>2200</v>
      </c>
      <c r="K2460" s="4">
        <v>880</v>
      </c>
      <c r="L2460" s="5">
        <v>0.4</v>
      </c>
      <c r="M2460" t="s">
        <v>126</v>
      </c>
      <c r="N2460" t="s">
        <v>361</v>
      </c>
    </row>
    <row r="2461" spans="1:14">
      <c r="A2461" t="s">
        <v>29</v>
      </c>
      <c r="B2461">
        <v>1185732</v>
      </c>
      <c r="C2461" s="2">
        <v>44249</v>
      </c>
      <c r="D2461" t="s">
        <v>140</v>
      </c>
      <c r="E2461" t="s">
        <v>237</v>
      </c>
      <c r="F2461" t="s">
        <v>246</v>
      </c>
      <c r="G2461" t="s">
        <v>145</v>
      </c>
      <c r="H2461" s="3">
        <v>0.4</v>
      </c>
      <c r="I2461">
        <v>2000</v>
      </c>
      <c r="J2461" s="4">
        <v>800</v>
      </c>
      <c r="K2461" s="4">
        <v>280</v>
      </c>
      <c r="L2461" s="5">
        <v>0.35</v>
      </c>
      <c r="M2461" t="s">
        <v>126</v>
      </c>
      <c r="N2461" t="s">
        <v>361</v>
      </c>
    </row>
    <row r="2462" spans="1:14">
      <c r="A2462" t="s">
        <v>29</v>
      </c>
      <c r="B2462">
        <v>1185732</v>
      </c>
      <c r="C2462" s="2">
        <v>44249</v>
      </c>
      <c r="D2462" t="s">
        <v>140</v>
      </c>
      <c r="E2462" t="s">
        <v>237</v>
      </c>
      <c r="F2462" t="s">
        <v>246</v>
      </c>
      <c r="G2462" t="s">
        <v>146</v>
      </c>
      <c r="H2462" s="3">
        <v>0.30000000000000004</v>
      </c>
      <c r="I2462">
        <v>2500</v>
      </c>
      <c r="J2462" s="4">
        <v>750.00000000000011</v>
      </c>
      <c r="K2462" s="4">
        <v>300.00000000000006</v>
      </c>
      <c r="L2462" s="5">
        <v>0.4</v>
      </c>
      <c r="M2462" t="s">
        <v>126</v>
      </c>
      <c r="N2462" t="s">
        <v>361</v>
      </c>
    </row>
    <row r="2463" spans="1:14">
      <c r="A2463" t="s">
        <v>29</v>
      </c>
      <c r="B2463">
        <v>1185732</v>
      </c>
      <c r="C2463" s="2">
        <v>44249</v>
      </c>
      <c r="D2463" t="s">
        <v>140</v>
      </c>
      <c r="E2463" t="s">
        <v>237</v>
      </c>
      <c r="F2463" t="s">
        <v>246</v>
      </c>
      <c r="G2463" t="s">
        <v>148</v>
      </c>
      <c r="H2463" s="3">
        <v>0.35000000000000003</v>
      </c>
      <c r="I2463">
        <v>1250</v>
      </c>
      <c r="J2463" s="4">
        <v>437.50000000000006</v>
      </c>
      <c r="K2463" s="4">
        <v>175.00000000000003</v>
      </c>
      <c r="L2463" s="5">
        <v>0.4</v>
      </c>
      <c r="M2463" t="s">
        <v>126</v>
      </c>
      <c r="N2463" t="s">
        <v>361</v>
      </c>
    </row>
    <row r="2464" spans="1:14">
      <c r="A2464" t="s">
        <v>29</v>
      </c>
      <c r="B2464">
        <v>1185732</v>
      </c>
      <c r="C2464" s="2">
        <v>44249</v>
      </c>
      <c r="D2464" t="s">
        <v>140</v>
      </c>
      <c r="E2464" t="s">
        <v>237</v>
      </c>
      <c r="F2464" t="s">
        <v>246</v>
      </c>
      <c r="G2464" t="s">
        <v>147</v>
      </c>
      <c r="H2464" s="3">
        <v>0.49999999999999994</v>
      </c>
      <c r="I2464">
        <v>2000</v>
      </c>
      <c r="J2464" s="4">
        <v>999.99999999999989</v>
      </c>
      <c r="K2464" s="4">
        <v>349.99999999999994</v>
      </c>
      <c r="L2464" s="5">
        <v>0.35</v>
      </c>
      <c r="M2464" t="s">
        <v>126</v>
      </c>
      <c r="N2464" t="s">
        <v>361</v>
      </c>
    </row>
    <row r="2465" spans="1:14">
      <c r="A2465" t="s">
        <v>29</v>
      </c>
      <c r="B2465">
        <v>1185732</v>
      </c>
      <c r="C2465" s="2">
        <v>44249</v>
      </c>
      <c r="D2465" t="s">
        <v>140</v>
      </c>
      <c r="E2465" t="s">
        <v>237</v>
      </c>
      <c r="F2465" t="s">
        <v>246</v>
      </c>
      <c r="G2465" t="s">
        <v>144</v>
      </c>
      <c r="H2465" s="3">
        <v>0.4</v>
      </c>
      <c r="I2465">
        <v>3000</v>
      </c>
      <c r="J2465" s="4">
        <v>1200</v>
      </c>
      <c r="K2465" s="4">
        <v>480</v>
      </c>
      <c r="L2465" s="5">
        <v>0.4</v>
      </c>
      <c r="M2465" t="s">
        <v>126</v>
      </c>
      <c r="N2465" t="s">
        <v>361</v>
      </c>
    </row>
    <row r="2466" spans="1:14">
      <c r="A2466" t="s">
        <v>29</v>
      </c>
      <c r="B2466">
        <v>1185732</v>
      </c>
      <c r="C2466" s="2">
        <v>44276</v>
      </c>
      <c r="D2466" t="s">
        <v>140</v>
      </c>
      <c r="E2466" t="s">
        <v>237</v>
      </c>
      <c r="F2466" t="s">
        <v>246</v>
      </c>
      <c r="G2466" t="s">
        <v>27</v>
      </c>
      <c r="H2466" s="3">
        <v>0.45</v>
      </c>
      <c r="I2466">
        <v>5200</v>
      </c>
      <c r="J2466" s="4">
        <v>2340</v>
      </c>
      <c r="K2466" s="4">
        <v>936</v>
      </c>
      <c r="L2466" s="5">
        <v>0.4</v>
      </c>
      <c r="M2466" t="s">
        <v>24</v>
      </c>
      <c r="N2466" t="s">
        <v>361</v>
      </c>
    </row>
    <row r="2467" spans="1:14">
      <c r="A2467" t="s">
        <v>29</v>
      </c>
      <c r="B2467">
        <v>1185732</v>
      </c>
      <c r="C2467" s="2">
        <v>44276</v>
      </c>
      <c r="D2467" t="s">
        <v>140</v>
      </c>
      <c r="E2467" t="s">
        <v>237</v>
      </c>
      <c r="F2467" t="s">
        <v>246</v>
      </c>
      <c r="G2467" t="s">
        <v>145</v>
      </c>
      <c r="H2467" s="3">
        <v>0.45</v>
      </c>
      <c r="I2467">
        <v>2250</v>
      </c>
      <c r="J2467" s="4">
        <v>1012.5</v>
      </c>
      <c r="K2467" s="4">
        <v>354.375</v>
      </c>
      <c r="L2467" s="5">
        <v>0.35</v>
      </c>
      <c r="M2467" t="s">
        <v>24</v>
      </c>
      <c r="N2467" t="s">
        <v>361</v>
      </c>
    </row>
    <row r="2468" spans="1:14">
      <c r="A2468" t="s">
        <v>29</v>
      </c>
      <c r="B2468">
        <v>1185732</v>
      </c>
      <c r="C2468" s="2">
        <v>44276</v>
      </c>
      <c r="D2468" t="s">
        <v>140</v>
      </c>
      <c r="E2468" t="s">
        <v>237</v>
      </c>
      <c r="F2468" t="s">
        <v>246</v>
      </c>
      <c r="G2468" t="s">
        <v>146</v>
      </c>
      <c r="H2468" s="3">
        <v>0.35000000000000003</v>
      </c>
      <c r="I2468">
        <v>2500</v>
      </c>
      <c r="J2468" s="4">
        <v>875.00000000000011</v>
      </c>
      <c r="K2468" s="4">
        <v>350.00000000000006</v>
      </c>
      <c r="L2468" s="5">
        <v>0.4</v>
      </c>
      <c r="M2468" t="s">
        <v>24</v>
      </c>
      <c r="N2468" t="s">
        <v>361</v>
      </c>
    </row>
    <row r="2469" spans="1:14">
      <c r="A2469" t="s">
        <v>29</v>
      </c>
      <c r="B2469">
        <v>1185732</v>
      </c>
      <c r="C2469" s="2">
        <v>44276</v>
      </c>
      <c r="D2469" t="s">
        <v>140</v>
      </c>
      <c r="E2469" t="s">
        <v>237</v>
      </c>
      <c r="F2469" t="s">
        <v>246</v>
      </c>
      <c r="G2469" t="s">
        <v>148</v>
      </c>
      <c r="H2469" s="3">
        <v>0.4</v>
      </c>
      <c r="I2469">
        <v>1000</v>
      </c>
      <c r="J2469" s="4">
        <v>400</v>
      </c>
      <c r="K2469" s="4">
        <v>160</v>
      </c>
      <c r="L2469" s="5">
        <v>0.4</v>
      </c>
      <c r="M2469" t="s">
        <v>24</v>
      </c>
      <c r="N2469" t="s">
        <v>361</v>
      </c>
    </row>
    <row r="2470" spans="1:14">
      <c r="A2470" t="s">
        <v>29</v>
      </c>
      <c r="B2470">
        <v>1185732</v>
      </c>
      <c r="C2470" s="2">
        <v>44276</v>
      </c>
      <c r="D2470" t="s">
        <v>140</v>
      </c>
      <c r="E2470" t="s">
        <v>237</v>
      </c>
      <c r="F2470" t="s">
        <v>246</v>
      </c>
      <c r="G2470" t="s">
        <v>147</v>
      </c>
      <c r="H2470" s="3">
        <v>0.54999999999999993</v>
      </c>
      <c r="I2470">
        <v>1500</v>
      </c>
      <c r="J2470" s="4">
        <v>824.99999999999989</v>
      </c>
      <c r="K2470" s="4">
        <v>288.74999999999994</v>
      </c>
      <c r="L2470" s="5">
        <v>0.35</v>
      </c>
      <c r="M2470" t="s">
        <v>24</v>
      </c>
      <c r="N2470" t="s">
        <v>361</v>
      </c>
    </row>
    <row r="2471" spans="1:14">
      <c r="A2471" t="s">
        <v>29</v>
      </c>
      <c r="B2471">
        <v>1185732</v>
      </c>
      <c r="C2471" s="2">
        <v>44276</v>
      </c>
      <c r="D2471" t="s">
        <v>140</v>
      </c>
      <c r="E2471" t="s">
        <v>237</v>
      </c>
      <c r="F2471" t="s">
        <v>246</v>
      </c>
      <c r="G2471" t="s">
        <v>144</v>
      </c>
      <c r="H2471" s="3">
        <v>0.45</v>
      </c>
      <c r="I2471">
        <v>2500</v>
      </c>
      <c r="J2471" s="4">
        <v>1125</v>
      </c>
      <c r="K2471" s="4">
        <v>450</v>
      </c>
      <c r="L2471" s="5">
        <v>0.4</v>
      </c>
      <c r="M2471" t="s">
        <v>24</v>
      </c>
      <c r="N2471" t="s">
        <v>361</v>
      </c>
    </row>
    <row r="2472" spans="1:14">
      <c r="A2472" t="s">
        <v>29</v>
      </c>
      <c r="B2472">
        <v>1185732</v>
      </c>
      <c r="C2472" s="2">
        <v>44308</v>
      </c>
      <c r="D2472" t="s">
        <v>140</v>
      </c>
      <c r="E2472" t="s">
        <v>237</v>
      </c>
      <c r="F2472" t="s">
        <v>246</v>
      </c>
      <c r="G2472" t="s">
        <v>27</v>
      </c>
      <c r="H2472" s="3">
        <v>0.45</v>
      </c>
      <c r="I2472">
        <v>4750</v>
      </c>
      <c r="J2472" s="4">
        <v>2137.5</v>
      </c>
      <c r="K2472" s="4">
        <v>855</v>
      </c>
      <c r="L2472" s="5">
        <v>0.4</v>
      </c>
      <c r="M2472" t="s">
        <v>127</v>
      </c>
      <c r="N2472" t="s">
        <v>362</v>
      </c>
    </row>
    <row r="2473" spans="1:14">
      <c r="A2473" t="s">
        <v>29</v>
      </c>
      <c r="B2473">
        <v>1185732</v>
      </c>
      <c r="C2473" s="2">
        <v>44308</v>
      </c>
      <c r="D2473" t="s">
        <v>140</v>
      </c>
      <c r="E2473" t="s">
        <v>237</v>
      </c>
      <c r="F2473" t="s">
        <v>246</v>
      </c>
      <c r="G2473" t="s">
        <v>145</v>
      </c>
      <c r="H2473" s="3">
        <v>0.45</v>
      </c>
      <c r="I2473">
        <v>1750</v>
      </c>
      <c r="J2473" s="4">
        <v>787.5</v>
      </c>
      <c r="K2473" s="4">
        <v>275.625</v>
      </c>
      <c r="L2473" s="5">
        <v>0.35</v>
      </c>
      <c r="M2473" t="s">
        <v>127</v>
      </c>
      <c r="N2473" t="s">
        <v>362</v>
      </c>
    </row>
    <row r="2474" spans="1:14">
      <c r="A2474" t="s">
        <v>29</v>
      </c>
      <c r="B2474">
        <v>1185732</v>
      </c>
      <c r="C2474" s="2">
        <v>44308</v>
      </c>
      <c r="D2474" t="s">
        <v>140</v>
      </c>
      <c r="E2474" t="s">
        <v>237</v>
      </c>
      <c r="F2474" t="s">
        <v>246</v>
      </c>
      <c r="G2474" t="s">
        <v>146</v>
      </c>
      <c r="H2474" s="3">
        <v>0.4</v>
      </c>
      <c r="I2474">
        <v>1750</v>
      </c>
      <c r="J2474" s="4">
        <v>700</v>
      </c>
      <c r="K2474" s="4">
        <v>280</v>
      </c>
      <c r="L2474" s="5">
        <v>0.4</v>
      </c>
      <c r="M2474" t="s">
        <v>127</v>
      </c>
      <c r="N2474" t="s">
        <v>362</v>
      </c>
    </row>
    <row r="2475" spans="1:14">
      <c r="A2475" t="s">
        <v>29</v>
      </c>
      <c r="B2475">
        <v>1185732</v>
      </c>
      <c r="C2475" s="2">
        <v>44308</v>
      </c>
      <c r="D2475" t="s">
        <v>140</v>
      </c>
      <c r="E2475" t="s">
        <v>237</v>
      </c>
      <c r="F2475" t="s">
        <v>246</v>
      </c>
      <c r="G2475" t="s">
        <v>148</v>
      </c>
      <c r="H2475" s="3">
        <v>0.45</v>
      </c>
      <c r="I2475">
        <v>1000</v>
      </c>
      <c r="J2475" s="4">
        <v>450</v>
      </c>
      <c r="K2475" s="4">
        <v>180</v>
      </c>
      <c r="L2475" s="5">
        <v>0.4</v>
      </c>
      <c r="M2475" t="s">
        <v>127</v>
      </c>
      <c r="N2475" t="s">
        <v>362</v>
      </c>
    </row>
    <row r="2476" spans="1:14">
      <c r="A2476" t="s">
        <v>29</v>
      </c>
      <c r="B2476">
        <v>1185732</v>
      </c>
      <c r="C2476" s="2">
        <v>44308</v>
      </c>
      <c r="D2476" t="s">
        <v>140</v>
      </c>
      <c r="E2476" t="s">
        <v>237</v>
      </c>
      <c r="F2476" t="s">
        <v>246</v>
      </c>
      <c r="G2476" t="s">
        <v>147</v>
      </c>
      <c r="H2476" s="3">
        <v>0.5</v>
      </c>
      <c r="I2476">
        <v>1250</v>
      </c>
      <c r="J2476" s="4">
        <v>625</v>
      </c>
      <c r="K2476" s="4">
        <v>218.75</v>
      </c>
      <c r="L2476" s="5">
        <v>0.35</v>
      </c>
      <c r="M2476" t="s">
        <v>127</v>
      </c>
      <c r="N2476" t="s">
        <v>362</v>
      </c>
    </row>
    <row r="2477" spans="1:14">
      <c r="A2477" t="s">
        <v>29</v>
      </c>
      <c r="B2477">
        <v>1185732</v>
      </c>
      <c r="C2477" s="2">
        <v>44308</v>
      </c>
      <c r="D2477" t="s">
        <v>140</v>
      </c>
      <c r="E2477" t="s">
        <v>237</v>
      </c>
      <c r="F2477" t="s">
        <v>246</v>
      </c>
      <c r="G2477" t="s">
        <v>144</v>
      </c>
      <c r="H2477" s="3">
        <v>0.4</v>
      </c>
      <c r="I2477">
        <v>2500</v>
      </c>
      <c r="J2477" s="4">
        <v>1000</v>
      </c>
      <c r="K2477" s="4">
        <v>400</v>
      </c>
      <c r="L2477" s="5">
        <v>0.4</v>
      </c>
      <c r="M2477" t="s">
        <v>127</v>
      </c>
      <c r="N2477" t="s">
        <v>362</v>
      </c>
    </row>
    <row r="2478" spans="1:14">
      <c r="A2478" t="s">
        <v>29</v>
      </c>
      <c r="B2478">
        <v>1185732</v>
      </c>
      <c r="C2478" s="2">
        <v>44339</v>
      </c>
      <c r="D2478" t="s">
        <v>140</v>
      </c>
      <c r="E2478" t="s">
        <v>237</v>
      </c>
      <c r="F2478" t="s">
        <v>246</v>
      </c>
      <c r="G2478" t="s">
        <v>27</v>
      </c>
      <c r="H2478" s="3">
        <v>0.5</v>
      </c>
      <c r="I2478">
        <v>5200</v>
      </c>
      <c r="J2478" s="4">
        <v>2600</v>
      </c>
      <c r="K2478" s="4">
        <v>1040</v>
      </c>
      <c r="L2478" s="5">
        <v>0.4</v>
      </c>
      <c r="M2478" t="s">
        <v>128</v>
      </c>
      <c r="N2478" t="s">
        <v>362</v>
      </c>
    </row>
    <row r="2479" spans="1:14">
      <c r="A2479" t="s">
        <v>29</v>
      </c>
      <c r="B2479">
        <v>1185732</v>
      </c>
      <c r="C2479" s="2">
        <v>44339</v>
      </c>
      <c r="D2479" t="s">
        <v>140</v>
      </c>
      <c r="E2479" t="s">
        <v>237</v>
      </c>
      <c r="F2479" t="s">
        <v>246</v>
      </c>
      <c r="G2479" t="s">
        <v>145</v>
      </c>
      <c r="H2479" s="3">
        <v>0.45000000000000007</v>
      </c>
      <c r="I2479">
        <v>2250</v>
      </c>
      <c r="J2479" s="4">
        <v>1012.5000000000001</v>
      </c>
      <c r="K2479" s="4">
        <v>354.375</v>
      </c>
      <c r="L2479" s="5">
        <v>0.35</v>
      </c>
      <c r="M2479" t="s">
        <v>128</v>
      </c>
      <c r="N2479" t="s">
        <v>362</v>
      </c>
    </row>
    <row r="2480" spans="1:14">
      <c r="A2480" t="s">
        <v>29</v>
      </c>
      <c r="B2480">
        <v>1185732</v>
      </c>
      <c r="C2480" s="2">
        <v>44339</v>
      </c>
      <c r="D2480" t="s">
        <v>140</v>
      </c>
      <c r="E2480" t="s">
        <v>237</v>
      </c>
      <c r="F2480" t="s">
        <v>246</v>
      </c>
      <c r="G2480" t="s">
        <v>146</v>
      </c>
      <c r="H2480" s="3">
        <v>0.4</v>
      </c>
      <c r="I2480">
        <v>2000</v>
      </c>
      <c r="J2480" s="4">
        <v>800</v>
      </c>
      <c r="K2480" s="4">
        <v>320</v>
      </c>
      <c r="L2480" s="5">
        <v>0.4</v>
      </c>
      <c r="M2480" t="s">
        <v>128</v>
      </c>
      <c r="N2480" t="s">
        <v>362</v>
      </c>
    </row>
    <row r="2481" spans="1:14">
      <c r="A2481" t="s">
        <v>29</v>
      </c>
      <c r="B2481">
        <v>1185732</v>
      </c>
      <c r="C2481" s="2">
        <v>44339</v>
      </c>
      <c r="D2481" t="s">
        <v>140</v>
      </c>
      <c r="E2481" t="s">
        <v>237</v>
      </c>
      <c r="F2481" t="s">
        <v>246</v>
      </c>
      <c r="G2481" t="s">
        <v>148</v>
      </c>
      <c r="H2481" s="3">
        <v>0.4</v>
      </c>
      <c r="I2481">
        <v>1250</v>
      </c>
      <c r="J2481" s="4">
        <v>500</v>
      </c>
      <c r="K2481" s="4">
        <v>200</v>
      </c>
      <c r="L2481" s="5">
        <v>0.4</v>
      </c>
      <c r="M2481" t="s">
        <v>128</v>
      </c>
      <c r="N2481" t="s">
        <v>362</v>
      </c>
    </row>
    <row r="2482" spans="1:14">
      <c r="A2482" t="s">
        <v>29</v>
      </c>
      <c r="B2482">
        <v>1185732</v>
      </c>
      <c r="C2482" s="2">
        <v>44339</v>
      </c>
      <c r="D2482" t="s">
        <v>140</v>
      </c>
      <c r="E2482" t="s">
        <v>237</v>
      </c>
      <c r="F2482" t="s">
        <v>246</v>
      </c>
      <c r="G2482" t="s">
        <v>147</v>
      </c>
      <c r="H2482" s="3">
        <v>0.5</v>
      </c>
      <c r="I2482">
        <v>1500</v>
      </c>
      <c r="J2482" s="4">
        <v>750</v>
      </c>
      <c r="K2482" s="4">
        <v>262.5</v>
      </c>
      <c r="L2482" s="5">
        <v>0.35</v>
      </c>
      <c r="M2482" t="s">
        <v>128</v>
      </c>
      <c r="N2482" t="s">
        <v>362</v>
      </c>
    </row>
    <row r="2483" spans="1:14">
      <c r="A2483" t="s">
        <v>29</v>
      </c>
      <c r="B2483">
        <v>1185732</v>
      </c>
      <c r="C2483" s="2">
        <v>44339</v>
      </c>
      <c r="D2483" t="s">
        <v>140</v>
      </c>
      <c r="E2483" t="s">
        <v>237</v>
      </c>
      <c r="F2483" t="s">
        <v>246</v>
      </c>
      <c r="G2483" t="s">
        <v>144</v>
      </c>
      <c r="H2483" s="3">
        <v>0.55000000000000004</v>
      </c>
      <c r="I2483">
        <v>2750</v>
      </c>
      <c r="J2483" s="4">
        <v>1512.5000000000002</v>
      </c>
      <c r="K2483" s="4">
        <v>605.00000000000011</v>
      </c>
      <c r="L2483" s="5">
        <v>0.4</v>
      </c>
      <c r="M2483" t="s">
        <v>128</v>
      </c>
      <c r="N2483" t="s">
        <v>362</v>
      </c>
    </row>
    <row r="2484" spans="1:14">
      <c r="A2484" t="s">
        <v>29</v>
      </c>
      <c r="B2484">
        <v>1185732</v>
      </c>
      <c r="C2484" s="2">
        <v>44369</v>
      </c>
      <c r="D2484" t="s">
        <v>140</v>
      </c>
      <c r="E2484" t="s">
        <v>237</v>
      </c>
      <c r="F2484" t="s">
        <v>246</v>
      </c>
      <c r="G2484" t="s">
        <v>27</v>
      </c>
      <c r="H2484" s="3">
        <v>0.4</v>
      </c>
      <c r="I2484">
        <v>5250</v>
      </c>
      <c r="J2484" s="4">
        <v>2100</v>
      </c>
      <c r="K2484" s="4">
        <v>840</v>
      </c>
      <c r="L2484" s="5">
        <v>0.4</v>
      </c>
      <c r="M2484" t="s">
        <v>129</v>
      </c>
      <c r="N2484" t="s">
        <v>362</v>
      </c>
    </row>
    <row r="2485" spans="1:14">
      <c r="A2485" t="s">
        <v>29</v>
      </c>
      <c r="B2485">
        <v>1185732</v>
      </c>
      <c r="C2485" s="2">
        <v>44369</v>
      </c>
      <c r="D2485" t="s">
        <v>140</v>
      </c>
      <c r="E2485" t="s">
        <v>237</v>
      </c>
      <c r="F2485" t="s">
        <v>246</v>
      </c>
      <c r="G2485" t="s">
        <v>145</v>
      </c>
      <c r="H2485" s="3">
        <v>0.35000000000000009</v>
      </c>
      <c r="I2485">
        <v>2750</v>
      </c>
      <c r="J2485" s="4">
        <v>962.50000000000023</v>
      </c>
      <c r="K2485" s="4">
        <v>336.87500000000006</v>
      </c>
      <c r="L2485" s="5">
        <v>0.35</v>
      </c>
      <c r="M2485" t="s">
        <v>129</v>
      </c>
      <c r="N2485" t="s">
        <v>362</v>
      </c>
    </row>
    <row r="2486" spans="1:14">
      <c r="A2486" t="s">
        <v>29</v>
      </c>
      <c r="B2486">
        <v>1185732</v>
      </c>
      <c r="C2486" s="2">
        <v>44369</v>
      </c>
      <c r="D2486" t="s">
        <v>140</v>
      </c>
      <c r="E2486" t="s">
        <v>237</v>
      </c>
      <c r="F2486" t="s">
        <v>246</v>
      </c>
      <c r="G2486" t="s">
        <v>146</v>
      </c>
      <c r="H2486" s="3">
        <v>0.30000000000000004</v>
      </c>
      <c r="I2486">
        <v>2250</v>
      </c>
      <c r="J2486" s="4">
        <v>675.00000000000011</v>
      </c>
      <c r="K2486" s="4">
        <v>270.00000000000006</v>
      </c>
      <c r="L2486" s="5">
        <v>0.4</v>
      </c>
      <c r="M2486" t="s">
        <v>129</v>
      </c>
      <c r="N2486" t="s">
        <v>362</v>
      </c>
    </row>
    <row r="2487" spans="1:14">
      <c r="A2487" t="s">
        <v>29</v>
      </c>
      <c r="B2487">
        <v>1185732</v>
      </c>
      <c r="C2487" s="2">
        <v>44369</v>
      </c>
      <c r="D2487" t="s">
        <v>140</v>
      </c>
      <c r="E2487" t="s">
        <v>237</v>
      </c>
      <c r="F2487" t="s">
        <v>246</v>
      </c>
      <c r="G2487" t="s">
        <v>148</v>
      </c>
      <c r="H2487" s="3">
        <v>0.30000000000000004</v>
      </c>
      <c r="I2487">
        <v>2000</v>
      </c>
      <c r="J2487" s="4">
        <v>600.00000000000011</v>
      </c>
      <c r="K2487" s="4">
        <v>240.00000000000006</v>
      </c>
      <c r="L2487" s="5">
        <v>0.4</v>
      </c>
      <c r="M2487" t="s">
        <v>129</v>
      </c>
      <c r="N2487" t="s">
        <v>362</v>
      </c>
    </row>
    <row r="2488" spans="1:14">
      <c r="A2488" t="s">
        <v>29</v>
      </c>
      <c r="B2488">
        <v>1185732</v>
      </c>
      <c r="C2488" s="2">
        <v>44369</v>
      </c>
      <c r="D2488" t="s">
        <v>140</v>
      </c>
      <c r="E2488" t="s">
        <v>237</v>
      </c>
      <c r="F2488" t="s">
        <v>246</v>
      </c>
      <c r="G2488" t="s">
        <v>147</v>
      </c>
      <c r="H2488" s="3">
        <v>0.5</v>
      </c>
      <c r="I2488">
        <v>2000</v>
      </c>
      <c r="J2488" s="4">
        <v>1000</v>
      </c>
      <c r="K2488" s="4">
        <v>350</v>
      </c>
      <c r="L2488" s="5">
        <v>0.35</v>
      </c>
      <c r="M2488" t="s">
        <v>129</v>
      </c>
      <c r="N2488" t="s">
        <v>362</v>
      </c>
    </row>
    <row r="2489" spans="1:14">
      <c r="A2489" t="s">
        <v>29</v>
      </c>
      <c r="B2489">
        <v>1185732</v>
      </c>
      <c r="C2489" s="2">
        <v>44369</v>
      </c>
      <c r="D2489" t="s">
        <v>140</v>
      </c>
      <c r="E2489" t="s">
        <v>237</v>
      </c>
      <c r="F2489" t="s">
        <v>246</v>
      </c>
      <c r="G2489" t="s">
        <v>144</v>
      </c>
      <c r="H2489" s="3">
        <v>0.55000000000000004</v>
      </c>
      <c r="I2489">
        <v>3750</v>
      </c>
      <c r="J2489" s="4">
        <v>2062.5</v>
      </c>
      <c r="K2489" s="4">
        <v>825</v>
      </c>
      <c r="L2489" s="5">
        <v>0.4</v>
      </c>
      <c r="M2489" t="s">
        <v>129</v>
      </c>
      <c r="N2489" t="s">
        <v>362</v>
      </c>
    </row>
    <row r="2490" spans="1:14">
      <c r="A2490" t="s">
        <v>29</v>
      </c>
      <c r="B2490">
        <v>1185732</v>
      </c>
      <c r="C2490" s="2">
        <v>44398</v>
      </c>
      <c r="D2490" t="s">
        <v>140</v>
      </c>
      <c r="E2490" t="s">
        <v>237</v>
      </c>
      <c r="F2490" t="s">
        <v>246</v>
      </c>
      <c r="G2490" t="s">
        <v>27</v>
      </c>
      <c r="H2490" s="3">
        <v>0.5</v>
      </c>
      <c r="I2490">
        <v>6000</v>
      </c>
      <c r="J2490" s="4">
        <v>3000</v>
      </c>
      <c r="K2490" s="4">
        <v>1200</v>
      </c>
      <c r="L2490" s="5">
        <v>0.4</v>
      </c>
      <c r="M2490" t="s">
        <v>130</v>
      </c>
      <c r="N2490" t="s">
        <v>363</v>
      </c>
    </row>
    <row r="2491" spans="1:14">
      <c r="A2491" t="s">
        <v>29</v>
      </c>
      <c r="B2491">
        <v>1185732</v>
      </c>
      <c r="C2491" s="2">
        <v>44398</v>
      </c>
      <c r="D2491" t="s">
        <v>140</v>
      </c>
      <c r="E2491" t="s">
        <v>237</v>
      </c>
      <c r="F2491" t="s">
        <v>246</v>
      </c>
      <c r="G2491" t="s">
        <v>145</v>
      </c>
      <c r="H2491" s="3">
        <v>0.45000000000000007</v>
      </c>
      <c r="I2491">
        <v>3500</v>
      </c>
      <c r="J2491" s="4">
        <v>1575.0000000000002</v>
      </c>
      <c r="K2491" s="4">
        <v>551.25</v>
      </c>
      <c r="L2491" s="5">
        <v>0.35</v>
      </c>
      <c r="M2491" t="s">
        <v>130</v>
      </c>
      <c r="N2491" t="s">
        <v>363</v>
      </c>
    </row>
    <row r="2492" spans="1:14">
      <c r="A2492" t="s">
        <v>29</v>
      </c>
      <c r="B2492">
        <v>1185732</v>
      </c>
      <c r="C2492" s="2">
        <v>44398</v>
      </c>
      <c r="D2492" t="s">
        <v>140</v>
      </c>
      <c r="E2492" t="s">
        <v>237</v>
      </c>
      <c r="F2492" t="s">
        <v>246</v>
      </c>
      <c r="G2492" t="s">
        <v>146</v>
      </c>
      <c r="H2492" s="3">
        <v>0.4</v>
      </c>
      <c r="I2492">
        <v>2750</v>
      </c>
      <c r="J2492" s="4">
        <v>1100</v>
      </c>
      <c r="K2492" s="4">
        <v>440</v>
      </c>
      <c r="L2492" s="5">
        <v>0.4</v>
      </c>
      <c r="M2492" t="s">
        <v>130</v>
      </c>
      <c r="N2492" t="s">
        <v>363</v>
      </c>
    </row>
    <row r="2493" spans="1:14">
      <c r="A2493" t="s">
        <v>29</v>
      </c>
      <c r="B2493">
        <v>1185732</v>
      </c>
      <c r="C2493" s="2">
        <v>44398</v>
      </c>
      <c r="D2493" t="s">
        <v>140</v>
      </c>
      <c r="E2493" t="s">
        <v>237</v>
      </c>
      <c r="F2493" t="s">
        <v>246</v>
      </c>
      <c r="G2493" t="s">
        <v>148</v>
      </c>
      <c r="H2493" s="3">
        <v>0.4</v>
      </c>
      <c r="I2493">
        <v>2250</v>
      </c>
      <c r="J2493" s="4">
        <v>900</v>
      </c>
      <c r="K2493" s="4">
        <v>360</v>
      </c>
      <c r="L2493" s="5">
        <v>0.4</v>
      </c>
      <c r="M2493" t="s">
        <v>130</v>
      </c>
      <c r="N2493" t="s">
        <v>363</v>
      </c>
    </row>
    <row r="2494" spans="1:14">
      <c r="A2494" t="s">
        <v>29</v>
      </c>
      <c r="B2494">
        <v>1185732</v>
      </c>
      <c r="C2494" s="2">
        <v>44398</v>
      </c>
      <c r="D2494" t="s">
        <v>140</v>
      </c>
      <c r="E2494" t="s">
        <v>237</v>
      </c>
      <c r="F2494" t="s">
        <v>246</v>
      </c>
      <c r="G2494" t="s">
        <v>147</v>
      </c>
      <c r="H2494" s="3">
        <v>0.5</v>
      </c>
      <c r="I2494">
        <v>2500</v>
      </c>
      <c r="J2494" s="4">
        <v>1250</v>
      </c>
      <c r="K2494" s="4">
        <v>437.5</v>
      </c>
      <c r="L2494" s="5">
        <v>0.35</v>
      </c>
      <c r="M2494" t="s">
        <v>130</v>
      </c>
      <c r="N2494" t="s">
        <v>363</v>
      </c>
    </row>
    <row r="2495" spans="1:14">
      <c r="A2495" t="s">
        <v>29</v>
      </c>
      <c r="B2495">
        <v>1185732</v>
      </c>
      <c r="C2495" s="2">
        <v>44398</v>
      </c>
      <c r="D2495" t="s">
        <v>140</v>
      </c>
      <c r="E2495" t="s">
        <v>237</v>
      </c>
      <c r="F2495" t="s">
        <v>246</v>
      </c>
      <c r="G2495" t="s">
        <v>144</v>
      </c>
      <c r="H2495" s="3">
        <v>0.55000000000000004</v>
      </c>
      <c r="I2495">
        <v>4250</v>
      </c>
      <c r="J2495" s="4">
        <v>2337.5</v>
      </c>
      <c r="K2495" s="4">
        <v>935</v>
      </c>
      <c r="L2495" s="5">
        <v>0.4</v>
      </c>
      <c r="M2495" t="s">
        <v>130</v>
      </c>
      <c r="N2495" t="s">
        <v>363</v>
      </c>
    </row>
    <row r="2496" spans="1:14">
      <c r="A2496" t="s">
        <v>29</v>
      </c>
      <c r="B2496">
        <v>1185732</v>
      </c>
      <c r="C2496" s="2">
        <v>44430</v>
      </c>
      <c r="D2496" t="s">
        <v>140</v>
      </c>
      <c r="E2496" t="s">
        <v>237</v>
      </c>
      <c r="F2496" t="s">
        <v>246</v>
      </c>
      <c r="G2496" t="s">
        <v>27</v>
      </c>
      <c r="H2496" s="3">
        <v>0.5</v>
      </c>
      <c r="I2496">
        <v>5750</v>
      </c>
      <c r="J2496" s="4">
        <v>2875</v>
      </c>
      <c r="K2496" s="4">
        <v>1150</v>
      </c>
      <c r="L2496" s="5">
        <v>0.4</v>
      </c>
      <c r="M2496" t="s">
        <v>131</v>
      </c>
      <c r="N2496" t="s">
        <v>363</v>
      </c>
    </row>
    <row r="2497" spans="1:14">
      <c r="A2497" t="s">
        <v>29</v>
      </c>
      <c r="B2497">
        <v>1185732</v>
      </c>
      <c r="C2497" s="2">
        <v>44430</v>
      </c>
      <c r="D2497" t="s">
        <v>140</v>
      </c>
      <c r="E2497" t="s">
        <v>237</v>
      </c>
      <c r="F2497" t="s">
        <v>246</v>
      </c>
      <c r="G2497" t="s">
        <v>145</v>
      </c>
      <c r="H2497" s="3">
        <v>0.45000000000000007</v>
      </c>
      <c r="I2497">
        <v>3500</v>
      </c>
      <c r="J2497" s="4">
        <v>1575.0000000000002</v>
      </c>
      <c r="K2497" s="4">
        <v>551.25</v>
      </c>
      <c r="L2497" s="5">
        <v>0.35</v>
      </c>
      <c r="M2497" t="s">
        <v>131</v>
      </c>
      <c r="N2497" t="s">
        <v>363</v>
      </c>
    </row>
    <row r="2498" spans="1:14">
      <c r="A2498" t="s">
        <v>29</v>
      </c>
      <c r="B2498">
        <v>1185732</v>
      </c>
      <c r="C2498" s="2">
        <v>44430</v>
      </c>
      <c r="D2498" t="s">
        <v>140</v>
      </c>
      <c r="E2498" t="s">
        <v>237</v>
      </c>
      <c r="F2498" t="s">
        <v>246</v>
      </c>
      <c r="G2498" t="s">
        <v>146</v>
      </c>
      <c r="H2498" s="3">
        <v>0.4</v>
      </c>
      <c r="I2498">
        <v>2750</v>
      </c>
      <c r="J2498" s="4">
        <v>1100</v>
      </c>
      <c r="K2498" s="4">
        <v>440</v>
      </c>
      <c r="L2498" s="5">
        <v>0.4</v>
      </c>
      <c r="M2498" t="s">
        <v>131</v>
      </c>
      <c r="N2498" t="s">
        <v>363</v>
      </c>
    </row>
    <row r="2499" spans="1:14">
      <c r="A2499" t="s">
        <v>29</v>
      </c>
      <c r="B2499">
        <v>1185732</v>
      </c>
      <c r="C2499" s="2">
        <v>44430</v>
      </c>
      <c r="D2499" t="s">
        <v>140</v>
      </c>
      <c r="E2499" t="s">
        <v>237</v>
      </c>
      <c r="F2499" t="s">
        <v>246</v>
      </c>
      <c r="G2499" t="s">
        <v>148</v>
      </c>
      <c r="H2499" s="3">
        <v>0.4</v>
      </c>
      <c r="I2499">
        <v>2500</v>
      </c>
      <c r="J2499" s="4">
        <v>1000</v>
      </c>
      <c r="K2499" s="4">
        <v>400</v>
      </c>
      <c r="L2499" s="5">
        <v>0.4</v>
      </c>
      <c r="M2499" t="s">
        <v>131</v>
      </c>
      <c r="N2499" t="s">
        <v>363</v>
      </c>
    </row>
    <row r="2500" spans="1:14">
      <c r="A2500" t="s">
        <v>29</v>
      </c>
      <c r="B2500">
        <v>1185732</v>
      </c>
      <c r="C2500" s="2">
        <v>44430</v>
      </c>
      <c r="D2500" t="s">
        <v>140</v>
      </c>
      <c r="E2500" t="s">
        <v>237</v>
      </c>
      <c r="F2500" t="s">
        <v>246</v>
      </c>
      <c r="G2500" t="s">
        <v>147</v>
      </c>
      <c r="H2500" s="3">
        <v>0.5</v>
      </c>
      <c r="I2500">
        <v>2250</v>
      </c>
      <c r="J2500" s="4">
        <v>1125</v>
      </c>
      <c r="K2500" s="4">
        <v>393.75</v>
      </c>
      <c r="L2500" s="5">
        <v>0.35</v>
      </c>
      <c r="M2500" t="s">
        <v>131</v>
      </c>
      <c r="N2500" t="s">
        <v>363</v>
      </c>
    </row>
    <row r="2501" spans="1:14">
      <c r="A2501" t="s">
        <v>29</v>
      </c>
      <c r="B2501">
        <v>1185732</v>
      </c>
      <c r="C2501" s="2">
        <v>44430</v>
      </c>
      <c r="D2501" t="s">
        <v>140</v>
      </c>
      <c r="E2501" t="s">
        <v>237</v>
      </c>
      <c r="F2501" t="s">
        <v>246</v>
      </c>
      <c r="G2501" t="s">
        <v>144</v>
      </c>
      <c r="H2501" s="3">
        <v>0.55000000000000004</v>
      </c>
      <c r="I2501">
        <v>4000</v>
      </c>
      <c r="J2501" s="4">
        <v>2200</v>
      </c>
      <c r="K2501" s="4">
        <v>880</v>
      </c>
      <c r="L2501" s="5">
        <v>0.4</v>
      </c>
      <c r="M2501" t="s">
        <v>131</v>
      </c>
      <c r="N2501" t="s">
        <v>363</v>
      </c>
    </row>
    <row r="2502" spans="1:14">
      <c r="A2502" t="s">
        <v>29</v>
      </c>
      <c r="B2502">
        <v>1185732</v>
      </c>
      <c r="C2502" s="2">
        <v>44462</v>
      </c>
      <c r="D2502" t="s">
        <v>140</v>
      </c>
      <c r="E2502" t="s">
        <v>237</v>
      </c>
      <c r="F2502" t="s">
        <v>246</v>
      </c>
      <c r="G2502" t="s">
        <v>27</v>
      </c>
      <c r="H2502" s="3">
        <v>0.5</v>
      </c>
      <c r="I2502">
        <v>5250</v>
      </c>
      <c r="J2502" s="4">
        <v>2625</v>
      </c>
      <c r="K2502" s="4">
        <v>1050</v>
      </c>
      <c r="L2502" s="5">
        <v>0.4</v>
      </c>
      <c r="M2502" t="s">
        <v>132</v>
      </c>
      <c r="N2502" t="s">
        <v>363</v>
      </c>
    </row>
    <row r="2503" spans="1:14">
      <c r="A2503" t="s">
        <v>29</v>
      </c>
      <c r="B2503">
        <v>1185732</v>
      </c>
      <c r="C2503" s="2">
        <v>44462</v>
      </c>
      <c r="D2503" t="s">
        <v>140</v>
      </c>
      <c r="E2503" t="s">
        <v>237</v>
      </c>
      <c r="F2503" t="s">
        <v>246</v>
      </c>
      <c r="G2503" t="s">
        <v>145</v>
      </c>
      <c r="H2503" s="3">
        <v>0.45000000000000007</v>
      </c>
      <c r="I2503">
        <v>3250</v>
      </c>
      <c r="J2503" s="4">
        <v>1462.5000000000002</v>
      </c>
      <c r="K2503" s="4">
        <v>511.87500000000006</v>
      </c>
      <c r="L2503" s="5">
        <v>0.35</v>
      </c>
      <c r="M2503" t="s">
        <v>132</v>
      </c>
      <c r="N2503" t="s">
        <v>363</v>
      </c>
    </row>
    <row r="2504" spans="1:14">
      <c r="A2504" t="s">
        <v>29</v>
      </c>
      <c r="B2504">
        <v>1185732</v>
      </c>
      <c r="C2504" s="2">
        <v>44462</v>
      </c>
      <c r="D2504" t="s">
        <v>140</v>
      </c>
      <c r="E2504" t="s">
        <v>237</v>
      </c>
      <c r="F2504" t="s">
        <v>246</v>
      </c>
      <c r="G2504" t="s">
        <v>146</v>
      </c>
      <c r="H2504" s="3">
        <v>0.35000000000000003</v>
      </c>
      <c r="I2504">
        <v>2250</v>
      </c>
      <c r="J2504" s="4">
        <v>787.50000000000011</v>
      </c>
      <c r="K2504" s="4">
        <v>315.00000000000006</v>
      </c>
      <c r="L2504" s="5">
        <v>0.4</v>
      </c>
      <c r="M2504" t="s">
        <v>132</v>
      </c>
      <c r="N2504" t="s">
        <v>363</v>
      </c>
    </row>
    <row r="2505" spans="1:14">
      <c r="A2505" t="s">
        <v>29</v>
      </c>
      <c r="B2505">
        <v>1185732</v>
      </c>
      <c r="C2505" s="2">
        <v>44462</v>
      </c>
      <c r="D2505" t="s">
        <v>140</v>
      </c>
      <c r="E2505" t="s">
        <v>237</v>
      </c>
      <c r="F2505" t="s">
        <v>246</v>
      </c>
      <c r="G2505" t="s">
        <v>148</v>
      </c>
      <c r="H2505" s="3">
        <v>0.35000000000000003</v>
      </c>
      <c r="I2505">
        <v>2000</v>
      </c>
      <c r="J2505" s="4">
        <v>700.00000000000011</v>
      </c>
      <c r="K2505" s="4">
        <v>280.00000000000006</v>
      </c>
      <c r="L2505" s="5">
        <v>0.4</v>
      </c>
      <c r="M2505" t="s">
        <v>132</v>
      </c>
      <c r="N2505" t="s">
        <v>363</v>
      </c>
    </row>
    <row r="2506" spans="1:14">
      <c r="A2506" t="s">
        <v>29</v>
      </c>
      <c r="B2506">
        <v>1185732</v>
      </c>
      <c r="C2506" s="2">
        <v>44462</v>
      </c>
      <c r="D2506" t="s">
        <v>140</v>
      </c>
      <c r="E2506" t="s">
        <v>237</v>
      </c>
      <c r="F2506" t="s">
        <v>246</v>
      </c>
      <c r="G2506" t="s">
        <v>147</v>
      </c>
      <c r="H2506" s="3">
        <v>0.45</v>
      </c>
      <c r="I2506">
        <v>2000</v>
      </c>
      <c r="J2506" s="4">
        <v>900</v>
      </c>
      <c r="K2506" s="4">
        <v>315</v>
      </c>
      <c r="L2506" s="5">
        <v>0.35</v>
      </c>
      <c r="M2506" t="s">
        <v>132</v>
      </c>
      <c r="N2506" t="s">
        <v>363</v>
      </c>
    </row>
    <row r="2507" spans="1:14">
      <c r="A2507" t="s">
        <v>29</v>
      </c>
      <c r="B2507">
        <v>1185732</v>
      </c>
      <c r="C2507" s="2">
        <v>44462</v>
      </c>
      <c r="D2507" t="s">
        <v>140</v>
      </c>
      <c r="E2507" t="s">
        <v>237</v>
      </c>
      <c r="F2507" t="s">
        <v>246</v>
      </c>
      <c r="G2507" t="s">
        <v>144</v>
      </c>
      <c r="H2507" s="3">
        <v>0.5</v>
      </c>
      <c r="I2507">
        <v>2750</v>
      </c>
      <c r="J2507" s="4">
        <v>1375</v>
      </c>
      <c r="K2507" s="4">
        <v>550</v>
      </c>
      <c r="L2507" s="5">
        <v>0.4</v>
      </c>
      <c r="M2507" t="s">
        <v>132</v>
      </c>
      <c r="N2507" t="s">
        <v>363</v>
      </c>
    </row>
    <row r="2508" spans="1:14">
      <c r="A2508" t="s">
        <v>29</v>
      </c>
      <c r="B2508">
        <v>1185732</v>
      </c>
      <c r="C2508" s="2">
        <v>44491</v>
      </c>
      <c r="D2508" t="s">
        <v>140</v>
      </c>
      <c r="E2508" t="s">
        <v>237</v>
      </c>
      <c r="F2508" t="s">
        <v>246</v>
      </c>
      <c r="G2508" t="s">
        <v>27</v>
      </c>
      <c r="H2508" s="3">
        <v>0.54999999999999993</v>
      </c>
      <c r="I2508">
        <v>4500</v>
      </c>
      <c r="J2508" s="4">
        <v>2474.9999999999995</v>
      </c>
      <c r="K2508" s="4">
        <v>989.99999999999989</v>
      </c>
      <c r="L2508" s="5">
        <v>0.4</v>
      </c>
      <c r="M2508" t="s">
        <v>133</v>
      </c>
      <c r="N2508" t="s">
        <v>364</v>
      </c>
    </row>
    <row r="2509" spans="1:14">
      <c r="A2509" t="s">
        <v>29</v>
      </c>
      <c r="B2509">
        <v>1185732</v>
      </c>
      <c r="C2509" s="2">
        <v>44491</v>
      </c>
      <c r="D2509" t="s">
        <v>140</v>
      </c>
      <c r="E2509" t="s">
        <v>237</v>
      </c>
      <c r="F2509" t="s">
        <v>246</v>
      </c>
      <c r="G2509" t="s">
        <v>145</v>
      </c>
      <c r="H2509" s="3">
        <v>0.45</v>
      </c>
      <c r="I2509">
        <v>2750</v>
      </c>
      <c r="J2509" s="4">
        <v>1237.5</v>
      </c>
      <c r="K2509" s="4">
        <v>433.125</v>
      </c>
      <c r="L2509" s="5">
        <v>0.35</v>
      </c>
      <c r="M2509" t="s">
        <v>133</v>
      </c>
      <c r="N2509" t="s">
        <v>364</v>
      </c>
    </row>
    <row r="2510" spans="1:14">
      <c r="A2510" t="s">
        <v>29</v>
      </c>
      <c r="B2510">
        <v>1185732</v>
      </c>
      <c r="C2510" s="2">
        <v>44491</v>
      </c>
      <c r="D2510" t="s">
        <v>140</v>
      </c>
      <c r="E2510" t="s">
        <v>237</v>
      </c>
      <c r="F2510" t="s">
        <v>246</v>
      </c>
      <c r="G2510" t="s">
        <v>146</v>
      </c>
      <c r="H2510" s="3">
        <v>0.45</v>
      </c>
      <c r="I2510">
        <v>1750</v>
      </c>
      <c r="J2510" s="4">
        <v>787.5</v>
      </c>
      <c r="K2510" s="4">
        <v>315</v>
      </c>
      <c r="L2510" s="5">
        <v>0.4</v>
      </c>
      <c r="M2510" t="s">
        <v>133</v>
      </c>
      <c r="N2510" t="s">
        <v>364</v>
      </c>
    </row>
    <row r="2511" spans="1:14">
      <c r="A2511" t="s">
        <v>29</v>
      </c>
      <c r="B2511">
        <v>1185732</v>
      </c>
      <c r="C2511" s="2">
        <v>44491</v>
      </c>
      <c r="D2511" t="s">
        <v>140</v>
      </c>
      <c r="E2511" t="s">
        <v>237</v>
      </c>
      <c r="F2511" t="s">
        <v>246</v>
      </c>
      <c r="G2511" t="s">
        <v>148</v>
      </c>
      <c r="H2511" s="3">
        <v>0.45</v>
      </c>
      <c r="I2511">
        <v>1500</v>
      </c>
      <c r="J2511" s="4">
        <v>675</v>
      </c>
      <c r="K2511" s="4">
        <v>270</v>
      </c>
      <c r="L2511" s="5">
        <v>0.4</v>
      </c>
      <c r="M2511" t="s">
        <v>133</v>
      </c>
      <c r="N2511" t="s">
        <v>364</v>
      </c>
    </row>
    <row r="2512" spans="1:14">
      <c r="A2512" t="s">
        <v>29</v>
      </c>
      <c r="B2512">
        <v>1185732</v>
      </c>
      <c r="C2512" s="2">
        <v>44491</v>
      </c>
      <c r="D2512" t="s">
        <v>140</v>
      </c>
      <c r="E2512" t="s">
        <v>237</v>
      </c>
      <c r="F2512" t="s">
        <v>246</v>
      </c>
      <c r="G2512" t="s">
        <v>147</v>
      </c>
      <c r="H2512" s="3">
        <v>0.54999999999999993</v>
      </c>
      <c r="I2512">
        <v>1500</v>
      </c>
      <c r="J2512" s="4">
        <v>824.99999999999989</v>
      </c>
      <c r="K2512" s="4">
        <v>288.74999999999994</v>
      </c>
      <c r="L2512" s="5">
        <v>0.35</v>
      </c>
      <c r="M2512" t="s">
        <v>133</v>
      </c>
      <c r="N2512" t="s">
        <v>364</v>
      </c>
    </row>
    <row r="2513" spans="1:14">
      <c r="A2513" t="s">
        <v>29</v>
      </c>
      <c r="B2513">
        <v>1185732</v>
      </c>
      <c r="C2513" s="2">
        <v>44491</v>
      </c>
      <c r="D2513" t="s">
        <v>140</v>
      </c>
      <c r="E2513" t="s">
        <v>237</v>
      </c>
      <c r="F2513" t="s">
        <v>246</v>
      </c>
      <c r="G2513" t="s">
        <v>144</v>
      </c>
      <c r="H2513" s="3">
        <v>0.54999999999999993</v>
      </c>
      <c r="I2513">
        <v>2750</v>
      </c>
      <c r="J2513" s="4">
        <v>1512.4999999999998</v>
      </c>
      <c r="K2513" s="4">
        <v>604.99999999999989</v>
      </c>
      <c r="L2513" s="5">
        <v>0.4</v>
      </c>
      <c r="M2513" t="s">
        <v>133</v>
      </c>
      <c r="N2513" t="s">
        <v>364</v>
      </c>
    </row>
    <row r="2514" spans="1:14">
      <c r="A2514" t="s">
        <v>29</v>
      </c>
      <c r="B2514">
        <v>1185732</v>
      </c>
      <c r="C2514" s="2">
        <v>44522</v>
      </c>
      <c r="D2514" t="s">
        <v>140</v>
      </c>
      <c r="E2514" t="s">
        <v>237</v>
      </c>
      <c r="F2514" t="s">
        <v>246</v>
      </c>
      <c r="G2514" t="s">
        <v>27</v>
      </c>
      <c r="H2514" s="3">
        <v>0.5</v>
      </c>
      <c r="I2514">
        <v>4250</v>
      </c>
      <c r="J2514" s="4">
        <v>2125</v>
      </c>
      <c r="K2514" s="4">
        <v>850</v>
      </c>
      <c r="L2514" s="5">
        <v>0.4</v>
      </c>
      <c r="M2514" t="s">
        <v>134</v>
      </c>
      <c r="N2514" t="s">
        <v>364</v>
      </c>
    </row>
    <row r="2515" spans="1:14">
      <c r="A2515" t="s">
        <v>29</v>
      </c>
      <c r="B2515">
        <v>1185732</v>
      </c>
      <c r="C2515" s="2">
        <v>44522</v>
      </c>
      <c r="D2515" t="s">
        <v>140</v>
      </c>
      <c r="E2515" t="s">
        <v>237</v>
      </c>
      <c r="F2515" t="s">
        <v>246</v>
      </c>
      <c r="G2515" t="s">
        <v>145</v>
      </c>
      <c r="H2515" s="3">
        <v>0.4</v>
      </c>
      <c r="I2515">
        <v>2750</v>
      </c>
      <c r="J2515" s="4">
        <v>1100</v>
      </c>
      <c r="K2515" s="4">
        <v>385</v>
      </c>
      <c r="L2515" s="5">
        <v>0.35</v>
      </c>
      <c r="M2515" t="s">
        <v>134</v>
      </c>
      <c r="N2515" t="s">
        <v>364</v>
      </c>
    </row>
    <row r="2516" spans="1:14">
      <c r="A2516" t="s">
        <v>29</v>
      </c>
      <c r="B2516">
        <v>1185732</v>
      </c>
      <c r="C2516" s="2">
        <v>44522</v>
      </c>
      <c r="D2516" t="s">
        <v>140</v>
      </c>
      <c r="E2516" t="s">
        <v>237</v>
      </c>
      <c r="F2516" t="s">
        <v>246</v>
      </c>
      <c r="G2516" t="s">
        <v>146</v>
      </c>
      <c r="H2516" s="3">
        <v>0.45</v>
      </c>
      <c r="I2516">
        <v>2200</v>
      </c>
      <c r="J2516" s="4">
        <v>990</v>
      </c>
      <c r="K2516" s="4">
        <v>396</v>
      </c>
      <c r="L2516" s="5">
        <v>0.4</v>
      </c>
      <c r="M2516" t="s">
        <v>134</v>
      </c>
      <c r="N2516" t="s">
        <v>364</v>
      </c>
    </row>
    <row r="2517" spans="1:14">
      <c r="A2517" t="s">
        <v>29</v>
      </c>
      <c r="B2517">
        <v>1185732</v>
      </c>
      <c r="C2517" s="2">
        <v>44522</v>
      </c>
      <c r="D2517" t="s">
        <v>140</v>
      </c>
      <c r="E2517" t="s">
        <v>237</v>
      </c>
      <c r="F2517" t="s">
        <v>246</v>
      </c>
      <c r="G2517" t="s">
        <v>148</v>
      </c>
      <c r="H2517" s="3">
        <v>0.55000000000000004</v>
      </c>
      <c r="I2517">
        <v>2000</v>
      </c>
      <c r="J2517" s="4">
        <v>1100</v>
      </c>
      <c r="K2517" s="4">
        <v>440</v>
      </c>
      <c r="L2517" s="5">
        <v>0.4</v>
      </c>
      <c r="M2517" t="s">
        <v>134</v>
      </c>
      <c r="N2517" t="s">
        <v>364</v>
      </c>
    </row>
    <row r="2518" spans="1:14">
      <c r="A2518" t="s">
        <v>29</v>
      </c>
      <c r="B2518">
        <v>1185732</v>
      </c>
      <c r="C2518" s="2">
        <v>44522</v>
      </c>
      <c r="D2518" t="s">
        <v>140</v>
      </c>
      <c r="E2518" t="s">
        <v>237</v>
      </c>
      <c r="F2518" t="s">
        <v>246</v>
      </c>
      <c r="G2518" t="s">
        <v>147</v>
      </c>
      <c r="H2518" s="3">
        <v>0.65</v>
      </c>
      <c r="I2518">
        <v>1750</v>
      </c>
      <c r="J2518" s="4">
        <v>1137.5</v>
      </c>
      <c r="K2518" s="4">
        <v>398.125</v>
      </c>
      <c r="L2518" s="5">
        <v>0.35</v>
      </c>
      <c r="M2518" t="s">
        <v>134</v>
      </c>
      <c r="N2518" t="s">
        <v>364</v>
      </c>
    </row>
    <row r="2519" spans="1:14">
      <c r="A2519" t="s">
        <v>29</v>
      </c>
      <c r="B2519">
        <v>1185732</v>
      </c>
      <c r="C2519" s="2">
        <v>44522</v>
      </c>
      <c r="D2519" t="s">
        <v>140</v>
      </c>
      <c r="E2519" t="s">
        <v>237</v>
      </c>
      <c r="F2519" t="s">
        <v>246</v>
      </c>
      <c r="G2519" t="s">
        <v>144</v>
      </c>
      <c r="H2519" s="3">
        <v>0.7</v>
      </c>
      <c r="I2519">
        <v>2750</v>
      </c>
      <c r="J2519" s="4">
        <v>1924.9999999999998</v>
      </c>
      <c r="K2519" s="4">
        <v>770</v>
      </c>
      <c r="L2519" s="5">
        <v>0.4</v>
      </c>
      <c r="M2519" t="s">
        <v>134</v>
      </c>
      <c r="N2519" t="s">
        <v>364</v>
      </c>
    </row>
    <row r="2520" spans="1:14">
      <c r="A2520" t="s">
        <v>29</v>
      </c>
      <c r="B2520">
        <v>1185732</v>
      </c>
      <c r="C2520" s="2">
        <v>44551</v>
      </c>
      <c r="D2520" t="s">
        <v>140</v>
      </c>
      <c r="E2520" t="s">
        <v>237</v>
      </c>
      <c r="F2520" t="s">
        <v>246</v>
      </c>
      <c r="G2520" t="s">
        <v>27</v>
      </c>
      <c r="H2520" s="3">
        <v>0.65</v>
      </c>
      <c r="I2520">
        <v>5250</v>
      </c>
      <c r="J2520" s="4">
        <v>3412.5</v>
      </c>
      <c r="K2520" s="4">
        <v>1365</v>
      </c>
      <c r="L2520" s="5">
        <v>0.4</v>
      </c>
      <c r="M2520" t="s">
        <v>23</v>
      </c>
      <c r="N2520" t="s">
        <v>364</v>
      </c>
    </row>
    <row r="2521" spans="1:14">
      <c r="A2521" t="s">
        <v>29</v>
      </c>
      <c r="B2521">
        <v>1185732</v>
      </c>
      <c r="C2521" s="2">
        <v>44551</v>
      </c>
      <c r="D2521" t="s">
        <v>140</v>
      </c>
      <c r="E2521" t="s">
        <v>237</v>
      </c>
      <c r="F2521" t="s">
        <v>246</v>
      </c>
      <c r="G2521" t="s">
        <v>145</v>
      </c>
      <c r="H2521" s="3">
        <v>0.55000000000000004</v>
      </c>
      <c r="I2521">
        <v>3250</v>
      </c>
      <c r="J2521" s="4">
        <v>1787.5000000000002</v>
      </c>
      <c r="K2521" s="4">
        <v>625.625</v>
      </c>
      <c r="L2521" s="5">
        <v>0.35</v>
      </c>
      <c r="M2521" t="s">
        <v>23</v>
      </c>
      <c r="N2521" t="s">
        <v>364</v>
      </c>
    </row>
    <row r="2522" spans="1:14">
      <c r="A2522" t="s">
        <v>29</v>
      </c>
      <c r="B2522">
        <v>1185732</v>
      </c>
      <c r="C2522" s="2">
        <v>44551</v>
      </c>
      <c r="D2522" t="s">
        <v>140</v>
      </c>
      <c r="E2522" t="s">
        <v>237</v>
      </c>
      <c r="F2522" t="s">
        <v>246</v>
      </c>
      <c r="G2522" t="s">
        <v>146</v>
      </c>
      <c r="H2522" s="3">
        <v>0.55000000000000004</v>
      </c>
      <c r="I2522">
        <v>2750</v>
      </c>
      <c r="J2522" s="4">
        <v>1512.5000000000002</v>
      </c>
      <c r="K2522" s="4">
        <v>605.00000000000011</v>
      </c>
      <c r="L2522" s="5">
        <v>0.4</v>
      </c>
      <c r="M2522" t="s">
        <v>23</v>
      </c>
      <c r="N2522" t="s">
        <v>364</v>
      </c>
    </row>
    <row r="2523" spans="1:14">
      <c r="A2523" t="s">
        <v>29</v>
      </c>
      <c r="B2523">
        <v>1185732</v>
      </c>
      <c r="C2523" s="2">
        <v>44551</v>
      </c>
      <c r="D2523" t="s">
        <v>140</v>
      </c>
      <c r="E2523" t="s">
        <v>237</v>
      </c>
      <c r="F2523" t="s">
        <v>246</v>
      </c>
      <c r="G2523" t="s">
        <v>148</v>
      </c>
      <c r="H2523" s="3">
        <v>0.5</v>
      </c>
      <c r="I2523">
        <v>2250</v>
      </c>
      <c r="J2523" s="4">
        <v>1125</v>
      </c>
      <c r="K2523" s="4">
        <v>450</v>
      </c>
      <c r="L2523" s="5">
        <v>0.4</v>
      </c>
      <c r="M2523" t="s">
        <v>23</v>
      </c>
      <c r="N2523" t="s">
        <v>364</v>
      </c>
    </row>
    <row r="2524" spans="1:14">
      <c r="A2524" t="s">
        <v>29</v>
      </c>
      <c r="B2524">
        <v>1185732</v>
      </c>
      <c r="C2524" s="2">
        <v>44551</v>
      </c>
      <c r="D2524" t="s">
        <v>140</v>
      </c>
      <c r="E2524" t="s">
        <v>237</v>
      </c>
      <c r="F2524" t="s">
        <v>246</v>
      </c>
      <c r="G2524" t="s">
        <v>147</v>
      </c>
      <c r="H2524" s="3">
        <v>0.6</v>
      </c>
      <c r="I2524">
        <v>2250</v>
      </c>
      <c r="J2524" s="4">
        <v>1350</v>
      </c>
      <c r="K2524" s="4">
        <v>472.49999999999994</v>
      </c>
      <c r="L2524" s="5">
        <v>0.35</v>
      </c>
      <c r="M2524" t="s">
        <v>23</v>
      </c>
      <c r="N2524" t="s">
        <v>364</v>
      </c>
    </row>
    <row r="2525" spans="1:14">
      <c r="A2525" t="s">
        <v>29</v>
      </c>
      <c r="B2525">
        <v>1185732</v>
      </c>
      <c r="C2525" s="2">
        <v>44551</v>
      </c>
      <c r="D2525" t="s">
        <v>140</v>
      </c>
      <c r="E2525" t="s">
        <v>237</v>
      </c>
      <c r="F2525" t="s">
        <v>246</v>
      </c>
      <c r="G2525" t="s">
        <v>144</v>
      </c>
      <c r="H2525" s="3">
        <v>0.64999999999999991</v>
      </c>
      <c r="I2525">
        <v>3250</v>
      </c>
      <c r="J2525" s="4">
        <v>2112.4999999999995</v>
      </c>
      <c r="K2525" s="4">
        <v>844.99999999999989</v>
      </c>
      <c r="L2525" s="5">
        <v>0.4</v>
      </c>
      <c r="M2525" t="s">
        <v>23</v>
      </c>
      <c r="N2525" t="s">
        <v>364</v>
      </c>
    </row>
    <row r="2526" spans="1:14">
      <c r="A2526" t="s">
        <v>29</v>
      </c>
      <c r="B2526">
        <v>1185732</v>
      </c>
      <c r="C2526" s="2">
        <v>44216</v>
      </c>
      <c r="D2526" t="s">
        <v>138</v>
      </c>
      <c r="E2526" t="s">
        <v>213</v>
      </c>
      <c r="F2526" t="s">
        <v>222</v>
      </c>
      <c r="G2526" t="s">
        <v>27</v>
      </c>
      <c r="H2526" s="3">
        <v>0.30000000000000004</v>
      </c>
      <c r="I2526">
        <v>7250</v>
      </c>
      <c r="J2526" s="4">
        <v>2175.0000000000005</v>
      </c>
      <c r="K2526" s="4">
        <v>870.00000000000023</v>
      </c>
      <c r="L2526" s="5">
        <v>0.4</v>
      </c>
      <c r="M2526" t="s">
        <v>125</v>
      </c>
      <c r="N2526" t="s">
        <v>361</v>
      </c>
    </row>
    <row r="2527" spans="1:14">
      <c r="A2527" t="s">
        <v>29</v>
      </c>
      <c r="B2527">
        <v>1185732</v>
      </c>
      <c r="C2527" s="2">
        <v>44216</v>
      </c>
      <c r="D2527" t="s">
        <v>138</v>
      </c>
      <c r="E2527" t="s">
        <v>213</v>
      </c>
      <c r="F2527" t="s">
        <v>222</v>
      </c>
      <c r="G2527" t="s">
        <v>145</v>
      </c>
      <c r="H2527" s="3">
        <v>0.30000000000000004</v>
      </c>
      <c r="I2527">
        <v>5250</v>
      </c>
      <c r="J2527" s="4">
        <v>1575.0000000000002</v>
      </c>
      <c r="K2527" s="4">
        <v>551.25</v>
      </c>
      <c r="L2527" s="5">
        <v>0.35</v>
      </c>
      <c r="M2527" t="s">
        <v>125</v>
      </c>
      <c r="N2527" t="s">
        <v>361</v>
      </c>
    </row>
    <row r="2528" spans="1:14">
      <c r="A2528" t="s">
        <v>29</v>
      </c>
      <c r="B2528">
        <v>1185732</v>
      </c>
      <c r="C2528" s="2">
        <v>44216</v>
      </c>
      <c r="D2528" t="s">
        <v>138</v>
      </c>
      <c r="E2528" t="s">
        <v>213</v>
      </c>
      <c r="F2528" t="s">
        <v>222</v>
      </c>
      <c r="G2528" t="s">
        <v>146</v>
      </c>
      <c r="H2528" s="3">
        <v>0.20000000000000007</v>
      </c>
      <c r="I2528">
        <v>5250</v>
      </c>
      <c r="J2528" s="4">
        <v>1050.0000000000005</v>
      </c>
      <c r="K2528" s="4">
        <v>420.00000000000023</v>
      </c>
      <c r="L2528" s="5">
        <v>0.4</v>
      </c>
      <c r="M2528" t="s">
        <v>125</v>
      </c>
      <c r="N2528" t="s">
        <v>361</v>
      </c>
    </row>
    <row r="2529" spans="1:14">
      <c r="A2529" t="s">
        <v>29</v>
      </c>
      <c r="B2529">
        <v>1185732</v>
      </c>
      <c r="C2529" s="2">
        <v>44216</v>
      </c>
      <c r="D2529" t="s">
        <v>138</v>
      </c>
      <c r="E2529" t="s">
        <v>213</v>
      </c>
      <c r="F2529" t="s">
        <v>222</v>
      </c>
      <c r="G2529" t="s">
        <v>148</v>
      </c>
      <c r="H2529" s="3">
        <v>0.25</v>
      </c>
      <c r="I2529">
        <v>3750</v>
      </c>
      <c r="J2529" s="4">
        <v>937.5</v>
      </c>
      <c r="K2529" s="4">
        <v>375</v>
      </c>
      <c r="L2529" s="5">
        <v>0.4</v>
      </c>
      <c r="M2529" t="s">
        <v>125</v>
      </c>
      <c r="N2529" t="s">
        <v>361</v>
      </c>
    </row>
    <row r="2530" spans="1:14">
      <c r="A2530" t="s">
        <v>29</v>
      </c>
      <c r="B2530">
        <v>1185732</v>
      </c>
      <c r="C2530" s="2">
        <v>44216</v>
      </c>
      <c r="D2530" t="s">
        <v>138</v>
      </c>
      <c r="E2530" t="s">
        <v>213</v>
      </c>
      <c r="F2530" t="s">
        <v>222</v>
      </c>
      <c r="G2530" t="s">
        <v>147</v>
      </c>
      <c r="H2530" s="3">
        <v>0.4</v>
      </c>
      <c r="I2530">
        <v>4250</v>
      </c>
      <c r="J2530" s="4">
        <v>1700</v>
      </c>
      <c r="K2530" s="4">
        <v>595</v>
      </c>
      <c r="L2530" s="5">
        <v>0.35</v>
      </c>
      <c r="M2530" t="s">
        <v>125</v>
      </c>
      <c r="N2530" t="s">
        <v>361</v>
      </c>
    </row>
    <row r="2531" spans="1:14">
      <c r="A2531" t="s">
        <v>29</v>
      </c>
      <c r="B2531">
        <v>1185732</v>
      </c>
      <c r="C2531" s="2">
        <v>44216</v>
      </c>
      <c r="D2531" t="s">
        <v>138</v>
      </c>
      <c r="E2531" t="s">
        <v>213</v>
      </c>
      <c r="F2531" t="s">
        <v>222</v>
      </c>
      <c r="G2531" t="s">
        <v>144</v>
      </c>
      <c r="H2531" s="3">
        <v>0.30000000000000004</v>
      </c>
      <c r="I2531">
        <v>5250</v>
      </c>
      <c r="J2531" s="4">
        <v>1575.0000000000002</v>
      </c>
      <c r="K2531" s="4">
        <v>787.50000000000011</v>
      </c>
      <c r="L2531" s="5">
        <v>0.5</v>
      </c>
      <c r="M2531" t="s">
        <v>125</v>
      </c>
      <c r="N2531" t="s">
        <v>361</v>
      </c>
    </row>
    <row r="2532" spans="1:14">
      <c r="A2532" t="s">
        <v>29</v>
      </c>
      <c r="B2532">
        <v>1185732</v>
      </c>
      <c r="C2532" s="2">
        <v>44245</v>
      </c>
      <c r="D2532" t="s">
        <v>138</v>
      </c>
      <c r="E2532" t="s">
        <v>213</v>
      </c>
      <c r="F2532" t="s">
        <v>222</v>
      </c>
      <c r="G2532" t="s">
        <v>27</v>
      </c>
      <c r="H2532" s="3">
        <v>0.30000000000000004</v>
      </c>
      <c r="I2532">
        <v>7750</v>
      </c>
      <c r="J2532" s="4">
        <v>2325.0000000000005</v>
      </c>
      <c r="K2532" s="4">
        <v>930.00000000000023</v>
      </c>
      <c r="L2532" s="5">
        <v>0.4</v>
      </c>
      <c r="M2532" t="s">
        <v>126</v>
      </c>
      <c r="N2532" t="s">
        <v>361</v>
      </c>
    </row>
    <row r="2533" spans="1:14">
      <c r="A2533" t="s">
        <v>29</v>
      </c>
      <c r="B2533">
        <v>1185732</v>
      </c>
      <c r="C2533" s="2">
        <v>44245</v>
      </c>
      <c r="D2533" t="s">
        <v>138</v>
      </c>
      <c r="E2533" t="s">
        <v>213</v>
      </c>
      <c r="F2533" t="s">
        <v>222</v>
      </c>
      <c r="G2533" t="s">
        <v>145</v>
      </c>
      <c r="H2533" s="3">
        <v>0.30000000000000004</v>
      </c>
      <c r="I2533">
        <v>4250</v>
      </c>
      <c r="J2533" s="4">
        <v>1275.0000000000002</v>
      </c>
      <c r="K2533" s="4">
        <v>446.25000000000006</v>
      </c>
      <c r="L2533" s="5">
        <v>0.35</v>
      </c>
      <c r="M2533" t="s">
        <v>126</v>
      </c>
      <c r="N2533" t="s">
        <v>361</v>
      </c>
    </row>
    <row r="2534" spans="1:14">
      <c r="A2534" t="s">
        <v>29</v>
      </c>
      <c r="B2534">
        <v>1185732</v>
      </c>
      <c r="C2534" s="2">
        <v>44245</v>
      </c>
      <c r="D2534" t="s">
        <v>138</v>
      </c>
      <c r="E2534" t="s">
        <v>213</v>
      </c>
      <c r="F2534" t="s">
        <v>222</v>
      </c>
      <c r="G2534" t="s">
        <v>146</v>
      </c>
      <c r="H2534" s="3">
        <v>0.20000000000000007</v>
      </c>
      <c r="I2534">
        <v>4750</v>
      </c>
      <c r="J2534" s="4">
        <v>950.00000000000034</v>
      </c>
      <c r="K2534" s="4">
        <v>380.00000000000017</v>
      </c>
      <c r="L2534" s="5">
        <v>0.4</v>
      </c>
      <c r="M2534" t="s">
        <v>126</v>
      </c>
      <c r="N2534" t="s">
        <v>361</v>
      </c>
    </row>
    <row r="2535" spans="1:14">
      <c r="A2535" t="s">
        <v>29</v>
      </c>
      <c r="B2535">
        <v>1185732</v>
      </c>
      <c r="C2535" s="2">
        <v>44245</v>
      </c>
      <c r="D2535" t="s">
        <v>138</v>
      </c>
      <c r="E2535" t="s">
        <v>213</v>
      </c>
      <c r="F2535" t="s">
        <v>222</v>
      </c>
      <c r="G2535" t="s">
        <v>148</v>
      </c>
      <c r="H2535" s="3">
        <v>0.25</v>
      </c>
      <c r="I2535">
        <v>3250</v>
      </c>
      <c r="J2535" s="4">
        <v>812.5</v>
      </c>
      <c r="K2535" s="4">
        <v>325</v>
      </c>
      <c r="L2535" s="5">
        <v>0.4</v>
      </c>
      <c r="M2535" t="s">
        <v>126</v>
      </c>
      <c r="N2535" t="s">
        <v>361</v>
      </c>
    </row>
    <row r="2536" spans="1:14">
      <c r="A2536" t="s">
        <v>29</v>
      </c>
      <c r="B2536">
        <v>1185732</v>
      </c>
      <c r="C2536" s="2">
        <v>44245</v>
      </c>
      <c r="D2536" t="s">
        <v>138</v>
      </c>
      <c r="E2536" t="s">
        <v>213</v>
      </c>
      <c r="F2536" t="s">
        <v>222</v>
      </c>
      <c r="G2536" t="s">
        <v>147</v>
      </c>
      <c r="H2536" s="3">
        <v>0.4</v>
      </c>
      <c r="I2536">
        <v>4000</v>
      </c>
      <c r="J2536" s="4">
        <v>1600</v>
      </c>
      <c r="K2536" s="4">
        <v>560</v>
      </c>
      <c r="L2536" s="5">
        <v>0.35</v>
      </c>
      <c r="M2536" t="s">
        <v>126</v>
      </c>
      <c r="N2536" t="s">
        <v>361</v>
      </c>
    </row>
    <row r="2537" spans="1:14">
      <c r="A2537" t="s">
        <v>29</v>
      </c>
      <c r="B2537">
        <v>1185732</v>
      </c>
      <c r="C2537" s="2">
        <v>44245</v>
      </c>
      <c r="D2537" t="s">
        <v>138</v>
      </c>
      <c r="E2537" t="s">
        <v>213</v>
      </c>
      <c r="F2537" t="s">
        <v>222</v>
      </c>
      <c r="G2537" t="s">
        <v>144</v>
      </c>
      <c r="H2537" s="3">
        <v>0.25</v>
      </c>
      <c r="I2537">
        <v>5000</v>
      </c>
      <c r="J2537" s="4">
        <v>1250</v>
      </c>
      <c r="K2537" s="4">
        <v>625</v>
      </c>
      <c r="L2537" s="5">
        <v>0.5</v>
      </c>
      <c r="M2537" t="s">
        <v>126</v>
      </c>
      <c r="N2537" t="s">
        <v>361</v>
      </c>
    </row>
    <row r="2538" spans="1:14">
      <c r="A2538" t="s">
        <v>29</v>
      </c>
      <c r="B2538">
        <v>1185732</v>
      </c>
      <c r="C2538" s="2">
        <v>44271</v>
      </c>
      <c r="D2538" t="s">
        <v>138</v>
      </c>
      <c r="E2538" t="s">
        <v>213</v>
      </c>
      <c r="F2538" t="s">
        <v>222</v>
      </c>
      <c r="G2538" t="s">
        <v>27</v>
      </c>
      <c r="H2538" s="3">
        <v>0.25</v>
      </c>
      <c r="I2538">
        <v>7200</v>
      </c>
      <c r="J2538" s="4">
        <v>1800</v>
      </c>
      <c r="K2538" s="4">
        <v>720</v>
      </c>
      <c r="L2538" s="5">
        <v>0.4</v>
      </c>
      <c r="M2538" t="s">
        <v>24</v>
      </c>
      <c r="N2538" t="s">
        <v>361</v>
      </c>
    </row>
    <row r="2539" spans="1:14">
      <c r="A2539" t="s">
        <v>29</v>
      </c>
      <c r="B2539">
        <v>1185732</v>
      </c>
      <c r="C2539" s="2">
        <v>44271</v>
      </c>
      <c r="D2539" t="s">
        <v>138</v>
      </c>
      <c r="E2539" t="s">
        <v>213</v>
      </c>
      <c r="F2539" t="s">
        <v>222</v>
      </c>
      <c r="G2539" t="s">
        <v>145</v>
      </c>
      <c r="H2539" s="3">
        <v>0.25</v>
      </c>
      <c r="I2539">
        <v>4000</v>
      </c>
      <c r="J2539" s="4">
        <v>1000</v>
      </c>
      <c r="K2539" s="4">
        <v>350</v>
      </c>
      <c r="L2539" s="5">
        <v>0.35</v>
      </c>
      <c r="M2539" t="s">
        <v>24</v>
      </c>
      <c r="N2539" t="s">
        <v>361</v>
      </c>
    </row>
    <row r="2540" spans="1:14">
      <c r="A2540" t="s">
        <v>29</v>
      </c>
      <c r="B2540">
        <v>1185732</v>
      </c>
      <c r="C2540" s="2">
        <v>44271</v>
      </c>
      <c r="D2540" t="s">
        <v>138</v>
      </c>
      <c r="E2540" t="s">
        <v>213</v>
      </c>
      <c r="F2540" t="s">
        <v>222</v>
      </c>
      <c r="G2540" t="s">
        <v>146</v>
      </c>
      <c r="H2540" s="3">
        <v>0.15000000000000002</v>
      </c>
      <c r="I2540">
        <v>4250</v>
      </c>
      <c r="J2540" s="4">
        <v>637.50000000000011</v>
      </c>
      <c r="K2540" s="4">
        <v>255.00000000000006</v>
      </c>
      <c r="L2540" s="5">
        <v>0.4</v>
      </c>
      <c r="M2540" t="s">
        <v>24</v>
      </c>
      <c r="N2540" t="s">
        <v>361</v>
      </c>
    </row>
    <row r="2541" spans="1:14">
      <c r="A2541" t="s">
        <v>29</v>
      </c>
      <c r="B2541">
        <v>1185732</v>
      </c>
      <c r="C2541" s="2">
        <v>44271</v>
      </c>
      <c r="D2541" t="s">
        <v>138</v>
      </c>
      <c r="E2541" t="s">
        <v>213</v>
      </c>
      <c r="F2541" t="s">
        <v>222</v>
      </c>
      <c r="G2541" t="s">
        <v>148</v>
      </c>
      <c r="H2541" s="3">
        <v>0.19999999999999996</v>
      </c>
      <c r="I2541">
        <v>2750</v>
      </c>
      <c r="J2541" s="4">
        <v>549.99999999999989</v>
      </c>
      <c r="K2541" s="4">
        <v>219.99999999999997</v>
      </c>
      <c r="L2541" s="5">
        <v>0.4</v>
      </c>
      <c r="M2541" t="s">
        <v>24</v>
      </c>
      <c r="N2541" t="s">
        <v>361</v>
      </c>
    </row>
    <row r="2542" spans="1:14">
      <c r="A2542" t="s">
        <v>29</v>
      </c>
      <c r="B2542">
        <v>1185732</v>
      </c>
      <c r="C2542" s="2">
        <v>44271</v>
      </c>
      <c r="D2542" t="s">
        <v>138</v>
      </c>
      <c r="E2542" t="s">
        <v>213</v>
      </c>
      <c r="F2542" t="s">
        <v>222</v>
      </c>
      <c r="G2542" t="s">
        <v>147</v>
      </c>
      <c r="H2542" s="3">
        <v>0.35000000000000009</v>
      </c>
      <c r="I2542">
        <v>3250</v>
      </c>
      <c r="J2542" s="4">
        <v>1137.5000000000002</v>
      </c>
      <c r="K2542" s="4">
        <v>398.12500000000006</v>
      </c>
      <c r="L2542" s="5">
        <v>0.35</v>
      </c>
      <c r="M2542" t="s">
        <v>24</v>
      </c>
      <c r="N2542" t="s">
        <v>361</v>
      </c>
    </row>
    <row r="2543" spans="1:14">
      <c r="A2543" t="s">
        <v>29</v>
      </c>
      <c r="B2543">
        <v>1185732</v>
      </c>
      <c r="C2543" s="2">
        <v>44271</v>
      </c>
      <c r="D2543" t="s">
        <v>138</v>
      </c>
      <c r="E2543" t="s">
        <v>213</v>
      </c>
      <c r="F2543" t="s">
        <v>222</v>
      </c>
      <c r="G2543" t="s">
        <v>144</v>
      </c>
      <c r="H2543" s="3">
        <v>0.25</v>
      </c>
      <c r="I2543">
        <v>4250</v>
      </c>
      <c r="J2543" s="4">
        <v>1062.5</v>
      </c>
      <c r="K2543" s="4">
        <v>531.25</v>
      </c>
      <c r="L2543" s="5">
        <v>0.5</v>
      </c>
      <c r="M2543" t="s">
        <v>24</v>
      </c>
      <c r="N2543" t="s">
        <v>361</v>
      </c>
    </row>
    <row r="2544" spans="1:14">
      <c r="A2544" t="s">
        <v>29</v>
      </c>
      <c r="B2544">
        <v>1185732</v>
      </c>
      <c r="C2544" s="2">
        <v>44303</v>
      </c>
      <c r="D2544" t="s">
        <v>138</v>
      </c>
      <c r="E2544" t="s">
        <v>213</v>
      </c>
      <c r="F2544" t="s">
        <v>222</v>
      </c>
      <c r="G2544" t="s">
        <v>27</v>
      </c>
      <c r="H2544" s="3">
        <v>0.25</v>
      </c>
      <c r="I2544">
        <v>6750</v>
      </c>
      <c r="J2544" s="4">
        <v>1687.5</v>
      </c>
      <c r="K2544" s="4">
        <v>675</v>
      </c>
      <c r="L2544" s="5">
        <v>0.4</v>
      </c>
      <c r="M2544" t="s">
        <v>127</v>
      </c>
      <c r="N2544" t="s">
        <v>362</v>
      </c>
    </row>
    <row r="2545" spans="1:14">
      <c r="A2545" t="s">
        <v>29</v>
      </c>
      <c r="B2545">
        <v>1185732</v>
      </c>
      <c r="C2545" s="2">
        <v>44303</v>
      </c>
      <c r="D2545" t="s">
        <v>138</v>
      </c>
      <c r="E2545" t="s">
        <v>213</v>
      </c>
      <c r="F2545" t="s">
        <v>222</v>
      </c>
      <c r="G2545" t="s">
        <v>145</v>
      </c>
      <c r="H2545" s="3">
        <v>0.25</v>
      </c>
      <c r="I2545">
        <v>3750</v>
      </c>
      <c r="J2545" s="4">
        <v>937.5</v>
      </c>
      <c r="K2545" s="4">
        <v>328.125</v>
      </c>
      <c r="L2545" s="5">
        <v>0.35</v>
      </c>
      <c r="M2545" t="s">
        <v>127</v>
      </c>
      <c r="N2545" t="s">
        <v>362</v>
      </c>
    </row>
    <row r="2546" spans="1:14">
      <c r="A2546" t="s">
        <v>29</v>
      </c>
      <c r="B2546">
        <v>1185732</v>
      </c>
      <c r="C2546" s="2">
        <v>44303</v>
      </c>
      <c r="D2546" t="s">
        <v>138</v>
      </c>
      <c r="E2546" t="s">
        <v>213</v>
      </c>
      <c r="F2546" t="s">
        <v>222</v>
      </c>
      <c r="G2546" t="s">
        <v>146</v>
      </c>
      <c r="H2546" s="3">
        <v>0.15000000000000002</v>
      </c>
      <c r="I2546">
        <v>3750</v>
      </c>
      <c r="J2546" s="4">
        <v>562.50000000000011</v>
      </c>
      <c r="K2546" s="4">
        <v>225.00000000000006</v>
      </c>
      <c r="L2546" s="5">
        <v>0.4</v>
      </c>
      <c r="M2546" t="s">
        <v>127</v>
      </c>
      <c r="N2546" t="s">
        <v>362</v>
      </c>
    </row>
    <row r="2547" spans="1:14">
      <c r="A2547" t="s">
        <v>29</v>
      </c>
      <c r="B2547">
        <v>1185732</v>
      </c>
      <c r="C2547" s="2">
        <v>44303</v>
      </c>
      <c r="D2547" t="s">
        <v>138</v>
      </c>
      <c r="E2547" t="s">
        <v>213</v>
      </c>
      <c r="F2547" t="s">
        <v>222</v>
      </c>
      <c r="G2547" t="s">
        <v>148</v>
      </c>
      <c r="H2547" s="3">
        <v>0.19999999999999996</v>
      </c>
      <c r="I2547">
        <v>3000</v>
      </c>
      <c r="J2547" s="4">
        <v>599.99999999999989</v>
      </c>
      <c r="K2547" s="4">
        <v>239.99999999999997</v>
      </c>
      <c r="L2547" s="5">
        <v>0.4</v>
      </c>
      <c r="M2547" t="s">
        <v>127</v>
      </c>
      <c r="N2547" t="s">
        <v>362</v>
      </c>
    </row>
    <row r="2548" spans="1:14">
      <c r="A2548" t="s">
        <v>29</v>
      </c>
      <c r="B2548">
        <v>1185732</v>
      </c>
      <c r="C2548" s="2">
        <v>44303</v>
      </c>
      <c r="D2548" t="s">
        <v>138</v>
      </c>
      <c r="E2548" t="s">
        <v>213</v>
      </c>
      <c r="F2548" t="s">
        <v>222</v>
      </c>
      <c r="G2548" t="s">
        <v>147</v>
      </c>
      <c r="H2548" s="3">
        <v>0.4</v>
      </c>
      <c r="I2548">
        <v>3250</v>
      </c>
      <c r="J2548" s="4">
        <v>1300</v>
      </c>
      <c r="K2548" s="4">
        <v>454.99999999999994</v>
      </c>
      <c r="L2548" s="5">
        <v>0.35</v>
      </c>
      <c r="M2548" t="s">
        <v>127</v>
      </c>
      <c r="N2548" t="s">
        <v>362</v>
      </c>
    </row>
    <row r="2549" spans="1:14">
      <c r="A2549" t="s">
        <v>29</v>
      </c>
      <c r="B2549">
        <v>1185732</v>
      </c>
      <c r="C2549" s="2">
        <v>44303</v>
      </c>
      <c r="D2549" t="s">
        <v>138</v>
      </c>
      <c r="E2549" t="s">
        <v>213</v>
      </c>
      <c r="F2549" t="s">
        <v>222</v>
      </c>
      <c r="G2549" t="s">
        <v>144</v>
      </c>
      <c r="H2549" s="3">
        <v>0.30000000000000004</v>
      </c>
      <c r="I2549">
        <v>4750</v>
      </c>
      <c r="J2549" s="4">
        <v>1425.0000000000002</v>
      </c>
      <c r="K2549" s="4">
        <v>712.50000000000011</v>
      </c>
      <c r="L2549" s="5">
        <v>0.5</v>
      </c>
      <c r="M2549" t="s">
        <v>127</v>
      </c>
      <c r="N2549" t="s">
        <v>362</v>
      </c>
    </row>
    <row r="2550" spans="1:14">
      <c r="A2550" t="s">
        <v>29</v>
      </c>
      <c r="B2550">
        <v>1185732</v>
      </c>
      <c r="C2550" s="2">
        <v>44332</v>
      </c>
      <c r="D2550" t="s">
        <v>138</v>
      </c>
      <c r="E2550" t="s">
        <v>213</v>
      </c>
      <c r="F2550" t="s">
        <v>222</v>
      </c>
      <c r="G2550" t="s">
        <v>27</v>
      </c>
      <c r="H2550" s="3">
        <v>0.4</v>
      </c>
      <c r="I2550">
        <v>7450</v>
      </c>
      <c r="J2550" s="4">
        <v>2980</v>
      </c>
      <c r="K2550" s="4">
        <v>1192</v>
      </c>
      <c r="L2550" s="5">
        <v>0.4</v>
      </c>
      <c r="M2550" t="s">
        <v>128</v>
      </c>
      <c r="N2550" t="s">
        <v>362</v>
      </c>
    </row>
    <row r="2551" spans="1:14">
      <c r="A2551" t="s">
        <v>29</v>
      </c>
      <c r="B2551">
        <v>1185732</v>
      </c>
      <c r="C2551" s="2">
        <v>44332</v>
      </c>
      <c r="D2551" t="s">
        <v>138</v>
      </c>
      <c r="E2551" t="s">
        <v>213</v>
      </c>
      <c r="F2551" t="s">
        <v>222</v>
      </c>
      <c r="G2551" t="s">
        <v>145</v>
      </c>
      <c r="H2551" s="3">
        <v>0.4</v>
      </c>
      <c r="I2551">
        <v>4500</v>
      </c>
      <c r="J2551" s="4">
        <v>1800</v>
      </c>
      <c r="K2551" s="4">
        <v>630</v>
      </c>
      <c r="L2551" s="5">
        <v>0.35</v>
      </c>
      <c r="M2551" t="s">
        <v>128</v>
      </c>
      <c r="N2551" t="s">
        <v>362</v>
      </c>
    </row>
    <row r="2552" spans="1:14">
      <c r="A2552" t="s">
        <v>29</v>
      </c>
      <c r="B2552">
        <v>1185732</v>
      </c>
      <c r="C2552" s="2">
        <v>44332</v>
      </c>
      <c r="D2552" t="s">
        <v>138</v>
      </c>
      <c r="E2552" t="s">
        <v>213</v>
      </c>
      <c r="F2552" t="s">
        <v>222</v>
      </c>
      <c r="G2552" t="s">
        <v>146</v>
      </c>
      <c r="H2552" s="3">
        <v>0.35000000000000003</v>
      </c>
      <c r="I2552">
        <v>4250</v>
      </c>
      <c r="J2552" s="4">
        <v>1487.5000000000002</v>
      </c>
      <c r="K2552" s="4">
        <v>595.00000000000011</v>
      </c>
      <c r="L2552" s="5">
        <v>0.4</v>
      </c>
      <c r="M2552" t="s">
        <v>128</v>
      </c>
      <c r="N2552" t="s">
        <v>362</v>
      </c>
    </row>
    <row r="2553" spans="1:14">
      <c r="A2553" t="s">
        <v>29</v>
      </c>
      <c r="B2553">
        <v>1185732</v>
      </c>
      <c r="C2553" s="2">
        <v>44332</v>
      </c>
      <c r="D2553" t="s">
        <v>138</v>
      </c>
      <c r="E2553" t="s">
        <v>213</v>
      </c>
      <c r="F2553" t="s">
        <v>222</v>
      </c>
      <c r="G2553" t="s">
        <v>148</v>
      </c>
      <c r="H2553" s="3">
        <v>0.35000000000000003</v>
      </c>
      <c r="I2553">
        <v>3750</v>
      </c>
      <c r="J2553" s="4">
        <v>1312.5000000000002</v>
      </c>
      <c r="K2553" s="4">
        <v>525.00000000000011</v>
      </c>
      <c r="L2553" s="5">
        <v>0.4</v>
      </c>
      <c r="M2553" t="s">
        <v>128</v>
      </c>
      <c r="N2553" t="s">
        <v>362</v>
      </c>
    </row>
    <row r="2554" spans="1:14">
      <c r="A2554" t="s">
        <v>29</v>
      </c>
      <c r="B2554">
        <v>1185732</v>
      </c>
      <c r="C2554" s="2">
        <v>44332</v>
      </c>
      <c r="D2554" t="s">
        <v>138</v>
      </c>
      <c r="E2554" t="s">
        <v>213</v>
      </c>
      <c r="F2554" t="s">
        <v>222</v>
      </c>
      <c r="G2554" t="s">
        <v>147</v>
      </c>
      <c r="H2554" s="3">
        <v>0.44999999999999996</v>
      </c>
      <c r="I2554">
        <v>4000</v>
      </c>
      <c r="J2554" s="4">
        <v>1799.9999999999998</v>
      </c>
      <c r="K2554" s="4">
        <v>629.99999999999989</v>
      </c>
      <c r="L2554" s="5">
        <v>0.35</v>
      </c>
      <c r="M2554" t="s">
        <v>128</v>
      </c>
      <c r="N2554" t="s">
        <v>362</v>
      </c>
    </row>
    <row r="2555" spans="1:14">
      <c r="A2555" t="s">
        <v>29</v>
      </c>
      <c r="B2555">
        <v>1185732</v>
      </c>
      <c r="C2555" s="2">
        <v>44332</v>
      </c>
      <c r="D2555" t="s">
        <v>138</v>
      </c>
      <c r="E2555" t="s">
        <v>213</v>
      </c>
      <c r="F2555" t="s">
        <v>222</v>
      </c>
      <c r="G2555" t="s">
        <v>144</v>
      </c>
      <c r="H2555" s="3">
        <v>0.49999999999999994</v>
      </c>
      <c r="I2555">
        <v>5000</v>
      </c>
      <c r="J2555" s="4">
        <v>2499.9999999999995</v>
      </c>
      <c r="K2555" s="4">
        <v>1249.9999999999998</v>
      </c>
      <c r="L2555" s="5">
        <v>0.5</v>
      </c>
      <c r="M2555" t="s">
        <v>128</v>
      </c>
      <c r="N2555" t="s">
        <v>362</v>
      </c>
    </row>
    <row r="2556" spans="1:14">
      <c r="A2556" t="s">
        <v>29</v>
      </c>
      <c r="B2556">
        <v>1185732</v>
      </c>
      <c r="C2556" s="2">
        <v>44365</v>
      </c>
      <c r="D2556" t="s">
        <v>138</v>
      </c>
      <c r="E2556" t="s">
        <v>213</v>
      </c>
      <c r="F2556" t="s">
        <v>222</v>
      </c>
      <c r="G2556" t="s">
        <v>27</v>
      </c>
      <c r="H2556" s="3">
        <v>0.44999999999999996</v>
      </c>
      <c r="I2556">
        <v>7500</v>
      </c>
      <c r="J2556" s="4">
        <v>3374.9999999999995</v>
      </c>
      <c r="K2556" s="4">
        <v>1350</v>
      </c>
      <c r="L2556" s="5">
        <v>0.4</v>
      </c>
      <c r="M2556" t="s">
        <v>129</v>
      </c>
      <c r="N2556" t="s">
        <v>362</v>
      </c>
    </row>
    <row r="2557" spans="1:14">
      <c r="A2557" t="s">
        <v>29</v>
      </c>
      <c r="B2557">
        <v>1185732</v>
      </c>
      <c r="C2557" s="2">
        <v>44365</v>
      </c>
      <c r="D2557" t="s">
        <v>138</v>
      </c>
      <c r="E2557" t="s">
        <v>213</v>
      </c>
      <c r="F2557" t="s">
        <v>222</v>
      </c>
      <c r="G2557" t="s">
        <v>145</v>
      </c>
      <c r="H2557" s="3">
        <v>0.4</v>
      </c>
      <c r="I2557">
        <v>5000</v>
      </c>
      <c r="J2557" s="4">
        <v>2000</v>
      </c>
      <c r="K2557" s="4">
        <v>700</v>
      </c>
      <c r="L2557" s="5">
        <v>0.35</v>
      </c>
      <c r="M2557" t="s">
        <v>129</v>
      </c>
      <c r="N2557" t="s">
        <v>362</v>
      </c>
    </row>
    <row r="2558" spans="1:14">
      <c r="A2558" t="s">
        <v>29</v>
      </c>
      <c r="B2558">
        <v>1185732</v>
      </c>
      <c r="C2558" s="2">
        <v>44365</v>
      </c>
      <c r="D2558" t="s">
        <v>138</v>
      </c>
      <c r="E2558" t="s">
        <v>213</v>
      </c>
      <c r="F2558" t="s">
        <v>222</v>
      </c>
      <c r="G2558" t="s">
        <v>146</v>
      </c>
      <c r="H2558" s="3">
        <v>0.45</v>
      </c>
      <c r="I2558">
        <v>4750</v>
      </c>
      <c r="J2558" s="4">
        <v>2137.5</v>
      </c>
      <c r="K2558" s="4">
        <v>855</v>
      </c>
      <c r="L2558" s="5">
        <v>0.4</v>
      </c>
      <c r="M2558" t="s">
        <v>129</v>
      </c>
      <c r="N2558" t="s">
        <v>362</v>
      </c>
    </row>
    <row r="2559" spans="1:14">
      <c r="A2559" t="s">
        <v>29</v>
      </c>
      <c r="B2559">
        <v>1185732</v>
      </c>
      <c r="C2559" s="2">
        <v>44365</v>
      </c>
      <c r="D2559" t="s">
        <v>138</v>
      </c>
      <c r="E2559" t="s">
        <v>213</v>
      </c>
      <c r="F2559" t="s">
        <v>222</v>
      </c>
      <c r="G2559" t="s">
        <v>148</v>
      </c>
      <c r="H2559" s="3">
        <v>0.45</v>
      </c>
      <c r="I2559">
        <v>4500</v>
      </c>
      <c r="J2559" s="4">
        <v>2025</v>
      </c>
      <c r="K2559" s="4">
        <v>810</v>
      </c>
      <c r="L2559" s="5">
        <v>0.4</v>
      </c>
      <c r="M2559" t="s">
        <v>129</v>
      </c>
      <c r="N2559" t="s">
        <v>362</v>
      </c>
    </row>
    <row r="2560" spans="1:14">
      <c r="A2560" t="s">
        <v>29</v>
      </c>
      <c r="B2560">
        <v>1185732</v>
      </c>
      <c r="C2560" s="2">
        <v>44365</v>
      </c>
      <c r="D2560" t="s">
        <v>138</v>
      </c>
      <c r="E2560" t="s">
        <v>213</v>
      </c>
      <c r="F2560" t="s">
        <v>222</v>
      </c>
      <c r="G2560" t="s">
        <v>147</v>
      </c>
      <c r="H2560" s="3">
        <v>0.6</v>
      </c>
      <c r="I2560">
        <v>4500</v>
      </c>
      <c r="J2560" s="4">
        <v>2700</v>
      </c>
      <c r="K2560" s="4">
        <v>944.99999999999989</v>
      </c>
      <c r="L2560" s="5">
        <v>0.35</v>
      </c>
      <c r="M2560" t="s">
        <v>129</v>
      </c>
      <c r="N2560" t="s">
        <v>362</v>
      </c>
    </row>
    <row r="2561" spans="1:14">
      <c r="A2561" t="s">
        <v>29</v>
      </c>
      <c r="B2561">
        <v>1185732</v>
      </c>
      <c r="C2561" s="2">
        <v>44365</v>
      </c>
      <c r="D2561" t="s">
        <v>138</v>
      </c>
      <c r="E2561" t="s">
        <v>213</v>
      </c>
      <c r="F2561" t="s">
        <v>222</v>
      </c>
      <c r="G2561" t="s">
        <v>144</v>
      </c>
      <c r="H2561" s="3">
        <v>0.65</v>
      </c>
      <c r="I2561">
        <v>6250</v>
      </c>
      <c r="J2561" s="4">
        <v>4062.5</v>
      </c>
      <c r="K2561" s="4">
        <v>2031.25</v>
      </c>
      <c r="L2561" s="5">
        <v>0.5</v>
      </c>
      <c r="M2561" t="s">
        <v>129</v>
      </c>
      <c r="N2561" t="s">
        <v>362</v>
      </c>
    </row>
    <row r="2562" spans="1:14">
      <c r="A2562" t="s">
        <v>29</v>
      </c>
      <c r="B2562">
        <v>1185732</v>
      </c>
      <c r="C2562" s="2">
        <v>44393</v>
      </c>
      <c r="D2562" t="s">
        <v>138</v>
      </c>
      <c r="E2562" t="s">
        <v>213</v>
      </c>
      <c r="F2562" t="s">
        <v>222</v>
      </c>
      <c r="G2562" t="s">
        <v>27</v>
      </c>
      <c r="H2562" s="3">
        <v>0.6</v>
      </c>
      <c r="I2562">
        <v>8500</v>
      </c>
      <c r="J2562" s="4">
        <v>5100</v>
      </c>
      <c r="K2562" s="4">
        <v>2040</v>
      </c>
      <c r="L2562" s="5">
        <v>0.4</v>
      </c>
      <c r="M2562" t="s">
        <v>130</v>
      </c>
      <c r="N2562" t="s">
        <v>363</v>
      </c>
    </row>
    <row r="2563" spans="1:14">
      <c r="A2563" t="s">
        <v>29</v>
      </c>
      <c r="B2563">
        <v>1185732</v>
      </c>
      <c r="C2563" s="2">
        <v>44393</v>
      </c>
      <c r="D2563" t="s">
        <v>138</v>
      </c>
      <c r="E2563" t="s">
        <v>213</v>
      </c>
      <c r="F2563" t="s">
        <v>222</v>
      </c>
      <c r="G2563" t="s">
        <v>145</v>
      </c>
      <c r="H2563" s="3">
        <v>0.55000000000000004</v>
      </c>
      <c r="I2563">
        <v>6000</v>
      </c>
      <c r="J2563" s="4">
        <v>3300.0000000000005</v>
      </c>
      <c r="K2563" s="4">
        <v>1155</v>
      </c>
      <c r="L2563" s="5">
        <v>0.35</v>
      </c>
      <c r="M2563" t="s">
        <v>130</v>
      </c>
      <c r="N2563" t="s">
        <v>363</v>
      </c>
    </row>
    <row r="2564" spans="1:14">
      <c r="A2564" t="s">
        <v>29</v>
      </c>
      <c r="B2564">
        <v>1185732</v>
      </c>
      <c r="C2564" s="2">
        <v>44393</v>
      </c>
      <c r="D2564" t="s">
        <v>138</v>
      </c>
      <c r="E2564" t="s">
        <v>213</v>
      </c>
      <c r="F2564" t="s">
        <v>222</v>
      </c>
      <c r="G2564" t="s">
        <v>146</v>
      </c>
      <c r="H2564" s="3">
        <v>0.5</v>
      </c>
      <c r="I2564">
        <v>5250</v>
      </c>
      <c r="J2564" s="4">
        <v>2625</v>
      </c>
      <c r="K2564" s="4">
        <v>1050</v>
      </c>
      <c r="L2564" s="5">
        <v>0.4</v>
      </c>
      <c r="M2564" t="s">
        <v>130</v>
      </c>
      <c r="N2564" t="s">
        <v>363</v>
      </c>
    </row>
    <row r="2565" spans="1:14">
      <c r="A2565" t="s">
        <v>29</v>
      </c>
      <c r="B2565">
        <v>1185732</v>
      </c>
      <c r="C2565" s="2">
        <v>44393</v>
      </c>
      <c r="D2565" t="s">
        <v>138</v>
      </c>
      <c r="E2565" t="s">
        <v>213</v>
      </c>
      <c r="F2565" t="s">
        <v>222</v>
      </c>
      <c r="G2565" t="s">
        <v>148</v>
      </c>
      <c r="H2565" s="3">
        <v>0.5</v>
      </c>
      <c r="I2565">
        <v>4750</v>
      </c>
      <c r="J2565" s="4">
        <v>2375</v>
      </c>
      <c r="K2565" s="4">
        <v>950</v>
      </c>
      <c r="L2565" s="5">
        <v>0.4</v>
      </c>
      <c r="M2565" t="s">
        <v>130</v>
      </c>
      <c r="N2565" t="s">
        <v>363</v>
      </c>
    </row>
    <row r="2566" spans="1:14">
      <c r="A2566" t="s">
        <v>29</v>
      </c>
      <c r="B2566">
        <v>1185732</v>
      </c>
      <c r="C2566" s="2">
        <v>44393</v>
      </c>
      <c r="D2566" t="s">
        <v>138</v>
      </c>
      <c r="E2566" t="s">
        <v>213</v>
      </c>
      <c r="F2566" t="s">
        <v>222</v>
      </c>
      <c r="G2566" t="s">
        <v>147</v>
      </c>
      <c r="H2566" s="3">
        <v>0.6</v>
      </c>
      <c r="I2566">
        <v>5000</v>
      </c>
      <c r="J2566" s="4">
        <v>3000</v>
      </c>
      <c r="K2566" s="4">
        <v>1050</v>
      </c>
      <c r="L2566" s="5">
        <v>0.35</v>
      </c>
      <c r="M2566" t="s">
        <v>130</v>
      </c>
      <c r="N2566" t="s">
        <v>363</v>
      </c>
    </row>
    <row r="2567" spans="1:14">
      <c r="A2567" t="s">
        <v>29</v>
      </c>
      <c r="B2567">
        <v>1185732</v>
      </c>
      <c r="C2567" s="2">
        <v>44393</v>
      </c>
      <c r="D2567" t="s">
        <v>138</v>
      </c>
      <c r="E2567" t="s">
        <v>213</v>
      </c>
      <c r="F2567" t="s">
        <v>222</v>
      </c>
      <c r="G2567" t="s">
        <v>144</v>
      </c>
      <c r="H2567" s="3">
        <v>0.65</v>
      </c>
      <c r="I2567">
        <v>6750</v>
      </c>
      <c r="J2567" s="4">
        <v>4387.5</v>
      </c>
      <c r="K2567" s="4">
        <v>2193.75</v>
      </c>
      <c r="L2567" s="5">
        <v>0.5</v>
      </c>
      <c r="M2567" t="s">
        <v>130</v>
      </c>
      <c r="N2567" t="s">
        <v>363</v>
      </c>
    </row>
    <row r="2568" spans="1:14">
      <c r="A2568" t="s">
        <v>29</v>
      </c>
      <c r="B2568">
        <v>1185732</v>
      </c>
      <c r="C2568" s="2">
        <v>44425</v>
      </c>
      <c r="D2568" t="s">
        <v>138</v>
      </c>
      <c r="E2568" t="s">
        <v>213</v>
      </c>
      <c r="F2568" t="s">
        <v>222</v>
      </c>
      <c r="G2568" t="s">
        <v>27</v>
      </c>
      <c r="H2568" s="3">
        <v>0.6</v>
      </c>
      <c r="I2568">
        <v>8250</v>
      </c>
      <c r="J2568" s="4">
        <v>4950</v>
      </c>
      <c r="K2568" s="4">
        <v>1980</v>
      </c>
      <c r="L2568" s="5">
        <v>0.4</v>
      </c>
      <c r="M2568" t="s">
        <v>131</v>
      </c>
      <c r="N2568" t="s">
        <v>363</v>
      </c>
    </row>
    <row r="2569" spans="1:14">
      <c r="A2569" t="s">
        <v>29</v>
      </c>
      <c r="B2569">
        <v>1185732</v>
      </c>
      <c r="C2569" s="2">
        <v>44425</v>
      </c>
      <c r="D2569" t="s">
        <v>138</v>
      </c>
      <c r="E2569" t="s">
        <v>213</v>
      </c>
      <c r="F2569" t="s">
        <v>222</v>
      </c>
      <c r="G2569" t="s">
        <v>145</v>
      </c>
      <c r="H2569" s="3">
        <v>0.55000000000000004</v>
      </c>
      <c r="I2569">
        <v>6000</v>
      </c>
      <c r="J2569" s="4">
        <v>3300.0000000000005</v>
      </c>
      <c r="K2569" s="4">
        <v>1155</v>
      </c>
      <c r="L2569" s="5">
        <v>0.35</v>
      </c>
      <c r="M2569" t="s">
        <v>131</v>
      </c>
      <c r="N2569" t="s">
        <v>363</v>
      </c>
    </row>
    <row r="2570" spans="1:14">
      <c r="A2570" t="s">
        <v>29</v>
      </c>
      <c r="B2570">
        <v>1185732</v>
      </c>
      <c r="C2570" s="2">
        <v>44425</v>
      </c>
      <c r="D2570" t="s">
        <v>138</v>
      </c>
      <c r="E2570" t="s">
        <v>213</v>
      </c>
      <c r="F2570" t="s">
        <v>222</v>
      </c>
      <c r="G2570" t="s">
        <v>146</v>
      </c>
      <c r="H2570" s="3">
        <v>0.5</v>
      </c>
      <c r="I2570">
        <v>5250</v>
      </c>
      <c r="J2570" s="4">
        <v>2625</v>
      </c>
      <c r="K2570" s="4">
        <v>1050</v>
      </c>
      <c r="L2570" s="5">
        <v>0.4</v>
      </c>
      <c r="M2570" t="s">
        <v>131</v>
      </c>
      <c r="N2570" t="s">
        <v>363</v>
      </c>
    </row>
    <row r="2571" spans="1:14">
      <c r="A2571" t="s">
        <v>29</v>
      </c>
      <c r="B2571">
        <v>1185732</v>
      </c>
      <c r="C2571" s="2">
        <v>44425</v>
      </c>
      <c r="D2571" t="s">
        <v>138</v>
      </c>
      <c r="E2571" t="s">
        <v>213</v>
      </c>
      <c r="F2571" t="s">
        <v>222</v>
      </c>
      <c r="G2571" t="s">
        <v>148</v>
      </c>
      <c r="H2571" s="3">
        <v>0.4</v>
      </c>
      <c r="I2571">
        <v>4750</v>
      </c>
      <c r="J2571" s="4">
        <v>1900</v>
      </c>
      <c r="K2571" s="4">
        <v>760</v>
      </c>
      <c r="L2571" s="5">
        <v>0.4</v>
      </c>
      <c r="M2571" t="s">
        <v>131</v>
      </c>
      <c r="N2571" t="s">
        <v>363</v>
      </c>
    </row>
    <row r="2572" spans="1:14">
      <c r="A2572" t="s">
        <v>29</v>
      </c>
      <c r="B2572">
        <v>1185732</v>
      </c>
      <c r="C2572" s="2">
        <v>44425</v>
      </c>
      <c r="D2572" t="s">
        <v>138</v>
      </c>
      <c r="E2572" t="s">
        <v>213</v>
      </c>
      <c r="F2572" t="s">
        <v>222</v>
      </c>
      <c r="G2572" t="s">
        <v>147</v>
      </c>
      <c r="H2572" s="3">
        <v>0.5</v>
      </c>
      <c r="I2572">
        <v>4500</v>
      </c>
      <c r="J2572" s="4">
        <v>2250</v>
      </c>
      <c r="K2572" s="4">
        <v>787.5</v>
      </c>
      <c r="L2572" s="5">
        <v>0.35</v>
      </c>
      <c r="M2572" t="s">
        <v>131</v>
      </c>
      <c r="N2572" t="s">
        <v>363</v>
      </c>
    </row>
    <row r="2573" spans="1:14">
      <c r="A2573" t="s">
        <v>29</v>
      </c>
      <c r="B2573">
        <v>1185732</v>
      </c>
      <c r="C2573" s="2">
        <v>44425</v>
      </c>
      <c r="D2573" t="s">
        <v>138</v>
      </c>
      <c r="E2573" t="s">
        <v>213</v>
      </c>
      <c r="F2573" t="s">
        <v>222</v>
      </c>
      <c r="G2573" t="s">
        <v>144</v>
      </c>
      <c r="H2573" s="3">
        <v>0.55000000000000004</v>
      </c>
      <c r="I2573">
        <v>6250</v>
      </c>
      <c r="J2573" s="4">
        <v>3437.5000000000005</v>
      </c>
      <c r="K2573" s="4">
        <v>1718.7500000000002</v>
      </c>
      <c r="L2573" s="5">
        <v>0.5</v>
      </c>
      <c r="M2573" t="s">
        <v>131</v>
      </c>
      <c r="N2573" t="s">
        <v>363</v>
      </c>
    </row>
    <row r="2574" spans="1:14">
      <c r="A2574" t="s">
        <v>29</v>
      </c>
      <c r="B2574">
        <v>1185732</v>
      </c>
      <c r="C2574" s="2">
        <v>44455</v>
      </c>
      <c r="D2574" t="s">
        <v>138</v>
      </c>
      <c r="E2574" t="s">
        <v>213</v>
      </c>
      <c r="F2574" t="s">
        <v>222</v>
      </c>
      <c r="G2574" t="s">
        <v>27</v>
      </c>
      <c r="H2574" s="3">
        <v>0.5</v>
      </c>
      <c r="I2574">
        <v>7250</v>
      </c>
      <c r="J2574" s="4">
        <v>3625</v>
      </c>
      <c r="K2574" s="4">
        <v>1450</v>
      </c>
      <c r="L2574" s="5">
        <v>0.4</v>
      </c>
      <c r="M2574" t="s">
        <v>132</v>
      </c>
      <c r="N2574" t="s">
        <v>363</v>
      </c>
    </row>
    <row r="2575" spans="1:14">
      <c r="A2575" t="s">
        <v>29</v>
      </c>
      <c r="B2575">
        <v>1185732</v>
      </c>
      <c r="C2575" s="2">
        <v>44455</v>
      </c>
      <c r="D2575" t="s">
        <v>138</v>
      </c>
      <c r="E2575" t="s">
        <v>213</v>
      </c>
      <c r="F2575" t="s">
        <v>222</v>
      </c>
      <c r="G2575" t="s">
        <v>145</v>
      </c>
      <c r="H2575" s="3">
        <v>0.45000000000000012</v>
      </c>
      <c r="I2575">
        <v>5250</v>
      </c>
      <c r="J2575" s="4">
        <v>2362.5000000000005</v>
      </c>
      <c r="K2575" s="4">
        <v>826.87500000000011</v>
      </c>
      <c r="L2575" s="5">
        <v>0.35</v>
      </c>
      <c r="M2575" t="s">
        <v>132</v>
      </c>
      <c r="N2575" t="s">
        <v>363</v>
      </c>
    </row>
    <row r="2576" spans="1:14">
      <c r="A2576" t="s">
        <v>29</v>
      </c>
      <c r="B2576">
        <v>1185732</v>
      </c>
      <c r="C2576" s="2">
        <v>44455</v>
      </c>
      <c r="D2576" t="s">
        <v>138</v>
      </c>
      <c r="E2576" t="s">
        <v>213</v>
      </c>
      <c r="F2576" t="s">
        <v>222</v>
      </c>
      <c r="G2576" t="s">
        <v>146</v>
      </c>
      <c r="H2576" s="3">
        <v>0.20000000000000007</v>
      </c>
      <c r="I2576">
        <v>4250</v>
      </c>
      <c r="J2576" s="4">
        <v>850.00000000000023</v>
      </c>
      <c r="K2576" s="4">
        <v>340.00000000000011</v>
      </c>
      <c r="L2576" s="5">
        <v>0.4</v>
      </c>
      <c r="M2576" t="s">
        <v>132</v>
      </c>
      <c r="N2576" t="s">
        <v>363</v>
      </c>
    </row>
    <row r="2577" spans="1:14">
      <c r="A2577" t="s">
        <v>29</v>
      </c>
      <c r="B2577">
        <v>1185732</v>
      </c>
      <c r="C2577" s="2">
        <v>44455</v>
      </c>
      <c r="D2577" t="s">
        <v>138</v>
      </c>
      <c r="E2577" t="s">
        <v>213</v>
      </c>
      <c r="F2577" t="s">
        <v>222</v>
      </c>
      <c r="G2577" t="s">
        <v>148</v>
      </c>
      <c r="H2577" s="3">
        <v>0.20000000000000007</v>
      </c>
      <c r="I2577">
        <v>4000</v>
      </c>
      <c r="J2577" s="4">
        <v>800.00000000000023</v>
      </c>
      <c r="K2577" s="4">
        <v>320.00000000000011</v>
      </c>
      <c r="L2577" s="5">
        <v>0.4</v>
      </c>
      <c r="M2577" t="s">
        <v>132</v>
      </c>
      <c r="N2577" t="s">
        <v>363</v>
      </c>
    </row>
    <row r="2578" spans="1:14">
      <c r="A2578" t="s">
        <v>29</v>
      </c>
      <c r="B2578">
        <v>1185732</v>
      </c>
      <c r="C2578" s="2">
        <v>44455</v>
      </c>
      <c r="D2578" t="s">
        <v>138</v>
      </c>
      <c r="E2578" t="s">
        <v>213</v>
      </c>
      <c r="F2578" t="s">
        <v>222</v>
      </c>
      <c r="G2578" t="s">
        <v>147</v>
      </c>
      <c r="H2578" s="3">
        <v>0.30000000000000004</v>
      </c>
      <c r="I2578">
        <v>4000</v>
      </c>
      <c r="J2578" s="4">
        <v>1200.0000000000002</v>
      </c>
      <c r="K2578" s="4">
        <v>420.00000000000006</v>
      </c>
      <c r="L2578" s="5">
        <v>0.35</v>
      </c>
      <c r="M2578" t="s">
        <v>132</v>
      </c>
      <c r="N2578" t="s">
        <v>363</v>
      </c>
    </row>
    <row r="2579" spans="1:14">
      <c r="A2579" t="s">
        <v>29</v>
      </c>
      <c r="B2579">
        <v>1185732</v>
      </c>
      <c r="C2579" s="2">
        <v>44455</v>
      </c>
      <c r="D2579" t="s">
        <v>138</v>
      </c>
      <c r="E2579" t="s">
        <v>213</v>
      </c>
      <c r="F2579" t="s">
        <v>222</v>
      </c>
      <c r="G2579" t="s">
        <v>144</v>
      </c>
      <c r="H2579" s="3">
        <v>0.35000000000000009</v>
      </c>
      <c r="I2579">
        <v>5000</v>
      </c>
      <c r="J2579" s="4">
        <v>1750.0000000000005</v>
      </c>
      <c r="K2579" s="4">
        <v>875.00000000000023</v>
      </c>
      <c r="L2579" s="5">
        <v>0.5</v>
      </c>
      <c r="M2579" t="s">
        <v>132</v>
      </c>
      <c r="N2579" t="s">
        <v>363</v>
      </c>
    </row>
    <row r="2580" spans="1:14">
      <c r="A2580" t="s">
        <v>29</v>
      </c>
      <c r="B2580">
        <v>1185732</v>
      </c>
      <c r="C2580" s="2">
        <v>44487</v>
      </c>
      <c r="D2580" t="s">
        <v>138</v>
      </c>
      <c r="E2580" t="s">
        <v>213</v>
      </c>
      <c r="F2580" t="s">
        <v>222</v>
      </c>
      <c r="G2580" t="s">
        <v>27</v>
      </c>
      <c r="H2580" s="3">
        <v>0.35000000000000009</v>
      </c>
      <c r="I2580">
        <v>6750</v>
      </c>
      <c r="J2580" s="4">
        <v>2362.5000000000005</v>
      </c>
      <c r="K2580" s="4">
        <v>945.00000000000023</v>
      </c>
      <c r="L2580" s="5">
        <v>0.4</v>
      </c>
      <c r="M2580" t="s">
        <v>133</v>
      </c>
      <c r="N2580" t="s">
        <v>364</v>
      </c>
    </row>
    <row r="2581" spans="1:14">
      <c r="A2581" t="s">
        <v>29</v>
      </c>
      <c r="B2581">
        <v>1185732</v>
      </c>
      <c r="C2581" s="2">
        <v>44487</v>
      </c>
      <c r="D2581" t="s">
        <v>138</v>
      </c>
      <c r="E2581" t="s">
        <v>213</v>
      </c>
      <c r="F2581" t="s">
        <v>222</v>
      </c>
      <c r="G2581" t="s">
        <v>145</v>
      </c>
      <c r="H2581" s="3">
        <v>0.25000000000000011</v>
      </c>
      <c r="I2581">
        <v>5000</v>
      </c>
      <c r="J2581" s="4">
        <v>1250.0000000000005</v>
      </c>
      <c r="K2581" s="4">
        <v>437.50000000000011</v>
      </c>
      <c r="L2581" s="5">
        <v>0.35</v>
      </c>
      <c r="M2581" t="s">
        <v>133</v>
      </c>
      <c r="N2581" t="s">
        <v>364</v>
      </c>
    </row>
    <row r="2582" spans="1:14">
      <c r="A2582" t="s">
        <v>29</v>
      </c>
      <c r="B2582">
        <v>1185732</v>
      </c>
      <c r="C2582" s="2">
        <v>44487</v>
      </c>
      <c r="D2582" t="s">
        <v>138</v>
      </c>
      <c r="E2582" t="s">
        <v>213</v>
      </c>
      <c r="F2582" t="s">
        <v>222</v>
      </c>
      <c r="G2582" t="s">
        <v>146</v>
      </c>
      <c r="H2582" s="3">
        <v>0.25000000000000011</v>
      </c>
      <c r="I2582">
        <v>3750</v>
      </c>
      <c r="J2582" s="4">
        <v>937.50000000000045</v>
      </c>
      <c r="K2582" s="4">
        <v>375.00000000000023</v>
      </c>
      <c r="L2582" s="5">
        <v>0.4</v>
      </c>
      <c r="M2582" t="s">
        <v>133</v>
      </c>
      <c r="N2582" t="s">
        <v>364</v>
      </c>
    </row>
    <row r="2583" spans="1:14">
      <c r="A2583" t="s">
        <v>29</v>
      </c>
      <c r="B2583">
        <v>1185732</v>
      </c>
      <c r="C2583" s="2">
        <v>44487</v>
      </c>
      <c r="D2583" t="s">
        <v>138</v>
      </c>
      <c r="E2583" t="s">
        <v>213</v>
      </c>
      <c r="F2583" t="s">
        <v>222</v>
      </c>
      <c r="G2583" t="s">
        <v>148</v>
      </c>
      <c r="H2583" s="3">
        <v>0.25000000000000011</v>
      </c>
      <c r="I2583">
        <v>3500</v>
      </c>
      <c r="J2583" s="4">
        <v>875.00000000000034</v>
      </c>
      <c r="K2583" s="4">
        <v>350.00000000000017</v>
      </c>
      <c r="L2583" s="5">
        <v>0.4</v>
      </c>
      <c r="M2583" t="s">
        <v>133</v>
      </c>
      <c r="N2583" t="s">
        <v>364</v>
      </c>
    </row>
    <row r="2584" spans="1:14">
      <c r="A2584" t="s">
        <v>29</v>
      </c>
      <c r="B2584">
        <v>1185732</v>
      </c>
      <c r="C2584" s="2">
        <v>44487</v>
      </c>
      <c r="D2584" t="s">
        <v>138</v>
      </c>
      <c r="E2584" t="s">
        <v>213</v>
      </c>
      <c r="F2584" t="s">
        <v>222</v>
      </c>
      <c r="G2584" t="s">
        <v>147</v>
      </c>
      <c r="H2584" s="3">
        <v>0.35000000000000009</v>
      </c>
      <c r="I2584">
        <v>3500</v>
      </c>
      <c r="J2584" s="4">
        <v>1225.0000000000002</v>
      </c>
      <c r="K2584" s="4">
        <v>428.75000000000006</v>
      </c>
      <c r="L2584" s="5">
        <v>0.35</v>
      </c>
      <c r="M2584" t="s">
        <v>133</v>
      </c>
      <c r="N2584" t="s">
        <v>364</v>
      </c>
    </row>
    <row r="2585" spans="1:14">
      <c r="A2585" t="s">
        <v>29</v>
      </c>
      <c r="B2585">
        <v>1185732</v>
      </c>
      <c r="C2585" s="2">
        <v>44487</v>
      </c>
      <c r="D2585" t="s">
        <v>138</v>
      </c>
      <c r="E2585" t="s">
        <v>213</v>
      </c>
      <c r="F2585" t="s">
        <v>222</v>
      </c>
      <c r="G2585" t="s">
        <v>144</v>
      </c>
      <c r="H2585" s="3">
        <v>0.35000000000000003</v>
      </c>
      <c r="I2585">
        <v>4750</v>
      </c>
      <c r="J2585" s="4">
        <v>1662.5000000000002</v>
      </c>
      <c r="K2585" s="4">
        <v>831.25000000000011</v>
      </c>
      <c r="L2585" s="5">
        <v>0.5</v>
      </c>
      <c r="M2585" t="s">
        <v>133</v>
      </c>
      <c r="N2585" t="s">
        <v>364</v>
      </c>
    </row>
    <row r="2586" spans="1:14">
      <c r="A2586" t="s">
        <v>29</v>
      </c>
      <c r="B2586">
        <v>1185732</v>
      </c>
      <c r="C2586" s="2">
        <v>44517</v>
      </c>
      <c r="D2586" t="s">
        <v>138</v>
      </c>
      <c r="E2586" t="s">
        <v>213</v>
      </c>
      <c r="F2586" t="s">
        <v>222</v>
      </c>
      <c r="G2586" t="s">
        <v>27</v>
      </c>
      <c r="H2586" s="3">
        <v>0.3000000000000001</v>
      </c>
      <c r="I2586">
        <v>6250</v>
      </c>
      <c r="J2586" s="4">
        <v>1875.0000000000007</v>
      </c>
      <c r="K2586" s="4">
        <v>750.00000000000034</v>
      </c>
      <c r="L2586" s="5">
        <v>0.4</v>
      </c>
      <c r="M2586" t="s">
        <v>134</v>
      </c>
      <c r="N2586" t="s">
        <v>364</v>
      </c>
    </row>
    <row r="2587" spans="1:14">
      <c r="A2587" t="s">
        <v>29</v>
      </c>
      <c r="B2587">
        <v>1185732</v>
      </c>
      <c r="C2587" s="2">
        <v>44517</v>
      </c>
      <c r="D2587" t="s">
        <v>138</v>
      </c>
      <c r="E2587" t="s">
        <v>213</v>
      </c>
      <c r="F2587" t="s">
        <v>222</v>
      </c>
      <c r="G2587" t="s">
        <v>145</v>
      </c>
      <c r="H2587" s="3">
        <v>0.20000000000000012</v>
      </c>
      <c r="I2587">
        <v>4500</v>
      </c>
      <c r="J2587" s="4">
        <v>900.00000000000057</v>
      </c>
      <c r="K2587" s="4">
        <v>315.00000000000017</v>
      </c>
      <c r="L2587" s="5">
        <v>0.35</v>
      </c>
      <c r="M2587" t="s">
        <v>134</v>
      </c>
      <c r="N2587" t="s">
        <v>364</v>
      </c>
    </row>
    <row r="2588" spans="1:14">
      <c r="A2588" t="s">
        <v>29</v>
      </c>
      <c r="B2588">
        <v>1185732</v>
      </c>
      <c r="C2588" s="2">
        <v>44517</v>
      </c>
      <c r="D2588" t="s">
        <v>138</v>
      </c>
      <c r="E2588" t="s">
        <v>213</v>
      </c>
      <c r="F2588" t="s">
        <v>222</v>
      </c>
      <c r="G2588" t="s">
        <v>146</v>
      </c>
      <c r="H2588" s="3">
        <v>0.30000000000000016</v>
      </c>
      <c r="I2588">
        <v>3950</v>
      </c>
      <c r="J2588" s="4">
        <v>1185.0000000000007</v>
      </c>
      <c r="K2588" s="4">
        <v>474.00000000000028</v>
      </c>
      <c r="L2588" s="5">
        <v>0.4</v>
      </c>
      <c r="M2588" t="s">
        <v>134</v>
      </c>
      <c r="N2588" t="s">
        <v>364</v>
      </c>
    </row>
    <row r="2589" spans="1:14">
      <c r="A2589" t="s">
        <v>29</v>
      </c>
      <c r="B2589">
        <v>1185732</v>
      </c>
      <c r="C2589" s="2">
        <v>44517</v>
      </c>
      <c r="D2589" t="s">
        <v>138</v>
      </c>
      <c r="E2589" t="s">
        <v>213</v>
      </c>
      <c r="F2589" t="s">
        <v>222</v>
      </c>
      <c r="G2589" t="s">
        <v>148</v>
      </c>
      <c r="H2589" s="3">
        <v>0.6000000000000002</v>
      </c>
      <c r="I2589">
        <v>4500</v>
      </c>
      <c r="J2589" s="4">
        <v>2700.0000000000009</v>
      </c>
      <c r="K2589" s="4">
        <v>1080.0000000000005</v>
      </c>
      <c r="L2589" s="5">
        <v>0.4</v>
      </c>
      <c r="M2589" t="s">
        <v>134</v>
      </c>
      <c r="N2589" t="s">
        <v>364</v>
      </c>
    </row>
    <row r="2590" spans="1:14">
      <c r="A2590" t="s">
        <v>29</v>
      </c>
      <c r="B2590">
        <v>1185732</v>
      </c>
      <c r="C2590" s="2">
        <v>44517</v>
      </c>
      <c r="D2590" t="s">
        <v>138</v>
      </c>
      <c r="E2590" t="s">
        <v>213</v>
      </c>
      <c r="F2590" t="s">
        <v>222</v>
      </c>
      <c r="G2590" t="s">
        <v>147</v>
      </c>
      <c r="H2590" s="3">
        <v>0.75000000000000011</v>
      </c>
      <c r="I2590">
        <v>4250</v>
      </c>
      <c r="J2590" s="4">
        <v>3187.5000000000005</v>
      </c>
      <c r="K2590" s="4">
        <v>1115.625</v>
      </c>
      <c r="L2590" s="5">
        <v>0.35</v>
      </c>
      <c r="M2590" t="s">
        <v>134</v>
      </c>
      <c r="N2590" t="s">
        <v>364</v>
      </c>
    </row>
    <row r="2591" spans="1:14">
      <c r="A2591" t="s">
        <v>29</v>
      </c>
      <c r="B2591">
        <v>1185732</v>
      </c>
      <c r="C2591" s="2">
        <v>44517</v>
      </c>
      <c r="D2591" t="s">
        <v>138</v>
      </c>
      <c r="E2591" t="s">
        <v>213</v>
      </c>
      <c r="F2591" t="s">
        <v>222</v>
      </c>
      <c r="G2591" t="s">
        <v>144</v>
      </c>
      <c r="H2591" s="3">
        <v>0.75</v>
      </c>
      <c r="I2591">
        <v>5250</v>
      </c>
      <c r="J2591" s="4">
        <v>3937.5</v>
      </c>
      <c r="K2591" s="4">
        <v>1968.75</v>
      </c>
      <c r="L2591" s="5">
        <v>0.5</v>
      </c>
      <c r="M2591" t="s">
        <v>134</v>
      </c>
      <c r="N2591" t="s">
        <v>364</v>
      </c>
    </row>
    <row r="2592" spans="1:14">
      <c r="A2592" t="s">
        <v>29</v>
      </c>
      <c r="B2592">
        <v>1185732</v>
      </c>
      <c r="C2592" s="2">
        <v>44546</v>
      </c>
      <c r="D2592" t="s">
        <v>138</v>
      </c>
      <c r="E2592" t="s">
        <v>213</v>
      </c>
      <c r="F2592" t="s">
        <v>222</v>
      </c>
      <c r="G2592" t="s">
        <v>27</v>
      </c>
      <c r="H2592" s="3">
        <v>0.70000000000000007</v>
      </c>
      <c r="I2592">
        <v>7750</v>
      </c>
      <c r="J2592" s="4">
        <v>5425.0000000000009</v>
      </c>
      <c r="K2592" s="4">
        <v>2170.0000000000005</v>
      </c>
      <c r="L2592" s="5">
        <v>0.4</v>
      </c>
      <c r="M2592" t="s">
        <v>23</v>
      </c>
      <c r="N2592" t="s">
        <v>364</v>
      </c>
    </row>
    <row r="2593" spans="1:14">
      <c r="A2593" t="s">
        <v>29</v>
      </c>
      <c r="B2593">
        <v>1185732</v>
      </c>
      <c r="C2593" s="2">
        <v>44546</v>
      </c>
      <c r="D2593" t="s">
        <v>138</v>
      </c>
      <c r="E2593" t="s">
        <v>213</v>
      </c>
      <c r="F2593" t="s">
        <v>222</v>
      </c>
      <c r="G2593" t="s">
        <v>145</v>
      </c>
      <c r="H2593" s="3">
        <v>0.60000000000000009</v>
      </c>
      <c r="I2593">
        <v>5750</v>
      </c>
      <c r="J2593" s="4">
        <v>3450.0000000000005</v>
      </c>
      <c r="K2593" s="4">
        <v>1207.5</v>
      </c>
      <c r="L2593" s="5">
        <v>0.35</v>
      </c>
      <c r="M2593" t="s">
        <v>23</v>
      </c>
      <c r="N2593" t="s">
        <v>364</v>
      </c>
    </row>
    <row r="2594" spans="1:14">
      <c r="A2594" t="s">
        <v>29</v>
      </c>
      <c r="B2594">
        <v>1185732</v>
      </c>
      <c r="C2594" s="2">
        <v>44546</v>
      </c>
      <c r="D2594" t="s">
        <v>138</v>
      </c>
      <c r="E2594" t="s">
        <v>213</v>
      </c>
      <c r="F2594" t="s">
        <v>222</v>
      </c>
      <c r="G2594" t="s">
        <v>146</v>
      </c>
      <c r="H2594" s="3">
        <v>0.60000000000000009</v>
      </c>
      <c r="I2594">
        <v>5250</v>
      </c>
      <c r="J2594" s="4">
        <v>3150.0000000000005</v>
      </c>
      <c r="K2594" s="4">
        <v>1260.0000000000002</v>
      </c>
      <c r="L2594" s="5">
        <v>0.4</v>
      </c>
      <c r="M2594" t="s">
        <v>23</v>
      </c>
      <c r="N2594" t="s">
        <v>364</v>
      </c>
    </row>
    <row r="2595" spans="1:14">
      <c r="A2595" t="s">
        <v>29</v>
      </c>
      <c r="B2595">
        <v>1185732</v>
      </c>
      <c r="C2595" s="2">
        <v>44546</v>
      </c>
      <c r="D2595" t="s">
        <v>138</v>
      </c>
      <c r="E2595" t="s">
        <v>213</v>
      </c>
      <c r="F2595" t="s">
        <v>222</v>
      </c>
      <c r="G2595" t="s">
        <v>148</v>
      </c>
      <c r="H2595" s="3">
        <v>0.60000000000000009</v>
      </c>
      <c r="I2595">
        <v>4750</v>
      </c>
      <c r="J2595" s="4">
        <v>2850.0000000000005</v>
      </c>
      <c r="K2595" s="4">
        <v>1140.0000000000002</v>
      </c>
      <c r="L2595" s="5">
        <v>0.4</v>
      </c>
      <c r="M2595" t="s">
        <v>23</v>
      </c>
      <c r="N2595" t="s">
        <v>364</v>
      </c>
    </row>
    <row r="2596" spans="1:14">
      <c r="A2596" t="s">
        <v>29</v>
      </c>
      <c r="B2596">
        <v>1185732</v>
      </c>
      <c r="C2596" s="2">
        <v>44546</v>
      </c>
      <c r="D2596" t="s">
        <v>138</v>
      </c>
      <c r="E2596" t="s">
        <v>213</v>
      </c>
      <c r="F2596" t="s">
        <v>222</v>
      </c>
      <c r="G2596" t="s">
        <v>147</v>
      </c>
      <c r="H2596" s="3">
        <v>0.70000000000000007</v>
      </c>
      <c r="I2596">
        <v>4750</v>
      </c>
      <c r="J2596" s="4">
        <v>3325.0000000000005</v>
      </c>
      <c r="K2596" s="4">
        <v>1163.75</v>
      </c>
      <c r="L2596" s="5">
        <v>0.35</v>
      </c>
      <c r="M2596" t="s">
        <v>23</v>
      </c>
      <c r="N2596" t="s">
        <v>364</v>
      </c>
    </row>
    <row r="2597" spans="1:14">
      <c r="A2597" t="s">
        <v>29</v>
      </c>
      <c r="B2597">
        <v>1185732</v>
      </c>
      <c r="C2597" s="2">
        <v>44546</v>
      </c>
      <c r="D2597" t="s">
        <v>138</v>
      </c>
      <c r="E2597" t="s">
        <v>213</v>
      </c>
      <c r="F2597" t="s">
        <v>222</v>
      </c>
      <c r="G2597" t="s">
        <v>144</v>
      </c>
      <c r="H2597" s="3">
        <v>0.75</v>
      </c>
      <c r="I2597">
        <v>5750</v>
      </c>
      <c r="J2597" s="4">
        <v>4312.5</v>
      </c>
      <c r="K2597" s="4">
        <v>2156.25</v>
      </c>
      <c r="L2597" s="5">
        <v>0.5</v>
      </c>
      <c r="M2597" t="s">
        <v>23</v>
      </c>
      <c r="N2597" t="s">
        <v>364</v>
      </c>
    </row>
    <row r="2598" spans="1:14">
      <c r="A2598" t="s">
        <v>152</v>
      </c>
      <c r="B2598">
        <v>1197831</v>
      </c>
      <c r="C2598" s="2">
        <v>44219</v>
      </c>
      <c r="D2598" t="s">
        <v>139</v>
      </c>
      <c r="E2598" t="s">
        <v>223</v>
      </c>
      <c r="F2598" t="s">
        <v>232</v>
      </c>
      <c r="G2598" t="s">
        <v>27</v>
      </c>
      <c r="H2598" s="3">
        <v>0.25000000000000006</v>
      </c>
      <c r="I2598">
        <v>6500</v>
      </c>
      <c r="J2598" s="4">
        <v>1625.0000000000005</v>
      </c>
      <c r="K2598" s="4">
        <v>650.00000000000023</v>
      </c>
      <c r="L2598" s="5">
        <v>0.4</v>
      </c>
      <c r="M2598" t="s">
        <v>125</v>
      </c>
      <c r="N2598" t="s">
        <v>361</v>
      </c>
    </row>
    <row r="2599" spans="1:14">
      <c r="A2599" t="s">
        <v>152</v>
      </c>
      <c r="B2599">
        <v>1197831</v>
      </c>
      <c r="C2599" s="2">
        <v>44219</v>
      </c>
      <c r="D2599" t="s">
        <v>139</v>
      </c>
      <c r="E2599" t="s">
        <v>223</v>
      </c>
      <c r="F2599" t="s">
        <v>232</v>
      </c>
      <c r="G2599" t="s">
        <v>145</v>
      </c>
      <c r="H2599" s="3">
        <v>0.25000000000000006</v>
      </c>
      <c r="I2599">
        <v>4500</v>
      </c>
      <c r="J2599" s="4">
        <v>1125.0000000000002</v>
      </c>
      <c r="K2599" s="4">
        <v>393.75000000000006</v>
      </c>
      <c r="L2599" s="5">
        <v>0.35</v>
      </c>
      <c r="M2599" t="s">
        <v>125</v>
      </c>
      <c r="N2599" t="s">
        <v>361</v>
      </c>
    </row>
    <row r="2600" spans="1:14">
      <c r="A2600" t="s">
        <v>152</v>
      </c>
      <c r="B2600">
        <v>1197831</v>
      </c>
      <c r="C2600" s="2">
        <v>44219</v>
      </c>
      <c r="D2600" t="s">
        <v>139</v>
      </c>
      <c r="E2600" t="s">
        <v>223</v>
      </c>
      <c r="F2600" t="s">
        <v>232</v>
      </c>
      <c r="G2600" t="s">
        <v>146</v>
      </c>
      <c r="H2600" s="3">
        <v>0.15000000000000008</v>
      </c>
      <c r="I2600">
        <v>4500</v>
      </c>
      <c r="J2600" s="4">
        <v>675.00000000000034</v>
      </c>
      <c r="K2600" s="4">
        <v>270.00000000000017</v>
      </c>
      <c r="L2600" s="5">
        <v>0.4</v>
      </c>
      <c r="M2600" t="s">
        <v>125</v>
      </c>
      <c r="N2600" t="s">
        <v>361</v>
      </c>
    </row>
    <row r="2601" spans="1:14">
      <c r="A2601" t="s">
        <v>152</v>
      </c>
      <c r="B2601">
        <v>1197831</v>
      </c>
      <c r="C2601" s="2">
        <v>44219</v>
      </c>
      <c r="D2601" t="s">
        <v>139</v>
      </c>
      <c r="E2601" t="s">
        <v>223</v>
      </c>
      <c r="F2601" t="s">
        <v>232</v>
      </c>
      <c r="G2601" t="s">
        <v>148</v>
      </c>
      <c r="H2601" s="3">
        <v>0.2</v>
      </c>
      <c r="I2601">
        <v>3000</v>
      </c>
      <c r="J2601" s="4">
        <v>600</v>
      </c>
      <c r="K2601" s="4">
        <v>240</v>
      </c>
      <c r="L2601" s="5">
        <v>0.4</v>
      </c>
      <c r="M2601" t="s">
        <v>125</v>
      </c>
      <c r="N2601" t="s">
        <v>361</v>
      </c>
    </row>
    <row r="2602" spans="1:14">
      <c r="A2602" t="s">
        <v>152</v>
      </c>
      <c r="B2602">
        <v>1197831</v>
      </c>
      <c r="C2602" s="2">
        <v>44219</v>
      </c>
      <c r="D2602" t="s">
        <v>139</v>
      </c>
      <c r="E2602" t="s">
        <v>223</v>
      </c>
      <c r="F2602" t="s">
        <v>232</v>
      </c>
      <c r="G2602" t="s">
        <v>147</v>
      </c>
      <c r="H2602" s="3">
        <v>0.35000000000000003</v>
      </c>
      <c r="I2602">
        <v>3500</v>
      </c>
      <c r="J2602" s="4">
        <v>1225.0000000000002</v>
      </c>
      <c r="K2602" s="4">
        <v>428.75000000000006</v>
      </c>
      <c r="L2602" s="5">
        <v>0.35</v>
      </c>
      <c r="M2602" t="s">
        <v>125</v>
      </c>
      <c r="N2602" t="s">
        <v>361</v>
      </c>
    </row>
    <row r="2603" spans="1:14">
      <c r="A2603" t="s">
        <v>152</v>
      </c>
      <c r="B2603">
        <v>1197831</v>
      </c>
      <c r="C2603" s="2">
        <v>44219</v>
      </c>
      <c r="D2603" t="s">
        <v>139</v>
      </c>
      <c r="E2603" t="s">
        <v>223</v>
      </c>
      <c r="F2603" t="s">
        <v>232</v>
      </c>
      <c r="G2603" t="s">
        <v>144</v>
      </c>
      <c r="H2603" s="3">
        <v>0.25000000000000006</v>
      </c>
      <c r="I2603">
        <v>4500</v>
      </c>
      <c r="J2603" s="4">
        <v>1125.0000000000002</v>
      </c>
      <c r="K2603" s="4">
        <v>450.00000000000011</v>
      </c>
      <c r="L2603" s="5">
        <v>0.4</v>
      </c>
      <c r="M2603" t="s">
        <v>125</v>
      </c>
      <c r="N2603" t="s">
        <v>361</v>
      </c>
    </row>
    <row r="2604" spans="1:14">
      <c r="A2604" t="s">
        <v>152</v>
      </c>
      <c r="B2604">
        <v>1197831</v>
      </c>
      <c r="C2604" s="2">
        <v>44248</v>
      </c>
      <c r="D2604" t="s">
        <v>139</v>
      </c>
      <c r="E2604" t="s">
        <v>223</v>
      </c>
      <c r="F2604" t="s">
        <v>232</v>
      </c>
      <c r="G2604" t="s">
        <v>27</v>
      </c>
      <c r="H2604" s="3">
        <v>0.25000000000000006</v>
      </c>
      <c r="I2604">
        <v>7000</v>
      </c>
      <c r="J2604" s="4">
        <v>1750.0000000000005</v>
      </c>
      <c r="K2604" s="4">
        <v>700.00000000000023</v>
      </c>
      <c r="L2604" s="5">
        <v>0.4</v>
      </c>
      <c r="M2604" t="s">
        <v>126</v>
      </c>
      <c r="N2604" t="s">
        <v>361</v>
      </c>
    </row>
    <row r="2605" spans="1:14">
      <c r="A2605" t="s">
        <v>152</v>
      </c>
      <c r="B2605">
        <v>1197831</v>
      </c>
      <c r="C2605" s="2">
        <v>44248</v>
      </c>
      <c r="D2605" t="s">
        <v>139</v>
      </c>
      <c r="E2605" t="s">
        <v>223</v>
      </c>
      <c r="F2605" t="s">
        <v>232</v>
      </c>
      <c r="G2605" t="s">
        <v>145</v>
      </c>
      <c r="H2605" s="3">
        <v>0.25000000000000006</v>
      </c>
      <c r="I2605">
        <v>3500</v>
      </c>
      <c r="J2605" s="4">
        <v>875.00000000000023</v>
      </c>
      <c r="K2605" s="4">
        <v>306.25000000000006</v>
      </c>
      <c r="L2605" s="5">
        <v>0.35</v>
      </c>
      <c r="M2605" t="s">
        <v>126</v>
      </c>
      <c r="N2605" t="s">
        <v>361</v>
      </c>
    </row>
    <row r="2606" spans="1:14">
      <c r="A2606" t="s">
        <v>152</v>
      </c>
      <c r="B2606">
        <v>1197831</v>
      </c>
      <c r="C2606" s="2">
        <v>44248</v>
      </c>
      <c r="D2606" t="s">
        <v>139</v>
      </c>
      <c r="E2606" t="s">
        <v>223</v>
      </c>
      <c r="F2606" t="s">
        <v>232</v>
      </c>
      <c r="G2606" t="s">
        <v>146</v>
      </c>
      <c r="H2606" s="3">
        <v>0.15000000000000008</v>
      </c>
      <c r="I2606">
        <v>4000</v>
      </c>
      <c r="J2606" s="4">
        <v>600.00000000000034</v>
      </c>
      <c r="K2606" s="4">
        <v>240.00000000000014</v>
      </c>
      <c r="L2606" s="5">
        <v>0.4</v>
      </c>
      <c r="M2606" t="s">
        <v>126</v>
      </c>
      <c r="N2606" t="s">
        <v>361</v>
      </c>
    </row>
    <row r="2607" spans="1:14">
      <c r="A2607" t="s">
        <v>152</v>
      </c>
      <c r="B2607">
        <v>1197831</v>
      </c>
      <c r="C2607" s="2">
        <v>44248</v>
      </c>
      <c r="D2607" t="s">
        <v>139</v>
      </c>
      <c r="E2607" t="s">
        <v>223</v>
      </c>
      <c r="F2607" t="s">
        <v>232</v>
      </c>
      <c r="G2607" t="s">
        <v>148</v>
      </c>
      <c r="H2607" s="3">
        <v>0.2</v>
      </c>
      <c r="I2607">
        <v>2500</v>
      </c>
      <c r="J2607" s="4">
        <v>500</v>
      </c>
      <c r="K2607" s="4">
        <v>200</v>
      </c>
      <c r="L2607" s="5">
        <v>0.4</v>
      </c>
      <c r="M2607" t="s">
        <v>126</v>
      </c>
      <c r="N2607" t="s">
        <v>361</v>
      </c>
    </row>
    <row r="2608" spans="1:14">
      <c r="A2608" t="s">
        <v>152</v>
      </c>
      <c r="B2608">
        <v>1197831</v>
      </c>
      <c r="C2608" s="2">
        <v>44248</v>
      </c>
      <c r="D2608" t="s">
        <v>139</v>
      </c>
      <c r="E2608" t="s">
        <v>223</v>
      </c>
      <c r="F2608" t="s">
        <v>232</v>
      </c>
      <c r="G2608" t="s">
        <v>147</v>
      </c>
      <c r="H2608" s="3">
        <v>0.35000000000000003</v>
      </c>
      <c r="I2608">
        <v>3250</v>
      </c>
      <c r="J2608" s="4">
        <v>1137.5</v>
      </c>
      <c r="K2608" s="4">
        <v>398.125</v>
      </c>
      <c r="L2608" s="5">
        <v>0.35</v>
      </c>
      <c r="M2608" t="s">
        <v>126</v>
      </c>
      <c r="N2608" t="s">
        <v>361</v>
      </c>
    </row>
    <row r="2609" spans="1:14">
      <c r="A2609" t="s">
        <v>152</v>
      </c>
      <c r="B2609">
        <v>1197831</v>
      </c>
      <c r="C2609" s="2">
        <v>44248</v>
      </c>
      <c r="D2609" t="s">
        <v>139</v>
      </c>
      <c r="E2609" t="s">
        <v>223</v>
      </c>
      <c r="F2609" t="s">
        <v>232</v>
      </c>
      <c r="G2609" t="s">
        <v>144</v>
      </c>
      <c r="H2609" s="3">
        <v>0.2</v>
      </c>
      <c r="I2609">
        <v>4250</v>
      </c>
      <c r="J2609" s="4">
        <v>850</v>
      </c>
      <c r="K2609" s="4">
        <v>340</v>
      </c>
      <c r="L2609" s="5">
        <v>0.4</v>
      </c>
      <c r="M2609" t="s">
        <v>126</v>
      </c>
      <c r="N2609" t="s">
        <v>361</v>
      </c>
    </row>
    <row r="2610" spans="1:14">
      <c r="A2610" t="s">
        <v>152</v>
      </c>
      <c r="B2610">
        <v>1197831</v>
      </c>
      <c r="C2610" s="2">
        <v>44274</v>
      </c>
      <c r="D2610" t="s">
        <v>139</v>
      </c>
      <c r="E2610" t="s">
        <v>223</v>
      </c>
      <c r="F2610" t="s">
        <v>232</v>
      </c>
      <c r="G2610" t="s">
        <v>27</v>
      </c>
      <c r="H2610" s="3">
        <v>0.2</v>
      </c>
      <c r="I2610">
        <v>6450</v>
      </c>
      <c r="J2610" s="4">
        <v>1290</v>
      </c>
      <c r="K2610" s="4">
        <v>516</v>
      </c>
      <c r="L2610" s="5">
        <v>0.4</v>
      </c>
      <c r="M2610" t="s">
        <v>24</v>
      </c>
      <c r="N2610" t="s">
        <v>361</v>
      </c>
    </row>
    <row r="2611" spans="1:14">
      <c r="A2611" t="s">
        <v>152</v>
      </c>
      <c r="B2611">
        <v>1197831</v>
      </c>
      <c r="C2611" s="2">
        <v>44274</v>
      </c>
      <c r="D2611" t="s">
        <v>139</v>
      </c>
      <c r="E2611" t="s">
        <v>223</v>
      </c>
      <c r="F2611" t="s">
        <v>232</v>
      </c>
      <c r="G2611" t="s">
        <v>145</v>
      </c>
      <c r="H2611" s="3">
        <v>0.2</v>
      </c>
      <c r="I2611">
        <v>3250</v>
      </c>
      <c r="J2611" s="4">
        <v>650</v>
      </c>
      <c r="K2611" s="4">
        <v>227.49999999999997</v>
      </c>
      <c r="L2611" s="5">
        <v>0.35</v>
      </c>
      <c r="M2611" t="s">
        <v>24</v>
      </c>
      <c r="N2611" t="s">
        <v>361</v>
      </c>
    </row>
    <row r="2612" spans="1:14">
      <c r="A2612" t="s">
        <v>152</v>
      </c>
      <c r="B2612">
        <v>1197831</v>
      </c>
      <c r="C2612" s="2">
        <v>44274</v>
      </c>
      <c r="D2612" t="s">
        <v>139</v>
      </c>
      <c r="E2612" t="s">
        <v>223</v>
      </c>
      <c r="F2612" t="s">
        <v>232</v>
      </c>
      <c r="G2612" t="s">
        <v>146</v>
      </c>
      <c r="H2612" s="3">
        <v>0.10000000000000002</v>
      </c>
      <c r="I2612">
        <v>3500</v>
      </c>
      <c r="J2612" s="4">
        <v>350.00000000000006</v>
      </c>
      <c r="K2612" s="4">
        <v>140.00000000000003</v>
      </c>
      <c r="L2612" s="5">
        <v>0.4</v>
      </c>
      <c r="M2612" t="s">
        <v>24</v>
      </c>
      <c r="N2612" t="s">
        <v>361</v>
      </c>
    </row>
    <row r="2613" spans="1:14">
      <c r="A2613" t="s">
        <v>152</v>
      </c>
      <c r="B2613">
        <v>1197831</v>
      </c>
      <c r="C2613" s="2">
        <v>44274</v>
      </c>
      <c r="D2613" t="s">
        <v>139</v>
      </c>
      <c r="E2613" t="s">
        <v>223</v>
      </c>
      <c r="F2613" t="s">
        <v>232</v>
      </c>
      <c r="G2613" t="s">
        <v>148</v>
      </c>
      <c r="H2613" s="3">
        <v>0.19999999999999996</v>
      </c>
      <c r="I2613">
        <v>2000</v>
      </c>
      <c r="J2613" s="4">
        <v>399.99999999999989</v>
      </c>
      <c r="K2613" s="4">
        <v>159.99999999999997</v>
      </c>
      <c r="L2613" s="5">
        <v>0.4</v>
      </c>
      <c r="M2613" t="s">
        <v>24</v>
      </c>
      <c r="N2613" t="s">
        <v>361</v>
      </c>
    </row>
    <row r="2614" spans="1:14">
      <c r="A2614" t="s">
        <v>152</v>
      </c>
      <c r="B2614">
        <v>1197831</v>
      </c>
      <c r="C2614" s="2">
        <v>44274</v>
      </c>
      <c r="D2614" t="s">
        <v>139</v>
      </c>
      <c r="E2614" t="s">
        <v>223</v>
      </c>
      <c r="F2614" t="s">
        <v>232</v>
      </c>
      <c r="G2614" t="s">
        <v>147</v>
      </c>
      <c r="H2614" s="3">
        <v>0.35000000000000009</v>
      </c>
      <c r="I2614">
        <v>2500</v>
      </c>
      <c r="J2614" s="4">
        <v>875.00000000000023</v>
      </c>
      <c r="K2614" s="4">
        <v>306.25000000000006</v>
      </c>
      <c r="L2614" s="5">
        <v>0.35</v>
      </c>
      <c r="M2614" t="s">
        <v>24</v>
      </c>
      <c r="N2614" t="s">
        <v>361</v>
      </c>
    </row>
    <row r="2615" spans="1:14">
      <c r="A2615" t="s">
        <v>152</v>
      </c>
      <c r="B2615">
        <v>1197831</v>
      </c>
      <c r="C2615" s="2">
        <v>44274</v>
      </c>
      <c r="D2615" t="s">
        <v>139</v>
      </c>
      <c r="E2615" t="s">
        <v>223</v>
      </c>
      <c r="F2615" t="s">
        <v>232</v>
      </c>
      <c r="G2615" t="s">
        <v>144</v>
      </c>
      <c r="H2615" s="3">
        <v>0.25</v>
      </c>
      <c r="I2615">
        <v>3500</v>
      </c>
      <c r="J2615" s="4">
        <v>875</v>
      </c>
      <c r="K2615" s="4">
        <v>350</v>
      </c>
      <c r="L2615" s="5">
        <v>0.4</v>
      </c>
      <c r="M2615" t="s">
        <v>24</v>
      </c>
      <c r="N2615" t="s">
        <v>361</v>
      </c>
    </row>
    <row r="2616" spans="1:14">
      <c r="A2616" t="s">
        <v>152</v>
      </c>
      <c r="B2616">
        <v>1197831</v>
      </c>
      <c r="C2616" s="2">
        <v>44306</v>
      </c>
      <c r="D2616" t="s">
        <v>139</v>
      </c>
      <c r="E2616" t="s">
        <v>223</v>
      </c>
      <c r="F2616" t="s">
        <v>232</v>
      </c>
      <c r="G2616" t="s">
        <v>27</v>
      </c>
      <c r="H2616" s="3">
        <v>0.25</v>
      </c>
      <c r="I2616">
        <v>6000</v>
      </c>
      <c r="J2616" s="4">
        <v>1500</v>
      </c>
      <c r="K2616" s="4">
        <v>600</v>
      </c>
      <c r="L2616" s="5">
        <v>0.4</v>
      </c>
      <c r="M2616" t="s">
        <v>127</v>
      </c>
      <c r="N2616" t="s">
        <v>362</v>
      </c>
    </row>
    <row r="2617" spans="1:14">
      <c r="A2617" t="s">
        <v>152</v>
      </c>
      <c r="B2617">
        <v>1197831</v>
      </c>
      <c r="C2617" s="2">
        <v>44306</v>
      </c>
      <c r="D2617" t="s">
        <v>139</v>
      </c>
      <c r="E2617" t="s">
        <v>223</v>
      </c>
      <c r="F2617" t="s">
        <v>232</v>
      </c>
      <c r="G2617" t="s">
        <v>145</v>
      </c>
      <c r="H2617" s="3">
        <v>0.25</v>
      </c>
      <c r="I2617">
        <v>3000</v>
      </c>
      <c r="J2617" s="4">
        <v>750</v>
      </c>
      <c r="K2617" s="4">
        <v>262.5</v>
      </c>
      <c r="L2617" s="5">
        <v>0.35</v>
      </c>
      <c r="M2617" t="s">
        <v>127</v>
      </c>
      <c r="N2617" t="s">
        <v>362</v>
      </c>
    </row>
    <row r="2618" spans="1:14">
      <c r="A2618" t="s">
        <v>152</v>
      </c>
      <c r="B2618">
        <v>1197831</v>
      </c>
      <c r="C2618" s="2">
        <v>44306</v>
      </c>
      <c r="D2618" t="s">
        <v>139</v>
      </c>
      <c r="E2618" t="s">
        <v>223</v>
      </c>
      <c r="F2618" t="s">
        <v>232</v>
      </c>
      <c r="G2618" t="s">
        <v>146</v>
      </c>
      <c r="H2618" s="3">
        <v>0.15000000000000002</v>
      </c>
      <c r="I2618">
        <v>3000</v>
      </c>
      <c r="J2618" s="4">
        <v>450.00000000000006</v>
      </c>
      <c r="K2618" s="4">
        <v>180.00000000000003</v>
      </c>
      <c r="L2618" s="5">
        <v>0.4</v>
      </c>
      <c r="M2618" t="s">
        <v>127</v>
      </c>
      <c r="N2618" t="s">
        <v>362</v>
      </c>
    </row>
    <row r="2619" spans="1:14">
      <c r="A2619" t="s">
        <v>152</v>
      </c>
      <c r="B2619">
        <v>1197831</v>
      </c>
      <c r="C2619" s="2">
        <v>44306</v>
      </c>
      <c r="D2619" t="s">
        <v>139</v>
      </c>
      <c r="E2619" t="s">
        <v>223</v>
      </c>
      <c r="F2619" t="s">
        <v>232</v>
      </c>
      <c r="G2619" t="s">
        <v>148</v>
      </c>
      <c r="H2619" s="3">
        <v>0.19999999999999996</v>
      </c>
      <c r="I2619">
        <v>2250</v>
      </c>
      <c r="J2619" s="4">
        <v>449.99999999999989</v>
      </c>
      <c r="K2619" s="4">
        <v>179.99999999999997</v>
      </c>
      <c r="L2619" s="5">
        <v>0.4</v>
      </c>
      <c r="M2619" t="s">
        <v>127</v>
      </c>
      <c r="N2619" t="s">
        <v>362</v>
      </c>
    </row>
    <row r="2620" spans="1:14">
      <c r="A2620" t="s">
        <v>152</v>
      </c>
      <c r="B2620">
        <v>1197831</v>
      </c>
      <c r="C2620" s="2">
        <v>44306</v>
      </c>
      <c r="D2620" t="s">
        <v>139</v>
      </c>
      <c r="E2620" t="s">
        <v>223</v>
      </c>
      <c r="F2620" t="s">
        <v>232</v>
      </c>
      <c r="G2620" t="s">
        <v>147</v>
      </c>
      <c r="H2620" s="3">
        <v>0.4</v>
      </c>
      <c r="I2620">
        <v>2500</v>
      </c>
      <c r="J2620" s="4">
        <v>1000</v>
      </c>
      <c r="K2620" s="4">
        <v>350</v>
      </c>
      <c r="L2620" s="5">
        <v>0.35</v>
      </c>
      <c r="M2620" t="s">
        <v>127</v>
      </c>
      <c r="N2620" t="s">
        <v>362</v>
      </c>
    </row>
    <row r="2621" spans="1:14">
      <c r="A2621" t="s">
        <v>152</v>
      </c>
      <c r="B2621">
        <v>1197831</v>
      </c>
      <c r="C2621" s="2">
        <v>44306</v>
      </c>
      <c r="D2621" t="s">
        <v>139</v>
      </c>
      <c r="E2621" t="s">
        <v>223</v>
      </c>
      <c r="F2621" t="s">
        <v>232</v>
      </c>
      <c r="G2621" t="s">
        <v>144</v>
      </c>
      <c r="H2621" s="3">
        <v>0.30000000000000004</v>
      </c>
      <c r="I2621">
        <v>4000</v>
      </c>
      <c r="J2621" s="4">
        <v>1200.0000000000002</v>
      </c>
      <c r="K2621" s="4">
        <v>480.00000000000011</v>
      </c>
      <c r="L2621" s="5">
        <v>0.4</v>
      </c>
      <c r="M2621" t="s">
        <v>127</v>
      </c>
      <c r="N2621" t="s">
        <v>362</v>
      </c>
    </row>
    <row r="2622" spans="1:14">
      <c r="A2622" t="s">
        <v>152</v>
      </c>
      <c r="B2622">
        <v>1197831</v>
      </c>
      <c r="C2622" s="2">
        <v>44335</v>
      </c>
      <c r="D2622" t="s">
        <v>139</v>
      </c>
      <c r="E2622" t="s">
        <v>223</v>
      </c>
      <c r="F2622" t="s">
        <v>232</v>
      </c>
      <c r="G2622" t="s">
        <v>27</v>
      </c>
      <c r="H2622" s="3">
        <v>0.4</v>
      </c>
      <c r="I2622">
        <v>6700</v>
      </c>
      <c r="J2622" s="4">
        <v>2680</v>
      </c>
      <c r="K2622" s="4">
        <v>1072</v>
      </c>
      <c r="L2622" s="5">
        <v>0.4</v>
      </c>
      <c r="M2622" t="s">
        <v>128</v>
      </c>
      <c r="N2622" t="s">
        <v>362</v>
      </c>
    </row>
    <row r="2623" spans="1:14">
      <c r="A2623" t="s">
        <v>152</v>
      </c>
      <c r="B2623">
        <v>1197831</v>
      </c>
      <c r="C2623" s="2">
        <v>44335</v>
      </c>
      <c r="D2623" t="s">
        <v>139</v>
      </c>
      <c r="E2623" t="s">
        <v>223</v>
      </c>
      <c r="F2623" t="s">
        <v>232</v>
      </c>
      <c r="G2623" t="s">
        <v>145</v>
      </c>
      <c r="H2623" s="3">
        <v>0.4</v>
      </c>
      <c r="I2623">
        <v>3750</v>
      </c>
      <c r="J2623" s="4">
        <v>1500</v>
      </c>
      <c r="K2623" s="4">
        <v>525</v>
      </c>
      <c r="L2623" s="5">
        <v>0.35</v>
      </c>
      <c r="M2623" t="s">
        <v>128</v>
      </c>
      <c r="N2623" t="s">
        <v>362</v>
      </c>
    </row>
    <row r="2624" spans="1:14">
      <c r="A2624" t="s">
        <v>152</v>
      </c>
      <c r="B2624">
        <v>1197831</v>
      </c>
      <c r="C2624" s="2">
        <v>44335</v>
      </c>
      <c r="D2624" t="s">
        <v>139</v>
      </c>
      <c r="E2624" t="s">
        <v>223</v>
      </c>
      <c r="F2624" t="s">
        <v>232</v>
      </c>
      <c r="G2624" t="s">
        <v>146</v>
      </c>
      <c r="H2624" s="3">
        <v>0.35000000000000003</v>
      </c>
      <c r="I2624">
        <v>3500</v>
      </c>
      <c r="J2624" s="4">
        <v>1225.0000000000002</v>
      </c>
      <c r="K2624" s="4">
        <v>490.00000000000011</v>
      </c>
      <c r="L2624" s="5">
        <v>0.4</v>
      </c>
      <c r="M2624" t="s">
        <v>128</v>
      </c>
      <c r="N2624" t="s">
        <v>362</v>
      </c>
    </row>
    <row r="2625" spans="1:14">
      <c r="A2625" t="s">
        <v>152</v>
      </c>
      <c r="B2625">
        <v>1197831</v>
      </c>
      <c r="C2625" s="2">
        <v>44335</v>
      </c>
      <c r="D2625" t="s">
        <v>139</v>
      </c>
      <c r="E2625" t="s">
        <v>223</v>
      </c>
      <c r="F2625" t="s">
        <v>232</v>
      </c>
      <c r="G2625" t="s">
        <v>148</v>
      </c>
      <c r="H2625" s="3">
        <v>0.35000000000000003</v>
      </c>
      <c r="I2625">
        <v>3000</v>
      </c>
      <c r="J2625" s="4">
        <v>1050</v>
      </c>
      <c r="K2625" s="4">
        <v>420</v>
      </c>
      <c r="L2625" s="5">
        <v>0.4</v>
      </c>
      <c r="M2625" t="s">
        <v>128</v>
      </c>
      <c r="N2625" t="s">
        <v>362</v>
      </c>
    </row>
    <row r="2626" spans="1:14">
      <c r="A2626" t="s">
        <v>152</v>
      </c>
      <c r="B2626">
        <v>1197831</v>
      </c>
      <c r="C2626" s="2">
        <v>44335</v>
      </c>
      <c r="D2626" t="s">
        <v>139</v>
      </c>
      <c r="E2626" t="s">
        <v>223</v>
      </c>
      <c r="F2626" t="s">
        <v>232</v>
      </c>
      <c r="G2626" t="s">
        <v>147</v>
      </c>
      <c r="H2626" s="3">
        <v>0.44999999999999996</v>
      </c>
      <c r="I2626">
        <v>3250</v>
      </c>
      <c r="J2626" s="4">
        <v>1462.4999999999998</v>
      </c>
      <c r="K2626" s="4">
        <v>511.87499999999989</v>
      </c>
      <c r="L2626" s="5">
        <v>0.35</v>
      </c>
      <c r="M2626" t="s">
        <v>128</v>
      </c>
      <c r="N2626" t="s">
        <v>362</v>
      </c>
    </row>
    <row r="2627" spans="1:14">
      <c r="A2627" t="s">
        <v>152</v>
      </c>
      <c r="B2627">
        <v>1197831</v>
      </c>
      <c r="C2627" s="2">
        <v>44335</v>
      </c>
      <c r="D2627" t="s">
        <v>139</v>
      </c>
      <c r="E2627" t="s">
        <v>223</v>
      </c>
      <c r="F2627" t="s">
        <v>232</v>
      </c>
      <c r="G2627" t="s">
        <v>144</v>
      </c>
      <c r="H2627" s="3">
        <v>0.44999999999999996</v>
      </c>
      <c r="I2627">
        <v>4250</v>
      </c>
      <c r="J2627" s="4">
        <v>1912.4999999999998</v>
      </c>
      <c r="K2627" s="4">
        <v>765</v>
      </c>
      <c r="L2627" s="5">
        <v>0.4</v>
      </c>
      <c r="M2627" t="s">
        <v>128</v>
      </c>
      <c r="N2627" t="s">
        <v>362</v>
      </c>
    </row>
    <row r="2628" spans="1:14">
      <c r="A2628" t="s">
        <v>152</v>
      </c>
      <c r="B2628">
        <v>1197831</v>
      </c>
      <c r="C2628" s="2">
        <v>44368</v>
      </c>
      <c r="D2628" t="s">
        <v>139</v>
      </c>
      <c r="E2628" t="s">
        <v>223</v>
      </c>
      <c r="F2628" t="s">
        <v>232</v>
      </c>
      <c r="G2628" t="s">
        <v>27</v>
      </c>
      <c r="H2628" s="3">
        <v>0.39999999999999997</v>
      </c>
      <c r="I2628">
        <v>6750</v>
      </c>
      <c r="J2628" s="4">
        <v>2700</v>
      </c>
      <c r="K2628" s="4">
        <v>1080</v>
      </c>
      <c r="L2628" s="5">
        <v>0.4</v>
      </c>
      <c r="M2628" t="s">
        <v>129</v>
      </c>
      <c r="N2628" t="s">
        <v>362</v>
      </c>
    </row>
    <row r="2629" spans="1:14">
      <c r="A2629" t="s">
        <v>152</v>
      </c>
      <c r="B2629">
        <v>1197831</v>
      </c>
      <c r="C2629" s="2">
        <v>44368</v>
      </c>
      <c r="D2629" t="s">
        <v>139</v>
      </c>
      <c r="E2629" t="s">
        <v>223</v>
      </c>
      <c r="F2629" t="s">
        <v>232</v>
      </c>
      <c r="G2629" t="s">
        <v>145</v>
      </c>
      <c r="H2629" s="3">
        <v>0.35000000000000003</v>
      </c>
      <c r="I2629">
        <v>4250</v>
      </c>
      <c r="J2629" s="4">
        <v>1487.5000000000002</v>
      </c>
      <c r="K2629" s="4">
        <v>520.625</v>
      </c>
      <c r="L2629" s="5">
        <v>0.35</v>
      </c>
      <c r="M2629" t="s">
        <v>129</v>
      </c>
      <c r="N2629" t="s">
        <v>362</v>
      </c>
    </row>
    <row r="2630" spans="1:14">
      <c r="A2630" t="s">
        <v>152</v>
      </c>
      <c r="B2630">
        <v>1197831</v>
      </c>
      <c r="C2630" s="2">
        <v>44368</v>
      </c>
      <c r="D2630" t="s">
        <v>139</v>
      </c>
      <c r="E2630" t="s">
        <v>223</v>
      </c>
      <c r="F2630" t="s">
        <v>232</v>
      </c>
      <c r="G2630" t="s">
        <v>146</v>
      </c>
      <c r="H2630" s="3">
        <v>0.4</v>
      </c>
      <c r="I2630">
        <v>4000</v>
      </c>
      <c r="J2630" s="4">
        <v>1600</v>
      </c>
      <c r="K2630" s="4">
        <v>640</v>
      </c>
      <c r="L2630" s="5">
        <v>0.4</v>
      </c>
      <c r="M2630" t="s">
        <v>129</v>
      </c>
      <c r="N2630" t="s">
        <v>362</v>
      </c>
    </row>
    <row r="2631" spans="1:14">
      <c r="A2631" t="s">
        <v>152</v>
      </c>
      <c r="B2631">
        <v>1197831</v>
      </c>
      <c r="C2631" s="2">
        <v>44368</v>
      </c>
      <c r="D2631" t="s">
        <v>139</v>
      </c>
      <c r="E2631" t="s">
        <v>223</v>
      </c>
      <c r="F2631" t="s">
        <v>232</v>
      </c>
      <c r="G2631" t="s">
        <v>148</v>
      </c>
      <c r="H2631" s="3">
        <v>0.4</v>
      </c>
      <c r="I2631">
        <v>3750</v>
      </c>
      <c r="J2631" s="4">
        <v>1500</v>
      </c>
      <c r="K2631" s="4">
        <v>600</v>
      </c>
      <c r="L2631" s="5">
        <v>0.4</v>
      </c>
      <c r="M2631" t="s">
        <v>129</v>
      </c>
      <c r="N2631" t="s">
        <v>362</v>
      </c>
    </row>
    <row r="2632" spans="1:14">
      <c r="A2632" t="s">
        <v>152</v>
      </c>
      <c r="B2632">
        <v>1197831</v>
      </c>
      <c r="C2632" s="2">
        <v>44368</v>
      </c>
      <c r="D2632" t="s">
        <v>139</v>
      </c>
      <c r="E2632" t="s">
        <v>223</v>
      </c>
      <c r="F2632" t="s">
        <v>232</v>
      </c>
      <c r="G2632" t="s">
        <v>147</v>
      </c>
      <c r="H2632" s="3">
        <v>0.54999999999999993</v>
      </c>
      <c r="I2632">
        <v>3750</v>
      </c>
      <c r="J2632" s="4">
        <v>2062.4999999999995</v>
      </c>
      <c r="K2632" s="4">
        <v>721.87499999999977</v>
      </c>
      <c r="L2632" s="5">
        <v>0.35</v>
      </c>
      <c r="M2632" t="s">
        <v>129</v>
      </c>
      <c r="N2632" t="s">
        <v>362</v>
      </c>
    </row>
    <row r="2633" spans="1:14">
      <c r="A2633" t="s">
        <v>152</v>
      </c>
      <c r="B2633">
        <v>1197831</v>
      </c>
      <c r="C2633" s="2">
        <v>44368</v>
      </c>
      <c r="D2633" t="s">
        <v>139</v>
      </c>
      <c r="E2633" t="s">
        <v>223</v>
      </c>
      <c r="F2633" t="s">
        <v>232</v>
      </c>
      <c r="G2633" t="s">
        <v>144</v>
      </c>
      <c r="H2633" s="3">
        <v>0.6</v>
      </c>
      <c r="I2633">
        <v>5500</v>
      </c>
      <c r="J2633" s="4">
        <v>3300</v>
      </c>
      <c r="K2633" s="4">
        <v>1320</v>
      </c>
      <c r="L2633" s="5">
        <v>0.4</v>
      </c>
      <c r="M2633" t="s">
        <v>129</v>
      </c>
      <c r="N2633" t="s">
        <v>362</v>
      </c>
    </row>
    <row r="2634" spans="1:14">
      <c r="A2634" t="s">
        <v>152</v>
      </c>
      <c r="B2634">
        <v>1197831</v>
      </c>
      <c r="C2634" s="2">
        <v>44396</v>
      </c>
      <c r="D2634" t="s">
        <v>139</v>
      </c>
      <c r="E2634" t="s">
        <v>223</v>
      </c>
      <c r="F2634" t="s">
        <v>232</v>
      </c>
      <c r="G2634" t="s">
        <v>27</v>
      </c>
      <c r="H2634" s="3">
        <v>0.54999999999999993</v>
      </c>
      <c r="I2634">
        <v>7750</v>
      </c>
      <c r="J2634" s="4">
        <v>4262.4999999999991</v>
      </c>
      <c r="K2634" s="4">
        <v>1704.9999999999998</v>
      </c>
      <c r="L2634" s="5">
        <v>0.4</v>
      </c>
      <c r="M2634" t="s">
        <v>130</v>
      </c>
      <c r="N2634" t="s">
        <v>363</v>
      </c>
    </row>
    <row r="2635" spans="1:14">
      <c r="A2635" t="s">
        <v>152</v>
      </c>
      <c r="B2635">
        <v>1197831</v>
      </c>
      <c r="C2635" s="2">
        <v>44396</v>
      </c>
      <c r="D2635" t="s">
        <v>139</v>
      </c>
      <c r="E2635" t="s">
        <v>223</v>
      </c>
      <c r="F2635" t="s">
        <v>232</v>
      </c>
      <c r="G2635" t="s">
        <v>145</v>
      </c>
      <c r="H2635" s="3">
        <v>0.5</v>
      </c>
      <c r="I2635">
        <v>5250</v>
      </c>
      <c r="J2635" s="4">
        <v>2625</v>
      </c>
      <c r="K2635" s="4">
        <v>918.74999999999989</v>
      </c>
      <c r="L2635" s="5">
        <v>0.35</v>
      </c>
      <c r="M2635" t="s">
        <v>130</v>
      </c>
      <c r="N2635" t="s">
        <v>363</v>
      </c>
    </row>
    <row r="2636" spans="1:14">
      <c r="A2636" t="s">
        <v>152</v>
      </c>
      <c r="B2636">
        <v>1197831</v>
      </c>
      <c r="C2636" s="2">
        <v>44396</v>
      </c>
      <c r="D2636" t="s">
        <v>139</v>
      </c>
      <c r="E2636" t="s">
        <v>223</v>
      </c>
      <c r="F2636" t="s">
        <v>232</v>
      </c>
      <c r="G2636" t="s">
        <v>146</v>
      </c>
      <c r="H2636" s="3">
        <v>0.45</v>
      </c>
      <c r="I2636">
        <v>4500</v>
      </c>
      <c r="J2636" s="4">
        <v>2025</v>
      </c>
      <c r="K2636" s="4">
        <v>810</v>
      </c>
      <c r="L2636" s="5">
        <v>0.4</v>
      </c>
      <c r="M2636" t="s">
        <v>130</v>
      </c>
      <c r="N2636" t="s">
        <v>363</v>
      </c>
    </row>
    <row r="2637" spans="1:14">
      <c r="A2637" t="s">
        <v>152</v>
      </c>
      <c r="B2637">
        <v>1197831</v>
      </c>
      <c r="C2637" s="2">
        <v>44396</v>
      </c>
      <c r="D2637" t="s">
        <v>139</v>
      </c>
      <c r="E2637" t="s">
        <v>223</v>
      </c>
      <c r="F2637" t="s">
        <v>232</v>
      </c>
      <c r="G2637" t="s">
        <v>148</v>
      </c>
      <c r="H2637" s="3">
        <v>0.45</v>
      </c>
      <c r="I2637">
        <v>4000</v>
      </c>
      <c r="J2637" s="4">
        <v>1800</v>
      </c>
      <c r="K2637" s="4">
        <v>720</v>
      </c>
      <c r="L2637" s="5">
        <v>0.4</v>
      </c>
      <c r="M2637" t="s">
        <v>130</v>
      </c>
      <c r="N2637" t="s">
        <v>363</v>
      </c>
    </row>
    <row r="2638" spans="1:14">
      <c r="A2638" t="s">
        <v>152</v>
      </c>
      <c r="B2638">
        <v>1197831</v>
      </c>
      <c r="C2638" s="2">
        <v>44396</v>
      </c>
      <c r="D2638" t="s">
        <v>139</v>
      </c>
      <c r="E2638" t="s">
        <v>223</v>
      </c>
      <c r="F2638" t="s">
        <v>232</v>
      </c>
      <c r="G2638" t="s">
        <v>147</v>
      </c>
      <c r="H2638" s="3">
        <v>0.6</v>
      </c>
      <c r="I2638">
        <v>4250</v>
      </c>
      <c r="J2638" s="4">
        <v>2550</v>
      </c>
      <c r="K2638" s="4">
        <v>892.5</v>
      </c>
      <c r="L2638" s="5">
        <v>0.35</v>
      </c>
      <c r="M2638" t="s">
        <v>130</v>
      </c>
      <c r="N2638" t="s">
        <v>363</v>
      </c>
    </row>
    <row r="2639" spans="1:14">
      <c r="A2639" t="s">
        <v>152</v>
      </c>
      <c r="B2639">
        <v>1197831</v>
      </c>
      <c r="C2639" s="2">
        <v>44396</v>
      </c>
      <c r="D2639" t="s">
        <v>139</v>
      </c>
      <c r="E2639" t="s">
        <v>223</v>
      </c>
      <c r="F2639" t="s">
        <v>232</v>
      </c>
      <c r="G2639" t="s">
        <v>144</v>
      </c>
      <c r="H2639" s="3">
        <v>0.65</v>
      </c>
      <c r="I2639">
        <v>6000</v>
      </c>
      <c r="J2639" s="4">
        <v>3900</v>
      </c>
      <c r="K2639" s="4">
        <v>1560</v>
      </c>
      <c r="L2639" s="5">
        <v>0.4</v>
      </c>
      <c r="M2639" t="s">
        <v>130</v>
      </c>
      <c r="N2639" t="s">
        <v>363</v>
      </c>
    </row>
    <row r="2640" spans="1:14">
      <c r="A2640" t="s">
        <v>152</v>
      </c>
      <c r="B2640">
        <v>1197831</v>
      </c>
      <c r="C2640" s="2">
        <v>44428</v>
      </c>
      <c r="D2640" t="s">
        <v>139</v>
      </c>
      <c r="E2640" t="s">
        <v>223</v>
      </c>
      <c r="F2640" t="s">
        <v>232</v>
      </c>
      <c r="G2640" t="s">
        <v>27</v>
      </c>
      <c r="H2640" s="3">
        <v>0.6</v>
      </c>
      <c r="I2640">
        <v>7500</v>
      </c>
      <c r="J2640" s="4">
        <v>4500</v>
      </c>
      <c r="K2640" s="4">
        <v>1800</v>
      </c>
      <c r="L2640" s="5">
        <v>0.4</v>
      </c>
      <c r="M2640" t="s">
        <v>131</v>
      </c>
      <c r="N2640" t="s">
        <v>363</v>
      </c>
    </row>
    <row r="2641" spans="1:14">
      <c r="A2641" t="s">
        <v>152</v>
      </c>
      <c r="B2641">
        <v>1197831</v>
      </c>
      <c r="C2641" s="2">
        <v>44428</v>
      </c>
      <c r="D2641" t="s">
        <v>139</v>
      </c>
      <c r="E2641" t="s">
        <v>223</v>
      </c>
      <c r="F2641" t="s">
        <v>232</v>
      </c>
      <c r="G2641" t="s">
        <v>145</v>
      </c>
      <c r="H2641" s="3">
        <v>0.55000000000000004</v>
      </c>
      <c r="I2641">
        <v>5250</v>
      </c>
      <c r="J2641" s="4">
        <v>2887.5000000000005</v>
      </c>
      <c r="K2641" s="4">
        <v>1010.6250000000001</v>
      </c>
      <c r="L2641" s="5">
        <v>0.35</v>
      </c>
      <c r="M2641" t="s">
        <v>131</v>
      </c>
      <c r="N2641" t="s">
        <v>363</v>
      </c>
    </row>
    <row r="2642" spans="1:14">
      <c r="A2642" t="s">
        <v>152</v>
      </c>
      <c r="B2642">
        <v>1197831</v>
      </c>
      <c r="C2642" s="2">
        <v>44428</v>
      </c>
      <c r="D2642" t="s">
        <v>139</v>
      </c>
      <c r="E2642" t="s">
        <v>223</v>
      </c>
      <c r="F2642" t="s">
        <v>232</v>
      </c>
      <c r="G2642" t="s">
        <v>146</v>
      </c>
      <c r="H2642" s="3">
        <v>0.5</v>
      </c>
      <c r="I2642">
        <v>4500</v>
      </c>
      <c r="J2642" s="4">
        <v>2250</v>
      </c>
      <c r="K2642" s="4">
        <v>900</v>
      </c>
      <c r="L2642" s="5">
        <v>0.4</v>
      </c>
      <c r="M2642" t="s">
        <v>131</v>
      </c>
      <c r="N2642" t="s">
        <v>363</v>
      </c>
    </row>
    <row r="2643" spans="1:14">
      <c r="A2643" t="s">
        <v>152</v>
      </c>
      <c r="B2643">
        <v>1197831</v>
      </c>
      <c r="C2643" s="2">
        <v>44428</v>
      </c>
      <c r="D2643" t="s">
        <v>139</v>
      </c>
      <c r="E2643" t="s">
        <v>223</v>
      </c>
      <c r="F2643" t="s">
        <v>232</v>
      </c>
      <c r="G2643" t="s">
        <v>148</v>
      </c>
      <c r="H2643" s="3">
        <v>0.4</v>
      </c>
      <c r="I2643">
        <v>4000</v>
      </c>
      <c r="J2643" s="4">
        <v>1600</v>
      </c>
      <c r="K2643" s="4">
        <v>640</v>
      </c>
      <c r="L2643" s="5">
        <v>0.4</v>
      </c>
      <c r="M2643" t="s">
        <v>131</v>
      </c>
      <c r="N2643" t="s">
        <v>363</v>
      </c>
    </row>
    <row r="2644" spans="1:14">
      <c r="A2644" t="s">
        <v>152</v>
      </c>
      <c r="B2644">
        <v>1197831</v>
      </c>
      <c r="C2644" s="2">
        <v>44428</v>
      </c>
      <c r="D2644" t="s">
        <v>139</v>
      </c>
      <c r="E2644" t="s">
        <v>223</v>
      </c>
      <c r="F2644" t="s">
        <v>232</v>
      </c>
      <c r="G2644" t="s">
        <v>147</v>
      </c>
      <c r="H2644" s="3">
        <v>0.5</v>
      </c>
      <c r="I2644">
        <v>3750</v>
      </c>
      <c r="J2644" s="4">
        <v>1875</v>
      </c>
      <c r="K2644" s="4">
        <v>656.25</v>
      </c>
      <c r="L2644" s="5">
        <v>0.35</v>
      </c>
      <c r="M2644" t="s">
        <v>131</v>
      </c>
      <c r="N2644" t="s">
        <v>363</v>
      </c>
    </row>
    <row r="2645" spans="1:14">
      <c r="A2645" t="s">
        <v>152</v>
      </c>
      <c r="B2645">
        <v>1197831</v>
      </c>
      <c r="C2645" s="2">
        <v>44428</v>
      </c>
      <c r="D2645" t="s">
        <v>139</v>
      </c>
      <c r="E2645" t="s">
        <v>223</v>
      </c>
      <c r="F2645" t="s">
        <v>232</v>
      </c>
      <c r="G2645" t="s">
        <v>144</v>
      </c>
      <c r="H2645" s="3">
        <v>0.55000000000000004</v>
      </c>
      <c r="I2645">
        <v>5500</v>
      </c>
      <c r="J2645" s="4">
        <v>3025.0000000000005</v>
      </c>
      <c r="K2645" s="4">
        <v>1210.0000000000002</v>
      </c>
      <c r="L2645" s="5">
        <v>0.4</v>
      </c>
      <c r="M2645" t="s">
        <v>131</v>
      </c>
      <c r="N2645" t="s">
        <v>363</v>
      </c>
    </row>
    <row r="2646" spans="1:14">
      <c r="A2646" t="s">
        <v>152</v>
      </c>
      <c r="B2646">
        <v>1197831</v>
      </c>
      <c r="C2646" s="2">
        <v>44458</v>
      </c>
      <c r="D2646" t="s">
        <v>139</v>
      </c>
      <c r="E2646" t="s">
        <v>223</v>
      </c>
      <c r="F2646" t="s">
        <v>232</v>
      </c>
      <c r="G2646" t="s">
        <v>27</v>
      </c>
      <c r="H2646" s="3">
        <v>0.5</v>
      </c>
      <c r="I2646">
        <v>6500</v>
      </c>
      <c r="J2646" s="4">
        <v>3250</v>
      </c>
      <c r="K2646" s="4">
        <v>1300</v>
      </c>
      <c r="L2646" s="5">
        <v>0.4</v>
      </c>
      <c r="M2646" t="s">
        <v>132</v>
      </c>
      <c r="N2646" t="s">
        <v>363</v>
      </c>
    </row>
    <row r="2647" spans="1:14">
      <c r="A2647" t="s">
        <v>152</v>
      </c>
      <c r="B2647">
        <v>1197831</v>
      </c>
      <c r="C2647" s="2">
        <v>44458</v>
      </c>
      <c r="D2647" t="s">
        <v>139</v>
      </c>
      <c r="E2647" t="s">
        <v>223</v>
      </c>
      <c r="F2647" t="s">
        <v>232</v>
      </c>
      <c r="G2647" t="s">
        <v>145</v>
      </c>
      <c r="H2647" s="3">
        <v>0.40000000000000013</v>
      </c>
      <c r="I2647">
        <v>4500</v>
      </c>
      <c r="J2647" s="4">
        <v>1800.0000000000007</v>
      </c>
      <c r="K2647" s="4">
        <v>630.00000000000023</v>
      </c>
      <c r="L2647" s="5">
        <v>0.35</v>
      </c>
      <c r="M2647" t="s">
        <v>132</v>
      </c>
      <c r="N2647" t="s">
        <v>363</v>
      </c>
    </row>
    <row r="2648" spans="1:14">
      <c r="A2648" t="s">
        <v>152</v>
      </c>
      <c r="B2648">
        <v>1197831</v>
      </c>
      <c r="C2648" s="2">
        <v>44458</v>
      </c>
      <c r="D2648" t="s">
        <v>139</v>
      </c>
      <c r="E2648" t="s">
        <v>223</v>
      </c>
      <c r="F2648" t="s">
        <v>232</v>
      </c>
      <c r="G2648" t="s">
        <v>146</v>
      </c>
      <c r="H2648" s="3">
        <v>0.15000000000000008</v>
      </c>
      <c r="I2648">
        <v>3500</v>
      </c>
      <c r="J2648" s="4">
        <v>525.00000000000023</v>
      </c>
      <c r="K2648" s="4">
        <v>210.00000000000011</v>
      </c>
      <c r="L2648" s="5">
        <v>0.4</v>
      </c>
      <c r="M2648" t="s">
        <v>132</v>
      </c>
      <c r="N2648" t="s">
        <v>363</v>
      </c>
    </row>
    <row r="2649" spans="1:14">
      <c r="A2649" t="s">
        <v>152</v>
      </c>
      <c r="B2649">
        <v>1197831</v>
      </c>
      <c r="C2649" s="2">
        <v>44458</v>
      </c>
      <c r="D2649" t="s">
        <v>139</v>
      </c>
      <c r="E2649" t="s">
        <v>223</v>
      </c>
      <c r="F2649" t="s">
        <v>232</v>
      </c>
      <c r="G2649" t="s">
        <v>148</v>
      </c>
      <c r="H2649" s="3">
        <v>0.15000000000000008</v>
      </c>
      <c r="I2649">
        <v>3250</v>
      </c>
      <c r="J2649" s="4">
        <v>487.50000000000023</v>
      </c>
      <c r="K2649" s="4">
        <v>195.00000000000011</v>
      </c>
      <c r="L2649" s="5">
        <v>0.4</v>
      </c>
      <c r="M2649" t="s">
        <v>132</v>
      </c>
      <c r="N2649" t="s">
        <v>363</v>
      </c>
    </row>
    <row r="2650" spans="1:14">
      <c r="A2650" t="s">
        <v>152</v>
      </c>
      <c r="B2650">
        <v>1197831</v>
      </c>
      <c r="C2650" s="2">
        <v>44458</v>
      </c>
      <c r="D2650" t="s">
        <v>139</v>
      </c>
      <c r="E2650" t="s">
        <v>223</v>
      </c>
      <c r="F2650" t="s">
        <v>232</v>
      </c>
      <c r="G2650" t="s">
        <v>147</v>
      </c>
      <c r="H2650" s="3">
        <v>0.25000000000000006</v>
      </c>
      <c r="I2650">
        <v>3250</v>
      </c>
      <c r="J2650" s="4">
        <v>812.50000000000023</v>
      </c>
      <c r="K2650" s="4">
        <v>284.37500000000006</v>
      </c>
      <c r="L2650" s="5">
        <v>0.35</v>
      </c>
      <c r="M2650" t="s">
        <v>132</v>
      </c>
      <c r="N2650" t="s">
        <v>363</v>
      </c>
    </row>
    <row r="2651" spans="1:14">
      <c r="A2651" t="s">
        <v>152</v>
      </c>
      <c r="B2651">
        <v>1197831</v>
      </c>
      <c r="C2651" s="2">
        <v>44458</v>
      </c>
      <c r="D2651" t="s">
        <v>139</v>
      </c>
      <c r="E2651" t="s">
        <v>223</v>
      </c>
      <c r="F2651" t="s">
        <v>232</v>
      </c>
      <c r="G2651" t="s">
        <v>144</v>
      </c>
      <c r="H2651" s="3">
        <v>0.3000000000000001</v>
      </c>
      <c r="I2651">
        <v>4250</v>
      </c>
      <c r="J2651" s="4">
        <v>1275.0000000000005</v>
      </c>
      <c r="K2651" s="4">
        <v>510.00000000000023</v>
      </c>
      <c r="L2651" s="5">
        <v>0.4</v>
      </c>
      <c r="M2651" t="s">
        <v>132</v>
      </c>
      <c r="N2651" t="s">
        <v>363</v>
      </c>
    </row>
    <row r="2652" spans="1:14">
      <c r="A2652" t="s">
        <v>152</v>
      </c>
      <c r="B2652">
        <v>1197831</v>
      </c>
      <c r="C2652" s="2">
        <v>44490</v>
      </c>
      <c r="D2652" t="s">
        <v>139</v>
      </c>
      <c r="E2652" t="s">
        <v>223</v>
      </c>
      <c r="F2652" t="s">
        <v>232</v>
      </c>
      <c r="G2652" t="s">
        <v>27</v>
      </c>
      <c r="H2652" s="3">
        <v>0.3000000000000001</v>
      </c>
      <c r="I2652">
        <v>6000</v>
      </c>
      <c r="J2652" s="4">
        <v>1800.0000000000007</v>
      </c>
      <c r="K2652" s="4">
        <v>720.00000000000034</v>
      </c>
      <c r="L2652" s="5">
        <v>0.4</v>
      </c>
      <c r="M2652" t="s">
        <v>133</v>
      </c>
      <c r="N2652" t="s">
        <v>364</v>
      </c>
    </row>
    <row r="2653" spans="1:14">
      <c r="A2653" t="s">
        <v>152</v>
      </c>
      <c r="B2653">
        <v>1197831</v>
      </c>
      <c r="C2653" s="2">
        <v>44490</v>
      </c>
      <c r="D2653" t="s">
        <v>139</v>
      </c>
      <c r="E2653" t="s">
        <v>223</v>
      </c>
      <c r="F2653" t="s">
        <v>232</v>
      </c>
      <c r="G2653" t="s">
        <v>145</v>
      </c>
      <c r="H2653" s="3">
        <v>0.20000000000000012</v>
      </c>
      <c r="I2653">
        <v>4250</v>
      </c>
      <c r="J2653" s="4">
        <v>850.00000000000057</v>
      </c>
      <c r="K2653" s="4">
        <v>297.50000000000017</v>
      </c>
      <c r="L2653" s="5">
        <v>0.35</v>
      </c>
      <c r="M2653" t="s">
        <v>133</v>
      </c>
      <c r="N2653" t="s">
        <v>364</v>
      </c>
    </row>
    <row r="2654" spans="1:14">
      <c r="A2654" t="s">
        <v>152</v>
      </c>
      <c r="B2654">
        <v>1197831</v>
      </c>
      <c r="C2654" s="2">
        <v>44490</v>
      </c>
      <c r="D2654" t="s">
        <v>139</v>
      </c>
      <c r="E2654" t="s">
        <v>223</v>
      </c>
      <c r="F2654" t="s">
        <v>232</v>
      </c>
      <c r="G2654" t="s">
        <v>146</v>
      </c>
      <c r="H2654" s="3">
        <v>0.20000000000000012</v>
      </c>
      <c r="I2654">
        <v>3000</v>
      </c>
      <c r="J2654" s="4">
        <v>600.00000000000034</v>
      </c>
      <c r="K2654" s="4">
        <v>240.00000000000014</v>
      </c>
      <c r="L2654" s="5">
        <v>0.4</v>
      </c>
      <c r="M2654" t="s">
        <v>133</v>
      </c>
      <c r="N2654" t="s">
        <v>364</v>
      </c>
    </row>
    <row r="2655" spans="1:14">
      <c r="A2655" t="s">
        <v>152</v>
      </c>
      <c r="B2655">
        <v>1197831</v>
      </c>
      <c r="C2655" s="2">
        <v>44490</v>
      </c>
      <c r="D2655" t="s">
        <v>139</v>
      </c>
      <c r="E2655" t="s">
        <v>223</v>
      </c>
      <c r="F2655" t="s">
        <v>232</v>
      </c>
      <c r="G2655" t="s">
        <v>148</v>
      </c>
      <c r="H2655" s="3">
        <v>0.20000000000000012</v>
      </c>
      <c r="I2655">
        <v>2750</v>
      </c>
      <c r="J2655" s="4">
        <v>550.00000000000034</v>
      </c>
      <c r="K2655" s="4">
        <v>220.00000000000014</v>
      </c>
      <c r="L2655" s="5">
        <v>0.4</v>
      </c>
      <c r="M2655" t="s">
        <v>133</v>
      </c>
      <c r="N2655" t="s">
        <v>364</v>
      </c>
    </row>
    <row r="2656" spans="1:14">
      <c r="A2656" t="s">
        <v>152</v>
      </c>
      <c r="B2656">
        <v>1197831</v>
      </c>
      <c r="C2656" s="2">
        <v>44490</v>
      </c>
      <c r="D2656" t="s">
        <v>139</v>
      </c>
      <c r="E2656" t="s">
        <v>223</v>
      </c>
      <c r="F2656" t="s">
        <v>232</v>
      </c>
      <c r="G2656" t="s">
        <v>147</v>
      </c>
      <c r="H2656" s="3">
        <v>0.3000000000000001</v>
      </c>
      <c r="I2656">
        <v>2750</v>
      </c>
      <c r="J2656" s="4">
        <v>825.00000000000023</v>
      </c>
      <c r="K2656" s="4">
        <v>288.75000000000006</v>
      </c>
      <c r="L2656" s="5">
        <v>0.35</v>
      </c>
      <c r="M2656" t="s">
        <v>133</v>
      </c>
      <c r="N2656" t="s">
        <v>364</v>
      </c>
    </row>
    <row r="2657" spans="1:14">
      <c r="A2657" t="s">
        <v>152</v>
      </c>
      <c r="B2657">
        <v>1197831</v>
      </c>
      <c r="C2657" s="2">
        <v>44490</v>
      </c>
      <c r="D2657" t="s">
        <v>139</v>
      </c>
      <c r="E2657" t="s">
        <v>223</v>
      </c>
      <c r="F2657" t="s">
        <v>232</v>
      </c>
      <c r="G2657" t="s">
        <v>144</v>
      </c>
      <c r="H2657" s="3">
        <v>0.30000000000000004</v>
      </c>
      <c r="I2657">
        <v>4000</v>
      </c>
      <c r="J2657" s="4">
        <v>1200.0000000000002</v>
      </c>
      <c r="K2657" s="4">
        <v>480.00000000000011</v>
      </c>
      <c r="L2657" s="5">
        <v>0.4</v>
      </c>
      <c r="M2657" t="s">
        <v>133</v>
      </c>
      <c r="N2657" t="s">
        <v>364</v>
      </c>
    </row>
    <row r="2658" spans="1:14">
      <c r="A2658" t="s">
        <v>152</v>
      </c>
      <c r="B2658">
        <v>1197831</v>
      </c>
      <c r="C2658" s="2">
        <v>44520</v>
      </c>
      <c r="D2658" t="s">
        <v>139</v>
      </c>
      <c r="E2658" t="s">
        <v>223</v>
      </c>
      <c r="F2658" t="s">
        <v>232</v>
      </c>
      <c r="G2658" t="s">
        <v>27</v>
      </c>
      <c r="H2658" s="3">
        <v>0.25000000000000011</v>
      </c>
      <c r="I2658">
        <v>5500</v>
      </c>
      <c r="J2658" s="4">
        <v>1375.0000000000007</v>
      </c>
      <c r="K2658" s="4">
        <v>550.00000000000034</v>
      </c>
      <c r="L2658" s="5">
        <v>0.4</v>
      </c>
      <c r="M2658" t="s">
        <v>134</v>
      </c>
      <c r="N2658" t="s">
        <v>364</v>
      </c>
    </row>
    <row r="2659" spans="1:14">
      <c r="A2659" t="s">
        <v>152</v>
      </c>
      <c r="B2659">
        <v>1197831</v>
      </c>
      <c r="C2659" s="2">
        <v>44520</v>
      </c>
      <c r="D2659" t="s">
        <v>139</v>
      </c>
      <c r="E2659" t="s">
        <v>223</v>
      </c>
      <c r="F2659" t="s">
        <v>232</v>
      </c>
      <c r="G2659" t="s">
        <v>145</v>
      </c>
      <c r="H2659" s="3">
        <v>0.15000000000000013</v>
      </c>
      <c r="I2659">
        <v>3750</v>
      </c>
      <c r="J2659" s="4">
        <v>562.50000000000045</v>
      </c>
      <c r="K2659" s="4">
        <v>196.87500000000014</v>
      </c>
      <c r="L2659" s="5">
        <v>0.35</v>
      </c>
      <c r="M2659" t="s">
        <v>134</v>
      </c>
      <c r="N2659" t="s">
        <v>364</v>
      </c>
    </row>
    <row r="2660" spans="1:14">
      <c r="A2660" t="s">
        <v>152</v>
      </c>
      <c r="B2660">
        <v>1197831</v>
      </c>
      <c r="C2660" s="2">
        <v>44520</v>
      </c>
      <c r="D2660" t="s">
        <v>139</v>
      </c>
      <c r="E2660" t="s">
        <v>223</v>
      </c>
      <c r="F2660" t="s">
        <v>232</v>
      </c>
      <c r="G2660" t="s">
        <v>146</v>
      </c>
      <c r="H2660" s="3">
        <v>0.25000000000000017</v>
      </c>
      <c r="I2660">
        <v>3200</v>
      </c>
      <c r="J2660" s="4">
        <v>800.00000000000057</v>
      </c>
      <c r="K2660" s="4">
        <v>320.00000000000023</v>
      </c>
      <c r="L2660" s="5">
        <v>0.4</v>
      </c>
      <c r="M2660" t="s">
        <v>134</v>
      </c>
      <c r="N2660" t="s">
        <v>364</v>
      </c>
    </row>
    <row r="2661" spans="1:14">
      <c r="A2661" t="s">
        <v>152</v>
      </c>
      <c r="B2661">
        <v>1197831</v>
      </c>
      <c r="C2661" s="2">
        <v>44520</v>
      </c>
      <c r="D2661" t="s">
        <v>139</v>
      </c>
      <c r="E2661" t="s">
        <v>223</v>
      </c>
      <c r="F2661" t="s">
        <v>232</v>
      </c>
      <c r="G2661" t="s">
        <v>148</v>
      </c>
      <c r="H2661" s="3">
        <v>0.55000000000000016</v>
      </c>
      <c r="I2661">
        <v>3750</v>
      </c>
      <c r="J2661" s="4">
        <v>2062.5000000000005</v>
      </c>
      <c r="K2661" s="4">
        <v>825.00000000000023</v>
      </c>
      <c r="L2661" s="5">
        <v>0.4</v>
      </c>
      <c r="M2661" t="s">
        <v>134</v>
      </c>
      <c r="N2661" t="s">
        <v>364</v>
      </c>
    </row>
    <row r="2662" spans="1:14">
      <c r="A2662" t="s">
        <v>152</v>
      </c>
      <c r="B2662">
        <v>1197831</v>
      </c>
      <c r="C2662" s="2">
        <v>44520</v>
      </c>
      <c r="D2662" t="s">
        <v>139</v>
      </c>
      <c r="E2662" t="s">
        <v>223</v>
      </c>
      <c r="F2662" t="s">
        <v>232</v>
      </c>
      <c r="G2662" t="s">
        <v>147</v>
      </c>
      <c r="H2662" s="3">
        <v>0.75000000000000011</v>
      </c>
      <c r="I2662">
        <v>3500</v>
      </c>
      <c r="J2662" s="4">
        <v>2625.0000000000005</v>
      </c>
      <c r="K2662" s="4">
        <v>918.75000000000011</v>
      </c>
      <c r="L2662" s="5">
        <v>0.35</v>
      </c>
      <c r="M2662" t="s">
        <v>134</v>
      </c>
      <c r="N2662" t="s">
        <v>364</v>
      </c>
    </row>
    <row r="2663" spans="1:14">
      <c r="A2663" t="s">
        <v>152</v>
      </c>
      <c r="B2663">
        <v>1197831</v>
      </c>
      <c r="C2663" s="2">
        <v>44520</v>
      </c>
      <c r="D2663" t="s">
        <v>139</v>
      </c>
      <c r="E2663" t="s">
        <v>223</v>
      </c>
      <c r="F2663" t="s">
        <v>232</v>
      </c>
      <c r="G2663" t="s">
        <v>144</v>
      </c>
      <c r="H2663" s="3">
        <v>0.75</v>
      </c>
      <c r="I2663">
        <v>4500</v>
      </c>
      <c r="J2663" s="4">
        <v>3375</v>
      </c>
      <c r="K2663" s="4">
        <v>1350</v>
      </c>
      <c r="L2663" s="5">
        <v>0.4</v>
      </c>
      <c r="M2663" t="s">
        <v>134</v>
      </c>
      <c r="N2663" t="s">
        <v>364</v>
      </c>
    </row>
    <row r="2664" spans="1:14">
      <c r="A2664" t="s">
        <v>152</v>
      </c>
      <c r="B2664">
        <v>1197831</v>
      </c>
      <c r="C2664" s="2">
        <v>44549</v>
      </c>
      <c r="D2664" t="s">
        <v>139</v>
      </c>
      <c r="E2664" t="s">
        <v>223</v>
      </c>
      <c r="F2664" t="s">
        <v>232</v>
      </c>
      <c r="G2664" t="s">
        <v>27</v>
      </c>
      <c r="H2664" s="3">
        <v>0.70000000000000007</v>
      </c>
      <c r="I2664">
        <v>7000</v>
      </c>
      <c r="J2664" s="4">
        <v>4900.0000000000009</v>
      </c>
      <c r="K2664" s="4">
        <v>1960.0000000000005</v>
      </c>
      <c r="L2664" s="5">
        <v>0.4</v>
      </c>
      <c r="M2664" t="s">
        <v>23</v>
      </c>
      <c r="N2664" t="s">
        <v>364</v>
      </c>
    </row>
    <row r="2665" spans="1:14">
      <c r="A2665" t="s">
        <v>152</v>
      </c>
      <c r="B2665">
        <v>1197831</v>
      </c>
      <c r="C2665" s="2">
        <v>44549</v>
      </c>
      <c r="D2665" t="s">
        <v>139</v>
      </c>
      <c r="E2665" t="s">
        <v>223</v>
      </c>
      <c r="F2665" t="s">
        <v>232</v>
      </c>
      <c r="G2665" t="s">
        <v>145</v>
      </c>
      <c r="H2665" s="3">
        <v>0.60000000000000009</v>
      </c>
      <c r="I2665">
        <v>5000</v>
      </c>
      <c r="J2665" s="4">
        <v>3000.0000000000005</v>
      </c>
      <c r="K2665" s="4">
        <v>1050</v>
      </c>
      <c r="L2665" s="5">
        <v>0.35</v>
      </c>
      <c r="M2665" t="s">
        <v>23</v>
      </c>
      <c r="N2665" t="s">
        <v>364</v>
      </c>
    </row>
    <row r="2666" spans="1:14">
      <c r="A2666" t="s">
        <v>152</v>
      </c>
      <c r="B2666">
        <v>1197831</v>
      </c>
      <c r="C2666" s="2">
        <v>44549</v>
      </c>
      <c r="D2666" t="s">
        <v>139</v>
      </c>
      <c r="E2666" t="s">
        <v>223</v>
      </c>
      <c r="F2666" t="s">
        <v>232</v>
      </c>
      <c r="G2666" t="s">
        <v>146</v>
      </c>
      <c r="H2666" s="3">
        <v>0.60000000000000009</v>
      </c>
      <c r="I2666">
        <v>4500</v>
      </c>
      <c r="J2666" s="4">
        <v>2700.0000000000005</v>
      </c>
      <c r="K2666" s="4">
        <v>1080.0000000000002</v>
      </c>
      <c r="L2666" s="5">
        <v>0.4</v>
      </c>
      <c r="M2666" t="s">
        <v>23</v>
      </c>
      <c r="N2666" t="s">
        <v>364</v>
      </c>
    </row>
    <row r="2667" spans="1:14">
      <c r="A2667" t="s">
        <v>152</v>
      </c>
      <c r="B2667">
        <v>1197831</v>
      </c>
      <c r="C2667" s="2">
        <v>44549</v>
      </c>
      <c r="D2667" t="s">
        <v>139</v>
      </c>
      <c r="E2667" t="s">
        <v>223</v>
      </c>
      <c r="F2667" t="s">
        <v>232</v>
      </c>
      <c r="G2667" t="s">
        <v>148</v>
      </c>
      <c r="H2667" s="3">
        <v>0.60000000000000009</v>
      </c>
      <c r="I2667">
        <v>4000</v>
      </c>
      <c r="J2667" s="4">
        <v>2400.0000000000005</v>
      </c>
      <c r="K2667" s="4">
        <v>960.00000000000023</v>
      </c>
      <c r="L2667" s="5">
        <v>0.4</v>
      </c>
      <c r="M2667" t="s">
        <v>23</v>
      </c>
      <c r="N2667" t="s">
        <v>364</v>
      </c>
    </row>
    <row r="2668" spans="1:14">
      <c r="A2668" t="s">
        <v>152</v>
      </c>
      <c r="B2668">
        <v>1197831</v>
      </c>
      <c r="C2668" s="2">
        <v>44549</v>
      </c>
      <c r="D2668" t="s">
        <v>139</v>
      </c>
      <c r="E2668" t="s">
        <v>223</v>
      </c>
      <c r="F2668" t="s">
        <v>232</v>
      </c>
      <c r="G2668" t="s">
        <v>147</v>
      </c>
      <c r="H2668" s="3">
        <v>0.70000000000000007</v>
      </c>
      <c r="I2668">
        <v>4000</v>
      </c>
      <c r="J2668" s="4">
        <v>2800.0000000000005</v>
      </c>
      <c r="K2668" s="4">
        <v>980.00000000000011</v>
      </c>
      <c r="L2668" s="5">
        <v>0.35</v>
      </c>
      <c r="M2668" t="s">
        <v>23</v>
      </c>
      <c r="N2668" t="s">
        <v>364</v>
      </c>
    </row>
    <row r="2669" spans="1:14">
      <c r="A2669" t="s">
        <v>152</v>
      </c>
      <c r="B2669">
        <v>1197831</v>
      </c>
      <c r="C2669" s="2">
        <v>44549</v>
      </c>
      <c r="D2669" t="s">
        <v>139</v>
      </c>
      <c r="E2669" t="s">
        <v>223</v>
      </c>
      <c r="F2669" t="s">
        <v>232</v>
      </c>
      <c r="G2669" t="s">
        <v>144</v>
      </c>
      <c r="H2669" s="3">
        <v>0.75</v>
      </c>
      <c r="I2669">
        <v>5000</v>
      </c>
      <c r="J2669" s="4">
        <v>3750</v>
      </c>
      <c r="K2669" s="4">
        <v>1500</v>
      </c>
      <c r="L2669" s="5">
        <v>0.4</v>
      </c>
      <c r="M2669" t="s">
        <v>23</v>
      </c>
      <c r="N2669" t="s">
        <v>364</v>
      </c>
    </row>
    <row r="2670" spans="1:14">
      <c r="A2670" t="s">
        <v>152</v>
      </c>
      <c r="B2670">
        <v>1197831</v>
      </c>
      <c r="C2670" s="2">
        <v>44219</v>
      </c>
      <c r="D2670" t="s">
        <v>139</v>
      </c>
      <c r="E2670" t="s">
        <v>229</v>
      </c>
      <c r="F2670" t="s">
        <v>238</v>
      </c>
      <c r="G2670" t="s">
        <v>27</v>
      </c>
      <c r="H2670" s="3">
        <v>0.25000000000000006</v>
      </c>
      <c r="I2670">
        <v>5750</v>
      </c>
      <c r="J2670" s="4">
        <v>1437.5000000000002</v>
      </c>
      <c r="K2670" s="4">
        <v>575.00000000000011</v>
      </c>
      <c r="L2670" s="5">
        <v>0.4</v>
      </c>
      <c r="M2670" t="s">
        <v>125</v>
      </c>
      <c r="N2670" t="s">
        <v>361</v>
      </c>
    </row>
    <row r="2671" spans="1:14">
      <c r="A2671" t="s">
        <v>152</v>
      </c>
      <c r="B2671">
        <v>1197831</v>
      </c>
      <c r="C2671" s="2">
        <v>44219</v>
      </c>
      <c r="D2671" t="s">
        <v>139</v>
      </c>
      <c r="E2671" t="s">
        <v>229</v>
      </c>
      <c r="F2671" t="s">
        <v>238</v>
      </c>
      <c r="G2671" t="s">
        <v>145</v>
      </c>
      <c r="H2671" s="3">
        <v>0.25000000000000006</v>
      </c>
      <c r="I2671">
        <v>3750</v>
      </c>
      <c r="J2671" s="4">
        <v>937.50000000000023</v>
      </c>
      <c r="K2671" s="4">
        <v>328.12500000000006</v>
      </c>
      <c r="L2671" s="5">
        <v>0.35</v>
      </c>
      <c r="M2671" t="s">
        <v>125</v>
      </c>
      <c r="N2671" t="s">
        <v>361</v>
      </c>
    </row>
    <row r="2672" spans="1:14">
      <c r="A2672" t="s">
        <v>152</v>
      </c>
      <c r="B2672">
        <v>1197831</v>
      </c>
      <c r="C2672" s="2">
        <v>44219</v>
      </c>
      <c r="D2672" t="s">
        <v>139</v>
      </c>
      <c r="E2672" t="s">
        <v>229</v>
      </c>
      <c r="F2672" t="s">
        <v>238</v>
      </c>
      <c r="G2672" t="s">
        <v>146</v>
      </c>
      <c r="H2672" s="3">
        <v>0.15000000000000008</v>
      </c>
      <c r="I2672">
        <v>3750</v>
      </c>
      <c r="J2672" s="4">
        <v>562.50000000000034</v>
      </c>
      <c r="K2672" s="4">
        <v>225.00000000000014</v>
      </c>
      <c r="L2672" s="5">
        <v>0.4</v>
      </c>
      <c r="M2672" t="s">
        <v>125</v>
      </c>
      <c r="N2672" t="s">
        <v>361</v>
      </c>
    </row>
    <row r="2673" spans="1:14">
      <c r="A2673" t="s">
        <v>152</v>
      </c>
      <c r="B2673">
        <v>1197831</v>
      </c>
      <c r="C2673" s="2">
        <v>44219</v>
      </c>
      <c r="D2673" t="s">
        <v>139</v>
      </c>
      <c r="E2673" t="s">
        <v>229</v>
      </c>
      <c r="F2673" t="s">
        <v>238</v>
      </c>
      <c r="G2673" t="s">
        <v>148</v>
      </c>
      <c r="H2673" s="3">
        <v>0.2</v>
      </c>
      <c r="I2673">
        <v>2250</v>
      </c>
      <c r="J2673" s="4">
        <v>450</v>
      </c>
      <c r="K2673" s="4">
        <v>180</v>
      </c>
      <c r="L2673" s="5">
        <v>0.4</v>
      </c>
      <c r="M2673" t="s">
        <v>125</v>
      </c>
      <c r="N2673" t="s">
        <v>361</v>
      </c>
    </row>
    <row r="2674" spans="1:14">
      <c r="A2674" t="s">
        <v>152</v>
      </c>
      <c r="B2674">
        <v>1197831</v>
      </c>
      <c r="C2674" s="2">
        <v>44219</v>
      </c>
      <c r="D2674" t="s">
        <v>139</v>
      </c>
      <c r="E2674" t="s">
        <v>229</v>
      </c>
      <c r="F2674" t="s">
        <v>238</v>
      </c>
      <c r="G2674" t="s">
        <v>147</v>
      </c>
      <c r="H2674" s="3">
        <v>0.35000000000000003</v>
      </c>
      <c r="I2674">
        <v>2750</v>
      </c>
      <c r="J2674" s="4">
        <v>962.50000000000011</v>
      </c>
      <c r="K2674" s="4">
        <v>336.875</v>
      </c>
      <c r="L2674" s="5">
        <v>0.35</v>
      </c>
      <c r="M2674" t="s">
        <v>125</v>
      </c>
      <c r="N2674" t="s">
        <v>361</v>
      </c>
    </row>
    <row r="2675" spans="1:14">
      <c r="A2675" t="s">
        <v>152</v>
      </c>
      <c r="B2675">
        <v>1197831</v>
      </c>
      <c r="C2675" s="2">
        <v>44219</v>
      </c>
      <c r="D2675" t="s">
        <v>139</v>
      </c>
      <c r="E2675" t="s">
        <v>229</v>
      </c>
      <c r="F2675" t="s">
        <v>238</v>
      </c>
      <c r="G2675" t="s">
        <v>144</v>
      </c>
      <c r="H2675" s="3">
        <v>0.25000000000000006</v>
      </c>
      <c r="I2675">
        <v>3750</v>
      </c>
      <c r="J2675" s="4">
        <v>937.50000000000023</v>
      </c>
      <c r="K2675" s="4">
        <v>375.00000000000011</v>
      </c>
      <c r="L2675" s="5">
        <v>0.4</v>
      </c>
      <c r="M2675" t="s">
        <v>125</v>
      </c>
      <c r="N2675" t="s">
        <v>361</v>
      </c>
    </row>
    <row r="2676" spans="1:14">
      <c r="A2676" t="s">
        <v>152</v>
      </c>
      <c r="B2676">
        <v>1197831</v>
      </c>
      <c r="C2676" s="2">
        <v>44248</v>
      </c>
      <c r="D2676" t="s">
        <v>139</v>
      </c>
      <c r="E2676" t="s">
        <v>229</v>
      </c>
      <c r="F2676" t="s">
        <v>238</v>
      </c>
      <c r="G2676" t="s">
        <v>27</v>
      </c>
      <c r="H2676" s="3">
        <v>0.25000000000000006</v>
      </c>
      <c r="I2676">
        <v>6250</v>
      </c>
      <c r="J2676" s="4">
        <v>1562.5000000000005</v>
      </c>
      <c r="K2676" s="4">
        <v>625.00000000000023</v>
      </c>
      <c r="L2676" s="5">
        <v>0.4</v>
      </c>
      <c r="M2676" t="s">
        <v>126</v>
      </c>
      <c r="N2676" t="s">
        <v>361</v>
      </c>
    </row>
    <row r="2677" spans="1:14">
      <c r="A2677" t="s">
        <v>152</v>
      </c>
      <c r="B2677">
        <v>1197831</v>
      </c>
      <c r="C2677" s="2">
        <v>44248</v>
      </c>
      <c r="D2677" t="s">
        <v>139</v>
      </c>
      <c r="E2677" t="s">
        <v>229</v>
      </c>
      <c r="F2677" t="s">
        <v>238</v>
      </c>
      <c r="G2677" t="s">
        <v>145</v>
      </c>
      <c r="H2677" s="3">
        <v>0.25000000000000006</v>
      </c>
      <c r="I2677">
        <v>2750</v>
      </c>
      <c r="J2677" s="4">
        <v>687.50000000000011</v>
      </c>
      <c r="K2677" s="4">
        <v>240.62500000000003</v>
      </c>
      <c r="L2677" s="5">
        <v>0.35</v>
      </c>
      <c r="M2677" t="s">
        <v>126</v>
      </c>
      <c r="N2677" t="s">
        <v>361</v>
      </c>
    </row>
    <row r="2678" spans="1:14">
      <c r="A2678" t="s">
        <v>152</v>
      </c>
      <c r="B2678">
        <v>1197831</v>
      </c>
      <c r="C2678" s="2">
        <v>44248</v>
      </c>
      <c r="D2678" t="s">
        <v>139</v>
      </c>
      <c r="E2678" t="s">
        <v>229</v>
      </c>
      <c r="F2678" t="s">
        <v>238</v>
      </c>
      <c r="G2678" t="s">
        <v>146</v>
      </c>
      <c r="H2678" s="3">
        <v>0.15000000000000008</v>
      </c>
      <c r="I2678">
        <v>3250</v>
      </c>
      <c r="J2678" s="4">
        <v>487.50000000000023</v>
      </c>
      <c r="K2678" s="4">
        <v>195.00000000000011</v>
      </c>
      <c r="L2678" s="5">
        <v>0.4</v>
      </c>
      <c r="M2678" t="s">
        <v>126</v>
      </c>
      <c r="N2678" t="s">
        <v>361</v>
      </c>
    </row>
    <row r="2679" spans="1:14">
      <c r="A2679" t="s">
        <v>152</v>
      </c>
      <c r="B2679">
        <v>1197831</v>
      </c>
      <c r="C2679" s="2">
        <v>44248</v>
      </c>
      <c r="D2679" t="s">
        <v>139</v>
      </c>
      <c r="E2679" t="s">
        <v>229</v>
      </c>
      <c r="F2679" t="s">
        <v>238</v>
      </c>
      <c r="G2679" t="s">
        <v>148</v>
      </c>
      <c r="H2679" s="3">
        <v>0.2</v>
      </c>
      <c r="I2679">
        <v>1750</v>
      </c>
      <c r="J2679" s="4">
        <v>350</v>
      </c>
      <c r="K2679" s="4">
        <v>140</v>
      </c>
      <c r="L2679" s="5">
        <v>0.4</v>
      </c>
      <c r="M2679" t="s">
        <v>126</v>
      </c>
      <c r="N2679" t="s">
        <v>361</v>
      </c>
    </row>
    <row r="2680" spans="1:14">
      <c r="A2680" t="s">
        <v>152</v>
      </c>
      <c r="B2680">
        <v>1197831</v>
      </c>
      <c r="C2680" s="2">
        <v>44248</v>
      </c>
      <c r="D2680" t="s">
        <v>139</v>
      </c>
      <c r="E2680" t="s">
        <v>229</v>
      </c>
      <c r="F2680" t="s">
        <v>238</v>
      </c>
      <c r="G2680" t="s">
        <v>147</v>
      </c>
      <c r="H2680" s="3">
        <v>0.35000000000000003</v>
      </c>
      <c r="I2680">
        <v>2500</v>
      </c>
      <c r="J2680" s="4">
        <v>875.00000000000011</v>
      </c>
      <c r="K2680" s="4">
        <v>306.25</v>
      </c>
      <c r="L2680" s="5">
        <v>0.35</v>
      </c>
      <c r="M2680" t="s">
        <v>126</v>
      </c>
      <c r="N2680" t="s">
        <v>361</v>
      </c>
    </row>
    <row r="2681" spans="1:14">
      <c r="A2681" t="s">
        <v>152</v>
      </c>
      <c r="B2681">
        <v>1197831</v>
      </c>
      <c r="C2681" s="2">
        <v>44248</v>
      </c>
      <c r="D2681" t="s">
        <v>139</v>
      </c>
      <c r="E2681" t="s">
        <v>229</v>
      </c>
      <c r="F2681" t="s">
        <v>238</v>
      </c>
      <c r="G2681" t="s">
        <v>144</v>
      </c>
      <c r="H2681" s="3">
        <v>0.2</v>
      </c>
      <c r="I2681">
        <v>3500</v>
      </c>
      <c r="J2681" s="4">
        <v>700</v>
      </c>
      <c r="K2681" s="4">
        <v>280</v>
      </c>
      <c r="L2681" s="5">
        <v>0.4</v>
      </c>
      <c r="M2681" t="s">
        <v>126</v>
      </c>
      <c r="N2681" t="s">
        <v>361</v>
      </c>
    </row>
    <row r="2682" spans="1:14">
      <c r="A2682" t="s">
        <v>152</v>
      </c>
      <c r="B2682">
        <v>1197831</v>
      </c>
      <c r="C2682" s="2">
        <v>44274</v>
      </c>
      <c r="D2682" t="s">
        <v>139</v>
      </c>
      <c r="E2682" t="s">
        <v>229</v>
      </c>
      <c r="F2682" t="s">
        <v>238</v>
      </c>
      <c r="G2682" t="s">
        <v>27</v>
      </c>
      <c r="H2682" s="3">
        <v>0.2</v>
      </c>
      <c r="I2682">
        <v>5700</v>
      </c>
      <c r="J2682" s="4">
        <v>1140</v>
      </c>
      <c r="K2682" s="4">
        <v>456</v>
      </c>
      <c r="L2682" s="5">
        <v>0.4</v>
      </c>
      <c r="M2682" t="s">
        <v>24</v>
      </c>
      <c r="N2682" t="s">
        <v>361</v>
      </c>
    </row>
    <row r="2683" spans="1:14">
      <c r="A2683" t="s">
        <v>152</v>
      </c>
      <c r="B2683">
        <v>1197831</v>
      </c>
      <c r="C2683" s="2">
        <v>44274</v>
      </c>
      <c r="D2683" t="s">
        <v>139</v>
      </c>
      <c r="E2683" t="s">
        <v>229</v>
      </c>
      <c r="F2683" t="s">
        <v>238</v>
      </c>
      <c r="G2683" t="s">
        <v>145</v>
      </c>
      <c r="H2683" s="3">
        <v>0.2</v>
      </c>
      <c r="I2683">
        <v>2500</v>
      </c>
      <c r="J2683" s="4">
        <v>500</v>
      </c>
      <c r="K2683" s="4">
        <v>175</v>
      </c>
      <c r="L2683" s="5">
        <v>0.35</v>
      </c>
      <c r="M2683" t="s">
        <v>24</v>
      </c>
      <c r="N2683" t="s">
        <v>361</v>
      </c>
    </row>
    <row r="2684" spans="1:14">
      <c r="A2684" t="s">
        <v>152</v>
      </c>
      <c r="B2684">
        <v>1197831</v>
      </c>
      <c r="C2684" s="2">
        <v>44274</v>
      </c>
      <c r="D2684" t="s">
        <v>139</v>
      </c>
      <c r="E2684" t="s">
        <v>229</v>
      </c>
      <c r="F2684" t="s">
        <v>238</v>
      </c>
      <c r="G2684" t="s">
        <v>146</v>
      </c>
      <c r="H2684" s="3">
        <v>0.10000000000000002</v>
      </c>
      <c r="I2684">
        <v>2750</v>
      </c>
      <c r="J2684" s="4">
        <v>275.00000000000006</v>
      </c>
      <c r="K2684" s="4">
        <v>110.00000000000003</v>
      </c>
      <c r="L2684" s="5">
        <v>0.4</v>
      </c>
      <c r="M2684" t="s">
        <v>24</v>
      </c>
      <c r="N2684" t="s">
        <v>361</v>
      </c>
    </row>
    <row r="2685" spans="1:14">
      <c r="A2685" t="s">
        <v>152</v>
      </c>
      <c r="B2685">
        <v>1197831</v>
      </c>
      <c r="C2685" s="2">
        <v>44274</v>
      </c>
      <c r="D2685" t="s">
        <v>139</v>
      </c>
      <c r="E2685" t="s">
        <v>229</v>
      </c>
      <c r="F2685" t="s">
        <v>238</v>
      </c>
      <c r="G2685" t="s">
        <v>148</v>
      </c>
      <c r="H2685" s="3">
        <v>0.19999999999999996</v>
      </c>
      <c r="I2685">
        <v>1250</v>
      </c>
      <c r="J2685" s="4">
        <v>249.99999999999994</v>
      </c>
      <c r="K2685" s="4">
        <v>99.999999999999986</v>
      </c>
      <c r="L2685" s="5">
        <v>0.4</v>
      </c>
      <c r="M2685" t="s">
        <v>24</v>
      </c>
      <c r="N2685" t="s">
        <v>361</v>
      </c>
    </row>
    <row r="2686" spans="1:14">
      <c r="A2686" t="s">
        <v>152</v>
      </c>
      <c r="B2686">
        <v>1197831</v>
      </c>
      <c r="C2686" s="2">
        <v>44274</v>
      </c>
      <c r="D2686" t="s">
        <v>139</v>
      </c>
      <c r="E2686" t="s">
        <v>229</v>
      </c>
      <c r="F2686" t="s">
        <v>238</v>
      </c>
      <c r="G2686" t="s">
        <v>147</v>
      </c>
      <c r="H2686" s="3">
        <v>0.35000000000000009</v>
      </c>
      <c r="I2686">
        <v>1750</v>
      </c>
      <c r="J2686" s="4">
        <v>612.50000000000011</v>
      </c>
      <c r="K2686" s="4">
        <v>214.37500000000003</v>
      </c>
      <c r="L2686" s="5">
        <v>0.35</v>
      </c>
      <c r="M2686" t="s">
        <v>24</v>
      </c>
      <c r="N2686" t="s">
        <v>361</v>
      </c>
    </row>
    <row r="2687" spans="1:14">
      <c r="A2687" t="s">
        <v>152</v>
      </c>
      <c r="B2687">
        <v>1197831</v>
      </c>
      <c r="C2687" s="2">
        <v>44274</v>
      </c>
      <c r="D2687" t="s">
        <v>139</v>
      </c>
      <c r="E2687" t="s">
        <v>229</v>
      </c>
      <c r="F2687" t="s">
        <v>238</v>
      </c>
      <c r="G2687" t="s">
        <v>144</v>
      </c>
      <c r="H2687" s="3">
        <v>0.25</v>
      </c>
      <c r="I2687">
        <v>2750</v>
      </c>
      <c r="J2687" s="4">
        <v>687.5</v>
      </c>
      <c r="K2687" s="4">
        <v>275</v>
      </c>
      <c r="L2687" s="5">
        <v>0.4</v>
      </c>
      <c r="M2687" t="s">
        <v>24</v>
      </c>
      <c r="N2687" t="s">
        <v>361</v>
      </c>
    </row>
    <row r="2688" spans="1:14">
      <c r="A2688" t="s">
        <v>152</v>
      </c>
      <c r="B2688">
        <v>1197831</v>
      </c>
      <c r="C2688" s="2">
        <v>44306</v>
      </c>
      <c r="D2688" t="s">
        <v>139</v>
      </c>
      <c r="E2688" t="s">
        <v>229</v>
      </c>
      <c r="F2688" t="s">
        <v>238</v>
      </c>
      <c r="G2688" t="s">
        <v>27</v>
      </c>
      <c r="H2688" s="3">
        <v>0.25</v>
      </c>
      <c r="I2688">
        <v>5250</v>
      </c>
      <c r="J2688" s="4">
        <v>1312.5</v>
      </c>
      <c r="K2688" s="4">
        <v>525</v>
      </c>
      <c r="L2688" s="5">
        <v>0.4</v>
      </c>
      <c r="M2688" t="s">
        <v>127</v>
      </c>
      <c r="N2688" t="s">
        <v>362</v>
      </c>
    </row>
    <row r="2689" spans="1:14">
      <c r="A2689" t="s">
        <v>152</v>
      </c>
      <c r="B2689">
        <v>1197831</v>
      </c>
      <c r="C2689" s="2">
        <v>44306</v>
      </c>
      <c r="D2689" t="s">
        <v>139</v>
      </c>
      <c r="E2689" t="s">
        <v>229</v>
      </c>
      <c r="F2689" t="s">
        <v>238</v>
      </c>
      <c r="G2689" t="s">
        <v>145</v>
      </c>
      <c r="H2689" s="3">
        <v>0.25</v>
      </c>
      <c r="I2689">
        <v>2250</v>
      </c>
      <c r="J2689" s="4">
        <v>562.5</v>
      </c>
      <c r="K2689" s="4">
        <v>196.875</v>
      </c>
      <c r="L2689" s="5">
        <v>0.35</v>
      </c>
      <c r="M2689" t="s">
        <v>127</v>
      </c>
      <c r="N2689" t="s">
        <v>362</v>
      </c>
    </row>
    <row r="2690" spans="1:14">
      <c r="A2690" t="s">
        <v>152</v>
      </c>
      <c r="B2690">
        <v>1197831</v>
      </c>
      <c r="C2690" s="2">
        <v>44306</v>
      </c>
      <c r="D2690" t="s">
        <v>139</v>
      </c>
      <c r="E2690" t="s">
        <v>229</v>
      </c>
      <c r="F2690" t="s">
        <v>238</v>
      </c>
      <c r="G2690" t="s">
        <v>146</v>
      </c>
      <c r="H2690" s="3">
        <v>0.15000000000000002</v>
      </c>
      <c r="I2690">
        <v>2250</v>
      </c>
      <c r="J2690" s="4">
        <v>337.50000000000006</v>
      </c>
      <c r="K2690" s="4">
        <v>135.00000000000003</v>
      </c>
      <c r="L2690" s="5">
        <v>0.4</v>
      </c>
      <c r="M2690" t="s">
        <v>127</v>
      </c>
      <c r="N2690" t="s">
        <v>362</v>
      </c>
    </row>
    <row r="2691" spans="1:14">
      <c r="A2691" t="s">
        <v>152</v>
      </c>
      <c r="B2691">
        <v>1197831</v>
      </c>
      <c r="C2691" s="2">
        <v>44306</v>
      </c>
      <c r="D2691" t="s">
        <v>139</v>
      </c>
      <c r="E2691" t="s">
        <v>229</v>
      </c>
      <c r="F2691" t="s">
        <v>238</v>
      </c>
      <c r="G2691" t="s">
        <v>148</v>
      </c>
      <c r="H2691" s="3">
        <v>0.19999999999999996</v>
      </c>
      <c r="I2691">
        <v>1500</v>
      </c>
      <c r="J2691" s="4">
        <v>299.99999999999994</v>
      </c>
      <c r="K2691" s="4">
        <v>119.99999999999999</v>
      </c>
      <c r="L2691" s="5">
        <v>0.4</v>
      </c>
      <c r="M2691" t="s">
        <v>127</v>
      </c>
      <c r="N2691" t="s">
        <v>362</v>
      </c>
    </row>
    <row r="2692" spans="1:14">
      <c r="A2692" t="s">
        <v>152</v>
      </c>
      <c r="B2692">
        <v>1197831</v>
      </c>
      <c r="C2692" s="2">
        <v>44306</v>
      </c>
      <c r="D2692" t="s">
        <v>139</v>
      </c>
      <c r="E2692" t="s">
        <v>229</v>
      </c>
      <c r="F2692" t="s">
        <v>238</v>
      </c>
      <c r="G2692" t="s">
        <v>147</v>
      </c>
      <c r="H2692" s="3">
        <v>0.4</v>
      </c>
      <c r="I2692">
        <v>1750</v>
      </c>
      <c r="J2692" s="4">
        <v>700</v>
      </c>
      <c r="K2692" s="4">
        <v>244.99999999999997</v>
      </c>
      <c r="L2692" s="5">
        <v>0.35</v>
      </c>
      <c r="M2692" t="s">
        <v>127</v>
      </c>
      <c r="N2692" t="s">
        <v>362</v>
      </c>
    </row>
    <row r="2693" spans="1:14">
      <c r="A2693" t="s">
        <v>152</v>
      </c>
      <c r="B2693">
        <v>1197831</v>
      </c>
      <c r="C2693" s="2">
        <v>44306</v>
      </c>
      <c r="D2693" t="s">
        <v>139</v>
      </c>
      <c r="E2693" t="s">
        <v>229</v>
      </c>
      <c r="F2693" t="s">
        <v>238</v>
      </c>
      <c r="G2693" t="s">
        <v>144</v>
      </c>
      <c r="H2693" s="3">
        <v>0.30000000000000004</v>
      </c>
      <c r="I2693">
        <v>3250</v>
      </c>
      <c r="J2693" s="4">
        <v>975.00000000000011</v>
      </c>
      <c r="K2693" s="4">
        <v>390.00000000000006</v>
      </c>
      <c r="L2693" s="5">
        <v>0.4</v>
      </c>
      <c r="M2693" t="s">
        <v>127</v>
      </c>
      <c r="N2693" t="s">
        <v>362</v>
      </c>
    </row>
    <row r="2694" spans="1:14">
      <c r="A2694" t="s">
        <v>152</v>
      </c>
      <c r="B2694">
        <v>1197831</v>
      </c>
      <c r="C2694" s="2">
        <v>44335</v>
      </c>
      <c r="D2694" t="s">
        <v>139</v>
      </c>
      <c r="E2694" t="s">
        <v>229</v>
      </c>
      <c r="F2694" t="s">
        <v>238</v>
      </c>
      <c r="G2694" t="s">
        <v>27</v>
      </c>
      <c r="H2694" s="3">
        <v>0.4</v>
      </c>
      <c r="I2694">
        <v>5950</v>
      </c>
      <c r="J2694" s="4">
        <v>2380</v>
      </c>
      <c r="K2694" s="4">
        <v>952</v>
      </c>
      <c r="L2694" s="5">
        <v>0.4</v>
      </c>
      <c r="M2694" t="s">
        <v>128</v>
      </c>
      <c r="N2694" t="s">
        <v>362</v>
      </c>
    </row>
    <row r="2695" spans="1:14">
      <c r="A2695" t="s">
        <v>152</v>
      </c>
      <c r="B2695">
        <v>1197831</v>
      </c>
      <c r="C2695" s="2">
        <v>44335</v>
      </c>
      <c r="D2695" t="s">
        <v>139</v>
      </c>
      <c r="E2695" t="s">
        <v>229</v>
      </c>
      <c r="F2695" t="s">
        <v>238</v>
      </c>
      <c r="G2695" t="s">
        <v>145</v>
      </c>
      <c r="H2695" s="3">
        <v>0.4</v>
      </c>
      <c r="I2695">
        <v>3000</v>
      </c>
      <c r="J2695" s="4">
        <v>1200</v>
      </c>
      <c r="K2695" s="4">
        <v>420</v>
      </c>
      <c r="L2695" s="5">
        <v>0.35</v>
      </c>
      <c r="M2695" t="s">
        <v>128</v>
      </c>
      <c r="N2695" t="s">
        <v>362</v>
      </c>
    </row>
    <row r="2696" spans="1:14">
      <c r="A2696" t="s">
        <v>152</v>
      </c>
      <c r="B2696">
        <v>1197831</v>
      </c>
      <c r="C2696" s="2">
        <v>44335</v>
      </c>
      <c r="D2696" t="s">
        <v>139</v>
      </c>
      <c r="E2696" t="s">
        <v>229</v>
      </c>
      <c r="F2696" t="s">
        <v>238</v>
      </c>
      <c r="G2696" t="s">
        <v>146</v>
      </c>
      <c r="H2696" s="3">
        <v>0.35000000000000003</v>
      </c>
      <c r="I2696">
        <v>2750</v>
      </c>
      <c r="J2696" s="4">
        <v>962.50000000000011</v>
      </c>
      <c r="K2696" s="4">
        <v>385.00000000000006</v>
      </c>
      <c r="L2696" s="5">
        <v>0.4</v>
      </c>
      <c r="M2696" t="s">
        <v>128</v>
      </c>
      <c r="N2696" t="s">
        <v>362</v>
      </c>
    </row>
    <row r="2697" spans="1:14">
      <c r="A2697" t="s">
        <v>152</v>
      </c>
      <c r="B2697">
        <v>1197831</v>
      </c>
      <c r="C2697" s="2">
        <v>44335</v>
      </c>
      <c r="D2697" t="s">
        <v>139</v>
      </c>
      <c r="E2697" t="s">
        <v>229</v>
      </c>
      <c r="F2697" t="s">
        <v>238</v>
      </c>
      <c r="G2697" t="s">
        <v>148</v>
      </c>
      <c r="H2697" s="3">
        <v>0.35000000000000003</v>
      </c>
      <c r="I2697">
        <v>2250</v>
      </c>
      <c r="J2697" s="4">
        <v>787.50000000000011</v>
      </c>
      <c r="K2697" s="4">
        <v>315.00000000000006</v>
      </c>
      <c r="L2697" s="5">
        <v>0.4</v>
      </c>
      <c r="M2697" t="s">
        <v>128</v>
      </c>
      <c r="N2697" t="s">
        <v>362</v>
      </c>
    </row>
    <row r="2698" spans="1:14">
      <c r="A2698" t="s">
        <v>152</v>
      </c>
      <c r="B2698">
        <v>1197831</v>
      </c>
      <c r="C2698" s="2">
        <v>44335</v>
      </c>
      <c r="D2698" t="s">
        <v>139</v>
      </c>
      <c r="E2698" t="s">
        <v>229</v>
      </c>
      <c r="F2698" t="s">
        <v>238</v>
      </c>
      <c r="G2698" t="s">
        <v>147</v>
      </c>
      <c r="H2698" s="3">
        <v>0.44999999999999996</v>
      </c>
      <c r="I2698">
        <v>2500</v>
      </c>
      <c r="J2698" s="4">
        <v>1125</v>
      </c>
      <c r="K2698" s="4">
        <v>393.75</v>
      </c>
      <c r="L2698" s="5">
        <v>0.35</v>
      </c>
      <c r="M2698" t="s">
        <v>128</v>
      </c>
      <c r="N2698" t="s">
        <v>362</v>
      </c>
    </row>
    <row r="2699" spans="1:14">
      <c r="A2699" t="s">
        <v>152</v>
      </c>
      <c r="B2699">
        <v>1197831</v>
      </c>
      <c r="C2699" s="2">
        <v>44335</v>
      </c>
      <c r="D2699" t="s">
        <v>139</v>
      </c>
      <c r="E2699" t="s">
        <v>229</v>
      </c>
      <c r="F2699" t="s">
        <v>238</v>
      </c>
      <c r="G2699" t="s">
        <v>144</v>
      </c>
      <c r="H2699" s="3">
        <v>0.44999999999999996</v>
      </c>
      <c r="I2699">
        <v>3500</v>
      </c>
      <c r="J2699" s="4">
        <v>1574.9999999999998</v>
      </c>
      <c r="K2699" s="4">
        <v>630</v>
      </c>
      <c r="L2699" s="5">
        <v>0.4</v>
      </c>
      <c r="M2699" t="s">
        <v>128</v>
      </c>
      <c r="N2699" t="s">
        <v>362</v>
      </c>
    </row>
    <row r="2700" spans="1:14">
      <c r="A2700" t="s">
        <v>152</v>
      </c>
      <c r="B2700">
        <v>1197831</v>
      </c>
      <c r="C2700" s="2">
        <v>44368</v>
      </c>
      <c r="D2700" t="s">
        <v>139</v>
      </c>
      <c r="E2700" t="s">
        <v>229</v>
      </c>
      <c r="F2700" t="s">
        <v>238</v>
      </c>
      <c r="G2700" t="s">
        <v>27</v>
      </c>
      <c r="H2700" s="3">
        <v>0.39999999999999997</v>
      </c>
      <c r="I2700">
        <v>6000</v>
      </c>
      <c r="J2700" s="4">
        <v>2400</v>
      </c>
      <c r="K2700" s="4">
        <v>960</v>
      </c>
      <c r="L2700" s="5">
        <v>0.4</v>
      </c>
      <c r="M2700" t="s">
        <v>129</v>
      </c>
      <c r="N2700" t="s">
        <v>362</v>
      </c>
    </row>
    <row r="2701" spans="1:14">
      <c r="A2701" t="s">
        <v>152</v>
      </c>
      <c r="B2701">
        <v>1197831</v>
      </c>
      <c r="C2701" s="2">
        <v>44368</v>
      </c>
      <c r="D2701" t="s">
        <v>139</v>
      </c>
      <c r="E2701" t="s">
        <v>229</v>
      </c>
      <c r="F2701" t="s">
        <v>238</v>
      </c>
      <c r="G2701" t="s">
        <v>145</v>
      </c>
      <c r="H2701" s="3">
        <v>0.35000000000000003</v>
      </c>
      <c r="I2701">
        <v>3500</v>
      </c>
      <c r="J2701" s="4">
        <v>1225.0000000000002</v>
      </c>
      <c r="K2701" s="4">
        <v>428.75000000000006</v>
      </c>
      <c r="L2701" s="5">
        <v>0.35</v>
      </c>
      <c r="M2701" t="s">
        <v>129</v>
      </c>
      <c r="N2701" t="s">
        <v>362</v>
      </c>
    </row>
    <row r="2702" spans="1:14">
      <c r="A2702" t="s">
        <v>152</v>
      </c>
      <c r="B2702">
        <v>1197831</v>
      </c>
      <c r="C2702" s="2">
        <v>44368</v>
      </c>
      <c r="D2702" t="s">
        <v>139</v>
      </c>
      <c r="E2702" t="s">
        <v>229</v>
      </c>
      <c r="F2702" t="s">
        <v>238</v>
      </c>
      <c r="G2702" t="s">
        <v>146</v>
      </c>
      <c r="H2702" s="3">
        <v>0.4</v>
      </c>
      <c r="I2702">
        <v>3250</v>
      </c>
      <c r="J2702" s="4">
        <v>1300</v>
      </c>
      <c r="K2702" s="4">
        <v>520</v>
      </c>
      <c r="L2702" s="5">
        <v>0.4</v>
      </c>
      <c r="M2702" t="s">
        <v>129</v>
      </c>
      <c r="N2702" t="s">
        <v>362</v>
      </c>
    </row>
    <row r="2703" spans="1:14">
      <c r="A2703" t="s">
        <v>152</v>
      </c>
      <c r="B2703">
        <v>1197831</v>
      </c>
      <c r="C2703" s="2">
        <v>44368</v>
      </c>
      <c r="D2703" t="s">
        <v>139</v>
      </c>
      <c r="E2703" t="s">
        <v>229</v>
      </c>
      <c r="F2703" t="s">
        <v>238</v>
      </c>
      <c r="G2703" t="s">
        <v>148</v>
      </c>
      <c r="H2703" s="3">
        <v>0.4</v>
      </c>
      <c r="I2703">
        <v>3000</v>
      </c>
      <c r="J2703" s="4">
        <v>1200</v>
      </c>
      <c r="K2703" s="4">
        <v>480</v>
      </c>
      <c r="L2703" s="5">
        <v>0.4</v>
      </c>
      <c r="M2703" t="s">
        <v>129</v>
      </c>
      <c r="N2703" t="s">
        <v>362</v>
      </c>
    </row>
    <row r="2704" spans="1:14">
      <c r="A2704" t="s">
        <v>152</v>
      </c>
      <c r="B2704">
        <v>1197831</v>
      </c>
      <c r="C2704" s="2">
        <v>44368</v>
      </c>
      <c r="D2704" t="s">
        <v>139</v>
      </c>
      <c r="E2704" t="s">
        <v>229</v>
      </c>
      <c r="F2704" t="s">
        <v>238</v>
      </c>
      <c r="G2704" t="s">
        <v>147</v>
      </c>
      <c r="H2704" s="3">
        <v>0.54999999999999993</v>
      </c>
      <c r="I2704">
        <v>3000</v>
      </c>
      <c r="J2704" s="4">
        <v>1649.9999999999998</v>
      </c>
      <c r="K2704" s="4">
        <v>577.49999999999989</v>
      </c>
      <c r="L2704" s="5">
        <v>0.35</v>
      </c>
      <c r="M2704" t="s">
        <v>129</v>
      </c>
      <c r="N2704" t="s">
        <v>362</v>
      </c>
    </row>
    <row r="2705" spans="1:14">
      <c r="A2705" t="s">
        <v>152</v>
      </c>
      <c r="B2705">
        <v>1197831</v>
      </c>
      <c r="C2705" s="2">
        <v>44368</v>
      </c>
      <c r="D2705" t="s">
        <v>139</v>
      </c>
      <c r="E2705" t="s">
        <v>229</v>
      </c>
      <c r="F2705" t="s">
        <v>238</v>
      </c>
      <c r="G2705" t="s">
        <v>144</v>
      </c>
      <c r="H2705" s="3">
        <v>0.6</v>
      </c>
      <c r="I2705">
        <v>4750</v>
      </c>
      <c r="J2705" s="4">
        <v>2850</v>
      </c>
      <c r="K2705" s="4">
        <v>1140</v>
      </c>
      <c r="L2705" s="5">
        <v>0.4</v>
      </c>
      <c r="M2705" t="s">
        <v>129</v>
      </c>
      <c r="N2705" t="s">
        <v>362</v>
      </c>
    </row>
    <row r="2706" spans="1:14">
      <c r="A2706" t="s">
        <v>152</v>
      </c>
      <c r="B2706">
        <v>1197831</v>
      </c>
      <c r="C2706" s="2">
        <v>44396</v>
      </c>
      <c r="D2706" t="s">
        <v>139</v>
      </c>
      <c r="E2706" t="s">
        <v>229</v>
      </c>
      <c r="F2706" t="s">
        <v>238</v>
      </c>
      <c r="G2706" t="s">
        <v>27</v>
      </c>
      <c r="H2706" s="3">
        <v>0.54999999999999993</v>
      </c>
      <c r="I2706">
        <v>7000</v>
      </c>
      <c r="J2706" s="4">
        <v>3849.9999999999995</v>
      </c>
      <c r="K2706" s="4">
        <v>1540</v>
      </c>
      <c r="L2706" s="5">
        <v>0.4</v>
      </c>
      <c r="M2706" t="s">
        <v>130</v>
      </c>
      <c r="N2706" t="s">
        <v>363</v>
      </c>
    </row>
    <row r="2707" spans="1:14">
      <c r="A2707" t="s">
        <v>152</v>
      </c>
      <c r="B2707">
        <v>1197831</v>
      </c>
      <c r="C2707" s="2">
        <v>44396</v>
      </c>
      <c r="D2707" t="s">
        <v>139</v>
      </c>
      <c r="E2707" t="s">
        <v>229</v>
      </c>
      <c r="F2707" t="s">
        <v>238</v>
      </c>
      <c r="G2707" t="s">
        <v>145</v>
      </c>
      <c r="H2707" s="3">
        <v>0.5</v>
      </c>
      <c r="I2707">
        <v>4500</v>
      </c>
      <c r="J2707" s="4">
        <v>2250</v>
      </c>
      <c r="K2707" s="4">
        <v>787.5</v>
      </c>
      <c r="L2707" s="5">
        <v>0.35</v>
      </c>
      <c r="M2707" t="s">
        <v>130</v>
      </c>
      <c r="N2707" t="s">
        <v>363</v>
      </c>
    </row>
    <row r="2708" spans="1:14">
      <c r="A2708" t="s">
        <v>152</v>
      </c>
      <c r="B2708">
        <v>1197831</v>
      </c>
      <c r="C2708" s="2">
        <v>44396</v>
      </c>
      <c r="D2708" t="s">
        <v>139</v>
      </c>
      <c r="E2708" t="s">
        <v>229</v>
      </c>
      <c r="F2708" t="s">
        <v>238</v>
      </c>
      <c r="G2708" t="s">
        <v>146</v>
      </c>
      <c r="H2708" s="3">
        <v>0.45</v>
      </c>
      <c r="I2708">
        <v>3750</v>
      </c>
      <c r="J2708" s="4">
        <v>1687.5</v>
      </c>
      <c r="K2708" s="4">
        <v>675</v>
      </c>
      <c r="L2708" s="5">
        <v>0.4</v>
      </c>
      <c r="M2708" t="s">
        <v>130</v>
      </c>
      <c r="N2708" t="s">
        <v>363</v>
      </c>
    </row>
    <row r="2709" spans="1:14">
      <c r="A2709" t="s">
        <v>152</v>
      </c>
      <c r="B2709">
        <v>1197831</v>
      </c>
      <c r="C2709" s="2">
        <v>44396</v>
      </c>
      <c r="D2709" t="s">
        <v>139</v>
      </c>
      <c r="E2709" t="s">
        <v>229</v>
      </c>
      <c r="F2709" t="s">
        <v>238</v>
      </c>
      <c r="G2709" t="s">
        <v>148</v>
      </c>
      <c r="H2709" s="3">
        <v>0.45</v>
      </c>
      <c r="I2709">
        <v>3250</v>
      </c>
      <c r="J2709" s="4">
        <v>1462.5</v>
      </c>
      <c r="K2709" s="4">
        <v>585</v>
      </c>
      <c r="L2709" s="5">
        <v>0.4</v>
      </c>
      <c r="M2709" t="s">
        <v>130</v>
      </c>
      <c r="N2709" t="s">
        <v>363</v>
      </c>
    </row>
    <row r="2710" spans="1:14">
      <c r="A2710" t="s">
        <v>152</v>
      </c>
      <c r="B2710">
        <v>1197831</v>
      </c>
      <c r="C2710" s="2">
        <v>44396</v>
      </c>
      <c r="D2710" t="s">
        <v>139</v>
      </c>
      <c r="E2710" t="s">
        <v>229</v>
      </c>
      <c r="F2710" t="s">
        <v>238</v>
      </c>
      <c r="G2710" t="s">
        <v>147</v>
      </c>
      <c r="H2710" s="3">
        <v>0.6</v>
      </c>
      <c r="I2710">
        <v>3500</v>
      </c>
      <c r="J2710" s="4">
        <v>2100</v>
      </c>
      <c r="K2710" s="4">
        <v>735</v>
      </c>
      <c r="L2710" s="5">
        <v>0.35</v>
      </c>
      <c r="M2710" t="s">
        <v>130</v>
      </c>
      <c r="N2710" t="s">
        <v>363</v>
      </c>
    </row>
    <row r="2711" spans="1:14">
      <c r="A2711" t="s">
        <v>152</v>
      </c>
      <c r="B2711">
        <v>1197831</v>
      </c>
      <c r="C2711" s="2">
        <v>44396</v>
      </c>
      <c r="D2711" t="s">
        <v>139</v>
      </c>
      <c r="E2711" t="s">
        <v>229</v>
      </c>
      <c r="F2711" t="s">
        <v>238</v>
      </c>
      <c r="G2711" t="s">
        <v>144</v>
      </c>
      <c r="H2711" s="3">
        <v>0.65</v>
      </c>
      <c r="I2711">
        <v>5250</v>
      </c>
      <c r="J2711" s="4">
        <v>3412.5</v>
      </c>
      <c r="K2711" s="4">
        <v>1365</v>
      </c>
      <c r="L2711" s="5">
        <v>0.4</v>
      </c>
      <c r="M2711" t="s">
        <v>130</v>
      </c>
      <c r="N2711" t="s">
        <v>363</v>
      </c>
    </row>
    <row r="2712" spans="1:14">
      <c r="A2712" t="s">
        <v>152</v>
      </c>
      <c r="B2712">
        <v>1197831</v>
      </c>
      <c r="C2712" s="2">
        <v>44428</v>
      </c>
      <c r="D2712" t="s">
        <v>139</v>
      </c>
      <c r="E2712" t="s">
        <v>229</v>
      </c>
      <c r="F2712" t="s">
        <v>238</v>
      </c>
      <c r="G2712" t="s">
        <v>27</v>
      </c>
      <c r="H2712" s="3">
        <v>0.6</v>
      </c>
      <c r="I2712">
        <v>6750</v>
      </c>
      <c r="J2712" s="4">
        <v>4050</v>
      </c>
      <c r="K2712" s="4">
        <v>1620</v>
      </c>
      <c r="L2712" s="5">
        <v>0.4</v>
      </c>
      <c r="M2712" t="s">
        <v>131</v>
      </c>
      <c r="N2712" t="s">
        <v>363</v>
      </c>
    </row>
    <row r="2713" spans="1:14">
      <c r="A2713" t="s">
        <v>152</v>
      </c>
      <c r="B2713">
        <v>1197831</v>
      </c>
      <c r="C2713" s="2">
        <v>44428</v>
      </c>
      <c r="D2713" t="s">
        <v>139</v>
      </c>
      <c r="E2713" t="s">
        <v>229</v>
      </c>
      <c r="F2713" t="s">
        <v>238</v>
      </c>
      <c r="G2713" t="s">
        <v>145</v>
      </c>
      <c r="H2713" s="3">
        <v>0.55000000000000004</v>
      </c>
      <c r="I2713">
        <v>4500</v>
      </c>
      <c r="J2713" s="4">
        <v>2475</v>
      </c>
      <c r="K2713" s="4">
        <v>866.25</v>
      </c>
      <c r="L2713" s="5">
        <v>0.35</v>
      </c>
      <c r="M2713" t="s">
        <v>131</v>
      </c>
      <c r="N2713" t="s">
        <v>363</v>
      </c>
    </row>
    <row r="2714" spans="1:14">
      <c r="A2714" t="s">
        <v>152</v>
      </c>
      <c r="B2714">
        <v>1197831</v>
      </c>
      <c r="C2714" s="2">
        <v>44428</v>
      </c>
      <c r="D2714" t="s">
        <v>139</v>
      </c>
      <c r="E2714" t="s">
        <v>229</v>
      </c>
      <c r="F2714" t="s">
        <v>238</v>
      </c>
      <c r="G2714" t="s">
        <v>146</v>
      </c>
      <c r="H2714" s="3">
        <v>0.5</v>
      </c>
      <c r="I2714">
        <v>3750</v>
      </c>
      <c r="J2714" s="4">
        <v>1875</v>
      </c>
      <c r="K2714" s="4">
        <v>750</v>
      </c>
      <c r="L2714" s="5">
        <v>0.4</v>
      </c>
      <c r="M2714" t="s">
        <v>131</v>
      </c>
      <c r="N2714" t="s">
        <v>363</v>
      </c>
    </row>
    <row r="2715" spans="1:14">
      <c r="A2715" t="s">
        <v>152</v>
      </c>
      <c r="B2715">
        <v>1197831</v>
      </c>
      <c r="C2715" s="2">
        <v>44428</v>
      </c>
      <c r="D2715" t="s">
        <v>139</v>
      </c>
      <c r="E2715" t="s">
        <v>229</v>
      </c>
      <c r="F2715" t="s">
        <v>238</v>
      </c>
      <c r="G2715" t="s">
        <v>148</v>
      </c>
      <c r="H2715" s="3">
        <v>0.4</v>
      </c>
      <c r="I2715">
        <v>3250</v>
      </c>
      <c r="J2715" s="4">
        <v>1300</v>
      </c>
      <c r="K2715" s="4">
        <v>520</v>
      </c>
      <c r="L2715" s="5">
        <v>0.4</v>
      </c>
      <c r="M2715" t="s">
        <v>131</v>
      </c>
      <c r="N2715" t="s">
        <v>363</v>
      </c>
    </row>
    <row r="2716" spans="1:14">
      <c r="A2716" t="s">
        <v>152</v>
      </c>
      <c r="B2716">
        <v>1197831</v>
      </c>
      <c r="C2716" s="2">
        <v>44428</v>
      </c>
      <c r="D2716" t="s">
        <v>139</v>
      </c>
      <c r="E2716" t="s">
        <v>229</v>
      </c>
      <c r="F2716" t="s">
        <v>238</v>
      </c>
      <c r="G2716" t="s">
        <v>147</v>
      </c>
      <c r="H2716" s="3">
        <v>0.5</v>
      </c>
      <c r="I2716">
        <v>3000</v>
      </c>
      <c r="J2716" s="4">
        <v>1500</v>
      </c>
      <c r="K2716" s="4">
        <v>525</v>
      </c>
      <c r="L2716" s="5">
        <v>0.35</v>
      </c>
      <c r="M2716" t="s">
        <v>131</v>
      </c>
      <c r="N2716" t="s">
        <v>363</v>
      </c>
    </row>
    <row r="2717" spans="1:14">
      <c r="A2717" t="s">
        <v>152</v>
      </c>
      <c r="B2717">
        <v>1197831</v>
      </c>
      <c r="C2717" s="2">
        <v>44428</v>
      </c>
      <c r="D2717" t="s">
        <v>139</v>
      </c>
      <c r="E2717" t="s">
        <v>229</v>
      </c>
      <c r="F2717" t="s">
        <v>238</v>
      </c>
      <c r="G2717" t="s">
        <v>144</v>
      </c>
      <c r="H2717" s="3">
        <v>0.55000000000000004</v>
      </c>
      <c r="I2717">
        <v>4750</v>
      </c>
      <c r="J2717" s="4">
        <v>2612.5</v>
      </c>
      <c r="K2717" s="4">
        <v>1045</v>
      </c>
      <c r="L2717" s="5">
        <v>0.4</v>
      </c>
      <c r="M2717" t="s">
        <v>131</v>
      </c>
      <c r="N2717" t="s">
        <v>363</v>
      </c>
    </row>
    <row r="2718" spans="1:14">
      <c r="A2718" t="s">
        <v>152</v>
      </c>
      <c r="B2718">
        <v>1197831</v>
      </c>
      <c r="C2718" s="2">
        <v>44458</v>
      </c>
      <c r="D2718" t="s">
        <v>139</v>
      </c>
      <c r="E2718" t="s">
        <v>229</v>
      </c>
      <c r="F2718" t="s">
        <v>238</v>
      </c>
      <c r="G2718" t="s">
        <v>27</v>
      </c>
      <c r="H2718" s="3">
        <v>0.5</v>
      </c>
      <c r="I2718">
        <v>5750</v>
      </c>
      <c r="J2718" s="4">
        <v>2875</v>
      </c>
      <c r="K2718" s="4">
        <v>1150</v>
      </c>
      <c r="L2718" s="5">
        <v>0.4</v>
      </c>
      <c r="M2718" t="s">
        <v>132</v>
      </c>
      <c r="N2718" t="s">
        <v>363</v>
      </c>
    </row>
    <row r="2719" spans="1:14">
      <c r="A2719" t="s">
        <v>152</v>
      </c>
      <c r="B2719">
        <v>1197831</v>
      </c>
      <c r="C2719" s="2">
        <v>44458</v>
      </c>
      <c r="D2719" t="s">
        <v>139</v>
      </c>
      <c r="E2719" t="s">
        <v>229</v>
      </c>
      <c r="F2719" t="s">
        <v>238</v>
      </c>
      <c r="G2719" t="s">
        <v>145</v>
      </c>
      <c r="H2719" s="3">
        <v>0.40000000000000013</v>
      </c>
      <c r="I2719">
        <v>3750</v>
      </c>
      <c r="J2719" s="4">
        <v>1500.0000000000005</v>
      </c>
      <c r="K2719" s="4">
        <v>525.00000000000011</v>
      </c>
      <c r="L2719" s="5">
        <v>0.35</v>
      </c>
      <c r="M2719" t="s">
        <v>132</v>
      </c>
      <c r="N2719" t="s">
        <v>363</v>
      </c>
    </row>
    <row r="2720" spans="1:14">
      <c r="A2720" t="s">
        <v>152</v>
      </c>
      <c r="B2720">
        <v>1197831</v>
      </c>
      <c r="C2720" s="2">
        <v>44458</v>
      </c>
      <c r="D2720" t="s">
        <v>139</v>
      </c>
      <c r="E2720" t="s">
        <v>229</v>
      </c>
      <c r="F2720" t="s">
        <v>238</v>
      </c>
      <c r="G2720" t="s">
        <v>146</v>
      </c>
      <c r="H2720" s="3">
        <v>0.15000000000000008</v>
      </c>
      <c r="I2720">
        <v>2750</v>
      </c>
      <c r="J2720" s="4">
        <v>412.50000000000023</v>
      </c>
      <c r="K2720" s="4">
        <v>165.00000000000011</v>
      </c>
      <c r="L2720" s="5">
        <v>0.4</v>
      </c>
      <c r="M2720" t="s">
        <v>132</v>
      </c>
      <c r="N2720" t="s">
        <v>363</v>
      </c>
    </row>
    <row r="2721" spans="1:14">
      <c r="A2721" t="s">
        <v>152</v>
      </c>
      <c r="B2721">
        <v>1197831</v>
      </c>
      <c r="C2721" s="2">
        <v>44458</v>
      </c>
      <c r="D2721" t="s">
        <v>139</v>
      </c>
      <c r="E2721" t="s">
        <v>229</v>
      </c>
      <c r="F2721" t="s">
        <v>238</v>
      </c>
      <c r="G2721" t="s">
        <v>148</v>
      </c>
      <c r="H2721" s="3">
        <v>0.15000000000000008</v>
      </c>
      <c r="I2721">
        <v>2500</v>
      </c>
      <c r="J2721" s="4">
        <v>375.00000000000017</v>
      </c>
      <c r="K2721" s="4">
        <v>150.00000000000009</v>
      </c>
      <c r="L2721" s="5">
        <v>0.4</v>
      </c>
      <c r="M2721" t="s">
        <v>132</v>
      </c>
      <c r="N2721" t="s">
        <v>363</v>
      </c>
    </row>
    <row r="2722" spans="1:14">
      <c r="A2722" t="s">
        <v>152</v>
      </c>
      <c r="B2722">
        <v>1197831</v>
      </c>
      <c r="C2722" s="2">
        <v>44458</v>
      </c>
      <c r="D2722" t="s">
        <v>139</v>
      </c>
      <c r="E2722" t="s">
        <v>229</v>
      </c>
      <c r="F2722" t="s">
        <v>238</v>
      </c>
      <c r="G2722" t="s">
        <v>147</v>
      </c>
      <c r="H2722" s="3">
        <v>0.25000000000000006</v>
      </c>
      <c r="I2722">
        <v>2500</v>
      </c>
      <c r="J2722" s="4">
        <v>625.00000000000011</v>
      </c>
      <c r="K2722" s="4">
        <v>218.75000000000003</v>
      </c>
      <c r="L2722" s="5">
        <v>0.35</v>
      </c>
      <c r="M2722" t="s">
        <v>132</v>
      </c>
      <c r="N2722" t="s">
        <v>363</v>
      </c>
    </row>
    <row r="2723" spans="1:14">
      <c r="A2723" t="s">
        <v>152</v>
      </c>
      <c r="B2723">
        <v>1197831</v>
      </c>
      <c r="C2723" s="2">
        <v>44458</v>
      </c>
      <c r="D2723" t="s">
        <v>139</v>
      </c>
      <c r="E2723" t="s">
        <v>229</v>
      </c>
      <c r="F2723" t="s">
        <v>238</v>
      </c>
      <c r="G2723" t="s">
        <v>144</v>
      </c>
      <c r="H2723" s="3">
        <v>0.3000000000000001</v>
      </c>
      <c r="I2723">
        <v>3500</v>
      </c>
      <c r="J2723" s="4">
        <v>1050.0000000000005</v>
      </c>
      <c r="K2723" s="4">
        <v>420.00000000000023</v>
      </c>
      <c r="L2723" s="5">
        <v>0.4</v>
      </c>
      <c r="M2723" t="s">
        <v>132</v>
      </c>
      <c r="N2723" t="s">
        <v>363</v>
      </c>
    </row>
    <row r="2724" spans="1:14">
      <c r="A2724" t="s">
        <v>152</v>
      </c>
      <c r="B2724">
        <v>1197831</v>
      </c>
      <c r="C2724" s="2">
        <v>44490</v>
      </c>
      <c r="D2724" t="s">
        <v>139</v>
      </c>
      <c r="E2724" t="s">
        <v>229</v>
      </c>
      <c r="F2724" t="s">
        <v>238</v>
      </c>
      <c r="G2724" t="s">
        <v>27</v>
      </c>
      <c r="H2724" s="3">
        <v>0.3000000000000001</v>
      </c>
      <c r="I2724">
        <v>5250</v>
      </c>
      <c r="J2724" s="4">
        <v>1575.0000000000005</v>
      </c>
      <c r="K2724" s="4">
        <v>630.00000000000023</v>
      </c>
      <c r="L2724" s="5">
        <v>0.4</v>
      </c>
      <c r="M2724" t="s">
        <v>133</v>
      </c>
      <c r="N2724" t="s">
        <v>364</v>
      </c>
    </row>
    <row r="2725" spans="1:14">
      <c r="A2725" t="s">
        <v>152</v>
      </c>
      <c r="B2725">
        <v>1197831</v>
      </c>
      <c r="C2725" s="2">
        <v>44490</v>
      </c>
      <c r="D2725" t="s">
        <v>139</v>
      </c>
      <c r="E2725" t="s">
        <v>229</v>
      </c>
      <c r="F2725" t="s">
        <v>238</v>
      </c>
      <c r="G2725" t="s">
        <v>145</v>
      </c>
      <c r="H2725" s="3">
        <v>0.20000000000000012</v>
      </c>
      <c r="I2725">
        <v>3500</v>
      </c>
      <c r="J2725" s="4">
        <v>700.00000000000045</v>
      </c>
      <c r="K2725" s="4">
        <v>245.00000000000014</v>
      </c>
      <c r="L2725" s="5">
        <v>0.35</v>
      </c>
      <c r="M2725" t="s">
        <v>133</v>
      </c>
      <c r="N2725" t="s">
        <v>364</v>
      </c>
    </row>
    <row r="2726" spans="1:14">
      <c r="A2726" t="s">
        <v>152</v>
      </c>
      <c r="B2726">
        <v>1197831</v>
      </c>
      <c r="C2726" s="2">
        <v>44490</v>
      </c>
      <c r="D2726" t="s">
        <v>139</v>
      </c>
      <c r="E2726" t="s">
        <v>229</v>
      </c>
      <c r="F2726" t="s">
        <v>238</v>
      </c>
      <c r="G2726" t="s">
        <v>146</v>
      </c>
      <c r="H2726" s="3">
        <v>0.20000000000000012</v>
      </c>
      <c r="I2726">
        <v>2250</v>
      </c>
      <c r="J2726" s="4">
        <v>450.00000000000028</v>
      </c>
      <c r="K2726" s="4">
        <v>180.00000000000011</v>
      </c>
      <c r="L2726" s="5">
        <v>0.4</v>
      </c>
      <c r="M2726" t="s">
        <v>133</v>
      </c>
      <c r="N2726" t="s">
        <v>364</v>
      </c>
    </row>
    <row r="2727" spans="1:14">
      <c r="A2727" t="s">
        <v>152</v>
      </c>
      <c r="B2727">
        <v>1197831</v>
      </c>
      <c r="C2727" s="2">
        <v>44490</v>
      </c>
      <c r="D2727" t="s">
        <v>139</v>
      </c>
      <c r="E2727" t="s">
        <v>229</v>
      </c>
      <c r="F2727" t="s">
        <v>238</v>
      </c>
      <c r="G2727" t="s">
        <v>148</v>
      </c>
      <c r="H2727" s="3">
        <v>0.20000000000000012</v>
      </c>
      <c r="I2727">
        <v>2000</v>
      </c>
      <c r="J2727" s="4">
        <v>400.00000000000023</v>
      </c>
      <c r="K2727" s="4">
        <v>160.00000000000011</v>
      </c>
      <c r="L2727" s="5">
        <v>0.4</v>
      </c>
      <c r="M2727" t="s">
        <v>133</v>
      </c>
      <c r="N2727" t="s">
        <v>364</v>
      </c>
    </row>
    <row r="2728" spans="1:14">
      <c r="A2728" t="s">
        <v>152</v>
      </c>
      <c r="B2728">
        <v>1197831</v>
      </c>
      <c r="C2728" s="2">
        <v>44490</v>
      </c>
      <c r="D2728" t="s">
        <v>139</v>
      </c>
      <c r="E2728" t="s">
        <v>229</v>
      </c>
      <c r="F2728" t="s">
        <v>238</v>
      </c>
      <c r="G2728" t="s">
        <v>147</v>
      </c>
      <c r="H2728" s="3">
        <v>0.3000000000000001</v>
      </c>
      <c r="I2728">
        <v>2000</v>
      </c>
      <c r="J2728" s="4">
        <v>600.00000000000023</v>
      </c>
      <c r="K2728" s="4">
        <v>210.00000000000006</v>
      </c>
      <c r="L2728" s="5">
        <v>0.35</v>
      </c>
      <c r="M2728" t="s">
        <v>133</v>
      </c>
      <c r="N2728" t="s">
        <v>364</v>
      </c>
    </row>
    <row r="2729" spans="1:14">
      <c r="A2729" t="s">
        <v>152</v>
      </c>
      <c r="B2729">
        <v>1197831</v>
      </c>
      <c r="C2729" s="2">
        <v>44490</v>
      </c>
      <c r="D2729" t="s">
        <v>139</v>
      </c>
      <c r="E2729" t="s">
        <v>229</v>
      </c>
      <c r="F2729" t="s">
        <v>238</v>
      </c>
      <c r="G2729" t="s">
        <v>144</v>
      </c>
      <c r="H2729" s="3">
        <v>0.30000000000000004</v>
      </c>
      <c r="I2729">
        <v>3250</v>
      </c>
      <c r="J2729" s="4">
        <v>975.00000000000011</v>
      </c>
      <c r="K2729" s="4">
        <v>390.00000000000006</v>
      </c>
      <c r="L2729" s="5">
        <v>0.4</v>
      </c>
      <c r="M2729" t="s">
        <v>133</v>
      </c>
      <c r="N2729" t="s">
        <v>364</v>
      </c>
    </row>
    <row r="2730" spans="1:14">
      <c r="A2730" t="s">
        <v>152</v>
      </c>
      <c r="B2730">
        <v>1197831</v>
      </c>
      <c r="C2730" s="2">
        <v>44520</v>
      </c>
      <c r="D2730" t="s">
        <v>139</v>
      </c>
      <c r="E2730" t="s">
        <v>229</v>
      </c>
      <c r="F2730" t="s">
        <v>238</v>
      </c>
      <c r="G2730" t="s">
        <v>27</v>
      </c>
      <c r="H2730" s="3">
        <v>0.25000000000000011</v>
      </c>
      <c r="I2730">
        <v>4750</v>
      </c>
      <c r="J2730" s="4">
        <v>1187.5000000000005</v>
      </c>
      <c r="K2730" s="4">
        <v>475.00000000000023</v>
      </c>
      <c r="L2730" s="5">
        <v>0.4</v>
      </c>
      <c r="M2730" t="s">
        <v>134</v>
      </c>
      <c r="N2730" t="s">
        <v>364</v>
      </c>
    </row>
    <row r="2731" spans="1:14">
      <c r="A2731" t="s">
        <v>152</v>
      </c>
      <c r="B2731">
        <v>1197831</v>
      </c>
      <c r="C2731" s="2">
        <v>44520</v>
      </c>
      <c r="D2731" t="s">
        <v>139</v>
      </c>
      <c r="E2731" t="s">
        <v>229</v>
      </c>
      <c r="F2731" t="s">
        <v>238</v>
      </c>
      <c r="G2731" t="s">
        <v>145</v>
      </c>
      <c r="H2731" s="3">
        <v>0.15000000000000013</v>
      </c>
      <c r="I2731">
        <v>3000</v>
      </c>
      <c r="J2731" s="4">
        <v>450.0000000000004</v>
      </c>
      <c r="K2731" s="4">
        <v>157.50000000000014</v>
      </c>
      <c r="L2731" s="5">
        <v>0.35</v>
      </c>
      <c r="M2731" t="s">
        <v>134</v>
      </c>
      <c r="N2731" t="s">
        <v>364</v>
      </c>
    </row>
    <row r="2732" spans="1:14">
      <c r="A2732" t="s">
        <v>152</v>
      </c>
      <c r="B2732">
        <v>1197831</v>
      </c>
      <c r="C2732" s="2">
        <v>44520</v>
      </c>
      <c r="D2732" t="s">
        <v>139</v>
      </c>
      <c r="E2732" t="s">
        <v>229</v>
      </c>
      <c r="F2732" t="s">
        <v>238</v>
      </c>
      <c r="G2732" t="s">
        <v>146</v>
      </c>
      <c r="H2732" s="3">
        <v>0.25000000000000017</v>
      </c>
      <c r="I2732">
        <v>2450</v>
      </c>
      <c r="J2732" s="4">
        <v>612.50000000000045</v>
      </c>
      <c r="K2732" s="4">
        <v>245.0000000000002</v>
      </c>
      <c r="L2732" s="5">
        <v>0.4</v>
      </c>
      <c r="M2732" t="s">
        <v>134</v>
      </c>
      <c r="N2732" t="s">
        <v>364</v>
      </c>
    </row>
    <row r="2733" spans="1:14">
      <c r="A2733" t="s">
        <v>152</v>
      </c>
      <c r="B2733">
        <v>1197831</v>
      </c>
      <c r="C2733" s="2">
        <v>44520</v>
      </c>
      <c r="D2733" t="s">
        <v>139</v>
      </c>
      <c r="E2733" t="s">
        <v>229</v>
      </c>
      <c r="F2733" t="s">
        <v>238</v>
      </c>
      <c r="G2733" t="s">
        <v>148</v>
      </c>
      <c r="H2733" s="3">
        <v>0.55000000000000016</v>
      </c>
      <c r="I2733">
        <v>3000</v>
      </c>
      <c r="J2733" s="4">
        <v>1650.0000000000005</v>
      </c>
      <c r="K2733" s="4">
        <v>660.00000000000023</v>
      </c>
      <c r="L2733" s="5">
        <v>0.4</v>
      </c>
      <c r="M2733" t="s">
        <v>134</v>
      </c>
      <c r="N2733" t="s">
        <v>364</v>
      </c>
    </row>
    <row r="2734" spans="1:14">
      <c r="A2734" t="s">
        <v>152</v>
      </c>
      <c r="B2734">
        <v>1197831</v>
      </c>
      <c r="C2734" s="2">
        <v>44520</v>
      </c>
      <c r="D2734" t="s">
        <v>139</v>
      </c>
      <c r="E2734" t="s">
        <v>229</v>
      </c>
      <c r="F2734" t="s">
        <v>238</v>
      </c>
      <c r="G2734" t="s">
        <v>147</v>
      </c>
      <c r="H2734" s="3">
        <v>0.75000000000000011</v>
      </c>
      <c r="I2734">
        <v>2750</v>
      </c>
      <c r="J2734" s="4">
        <v>2062.5000000000005</v>
      </c>
      <c r="K2734" s="4">
        <v>721.87500000000011</v>
      </c>
      <c r="L2734" s="5">
        <v>0.35</v>
      </c>
      <c r="M2734" t="s">
        <v>134</v>
      </c>
      <c r="N2734" t="s">
        <v>364</v>
      </c>
    </row>
    <row r="2735" spans="1:14">
      <c r="A2735" t="s">
        <v>152</v>
      </c>
      <c r="B2735">
        <v>1197831</v>
      </c>
      <c r="C2735" s="2">
        <v>44520</v>
      </c>
      <c r="D2735" t="s">
        <v>139</v>
      </c>
      <c r="E2735" t="s">
        <v>229</v>
      </c>
      <c r="F2735" t="s">
        <v>238</v>
      </c>
      <c r="G2735" t="s">
        <v>144</v>
      </c>
      <c r="H2735" s="3">
        <v>0.75</v>
      </c>
      <c r="I2735">
        <v>3750</v>
      </c>
      <c r="J2735" s="4">
        <v>2812.5</v>
      </c>
      <c r="K2735" s="4">
        <v>1125</v>
      </c>
      <c r="L2735" s="5">
        <v>0.4</v>
      </c>
      <c r="M2735" t="s">
        <v>134</v>
      </c>
      <c r="N2735" t="s">
        <v>364</v>
      </c>
    </row>
    <row r="2736" spans="1:14">
      <c r="A2736" t="s">
        <v>152</v>
      </c>
      <c r="B2736">
        <v>1197831</v>
      </c>
      <c r="C2736" s="2">
        <v>44549</v>
      </c>
      <c r="D2736" t="s">
        <v>139</v>
      </c>
      <c r="E2736" t="s">
        <v>229</v>
      </c>
      <c r="F2736" t="s">
        <v>238</v>
      </c>
      <c r="G2736" t="s">
        <v>27</v>
      </c>
      <c r="H2736" s="3">
        <v>0.70000000000000007</v>
      </c>
      <c r="I2736">
        <v>6250</v>
      </c>
      <c r="J2736" s="4">
        <v>4375</v>
      </c>
      <c r="K2736" s="4">
        <v>1750</v>
      </c>
      <c r="L2736" s="5">
        <v>0.4</v>
      </c>
      <c r="M2736" t="s">
        <v>23</v>
      </c>
      <c r="N2736" t="s">
        <v>364</v>
      </c>
    </row>
    <row r="2737" spans="1:14">
      <c r="A2737" t="s">
        <v>152</v>
      </c>
      <c r="B2737">
        <v>1197831</v>
      </c>
      <c r="C2737" s="2">
        <v>44549</v>
      </c>
      <c r="D2737" t="s">
        <v>139</v>
      </c>
      <c r="E2737" t="s">
        <v>229</v>
      </c>
      <c r="F2737" t="s">
        <v>238</v>
      </c>
      <c r="G2737" t="s">
        <v>145</v>
      </c>
      <c r="H2737" s="3">
        <v>0.60000000000000009</v>
      </c>
      <c r="I2737">
        <v>4250</v>
      </c>
      <c r="J2737" s="4">
        <v>2550.0000000000005</v>
      </c>
      <c r="K2737" s="4">
        <v>892.50000000000011</v>
      </c>
      <c r="L2737" s="5">
        <v>0.35</v>
      </c>
      <c r="M2737" t="s">
        <v>23</v>
      </c>
      <c r="N2737" t="s">
        <v>364</v>
      </c>
    </row>
    <row r="2738" spans="1:14">
      <c r="A2738" t="s">
        <v>152</v>
      </c>
      <c r="B2738">
        <v>1197831</v>
      </c>
      <c r="C2738" s="2">
        <v>44549</v>
      </c>
      <c r="D2738" t="s">
        <v>139</v>
      </c>
      <c r="E2738" t="s">
        <v>229</v>
      </c>
      <c r="F2738" t="s">
        <v>238</v>
      </c>
      <c r="G2738" t="s">
        <v>146</v>
      </c>
      <c r="H2738" s="3">
        <v>0.60000000000000009</v>
      </c>
      <c r="I2738">
        <v>3750</v>
      </c>
      <c r="J2738" s="4">
        <v>2250.0000000000005</v>
      </c>
      <c r="K2738" s="4">
        <v>900.00000000000023</v>
      </c>
      <c r="L2738" s="5">
        <v>0.4</v>
      </c>
      <c r="M2738" t="s">
        <v>23</v>
      </c>
      <c r="N2738" t="s">
        <v>364</v>
      </c>
    </row>
    <row r="2739" spans="1:14">
      <c r="A2739" t="s">
        <v>152</v>
      </c>
      <c r="B2739">
        <v>1197831</v>
      </c>
      <c r="C2739" s="2">
        <v>44549</v>
      </c>
      <c r="D2739" t="s">
        <v>139</v>
      </c>
      <c r="E2739" t="s">
        <v>229</v>
      </c>
      <c r="F2739" t="s">
        <v>238</v>
      </c>
      <c r="G2739" t="s">
        <v>148</v>
      </c>
      <c r="H2739" s="3">
        <v>0.60000000000000009</v>
      </c>
      <c r="I2739">
        <v>3250</v>
      </c>
      <c r="J2739" s="4">
        <v>1950.0000000000002</v>
      </c>
      <c r="K2739" s="4">
        <v>780.00000000000011</v>
      </c>
      <c r="L2739" s="5">
        <v>0.4</v>
      </c>
      <c r="M2739" t="s">
        <v>23</v>
      </c>
      <c r="N2739" t="s">
        <v>364</v>
      </c>
    </row>
    <row r="2740" spans="1:14">
      <c r="A2740" t="s">
        <v>152</v>
      </c>
      <c r="B2740">
        <v>1197831</v>
      </c>
      <c r="C2740" s="2">
        <v>44549</v>
      </c>
      <c r="D2740" t="s">
        <v>139</v>
      </c>
      <c r="E2740" t="s">
        <v>229</v>
      </c>
      <c r="F2740" t="s">
        <v>238</v>
      </c>
      <c r="G2740" t="s">
        <v>147</v>
      </c>
      <c r="H2740" s="3">
        <v>0.70000000000000007</v>
      </c>
      <c r="I2740">
        <v>3250</v>
      </c>
      <c r="J2740" s="4">
        <v>2275</v>
      </c>
      <c r="K2740" s="4">
        <v>796.25</v>
      </c>
      <c r="L2740" s="5">
        <v>0.35</v>
      </c>
      <c r="M2740" t="s">
        <v>23</v>
      </c>
      <c r="N2740" t="s">
        <v>364</v>
      </c>
    </row>
    <row r="2741" spans="1:14">
      <c r="A2741" t="s">
        <v>152</v>
      </c>
      <c r="B2741">
        <v>1197831</v>
      </c>
      <c r="C2741" s="2">
        <v>44549</v>
      </c>
      <c r="D2741" t="s">
        <v>139</v>
      </c>
      <c r="E2741" t="s">
        <v>229</v>
      </c>
      <c r="F2741" t="s">
        <v>238</v>
      </c>
      <c r="G2741" t="s">
        <v>144</v>
      </c>
      <c r="H2741" s="3">
        <v>0.75</v>
      </c>
      <c r="I2741">
        <v>4250</v>
      </c>
      <c r="J2741" s="4">
        <v>3187.5</v>
      </c>
      <c r="K2741" s="4">
        <v>1275</v>
      </c>
      <c r="L2741" s="5">
        <v>0.4</v>
      </c>
      <c r="M2741" t="s">
        <v>23</v>
      </c>
      <c r="N2741" t="s">
        <v>364</v>
      </c>
    </row>
    <row r="2742" spans="1:14">
      <c r="A2742" t="s">
        <v>152</v>
      </c>
      <c r="B2742">
        <v>1197831</v>
      </c>
      <c r="C2742" s="2">
        <v>44212</v>
      </c>
      <c r="D2742" t="s">
        <v>139</v>
      </c>
      <c r="E2742" t="s">
        <v>239</v>
      </c>
      <c r="F2742" t="s">
        <v>248</v>
      </c>
      <c r="G2742" t="s">
        <v>27</v>
      </c>
      <c r="H2742" s="3">
        <v>0.25000000000000006</v>
      </c>
      <c r="I2742">
        <v>5500</v>
      </c>
      <c r="J2742" s="4">
        <v>1375.0000000000002</v>
      </c>
      <c r="K2742" s="4">
        <v>481.25000000000006</v>
      </c>
      <c r="L2742" s="5">
        <v>0.35</v>
      </c>
      <c r="M2742" t="s">
        <v>125</v>
      </c>
      <c r="N2742" t="s">
        <v>361</v>
      </c>
    </row>
    <row r="2743" spans="1:14">
      <c r="A2743" t="s">
        <v>152</v>
      </c>
      <c r="B2743">
        <v>1197831</v>
      </c>
      <c r="C2743" s="2">
        <v>44212</v>
      </c>
      <c r="D2743" t="s">
        <v>139</v>
      </c>
      <c r="E2743" t="s">
        <v>239</v>
      </c>
      <c r="F2743" t="s">
        <v>248</v>
      </c>
      <c r="G2743" t="s">
        <v>145</v>
      </c>
      <c r="H2743" s="3">
        <v>0.25000000000000006</v>
      </c>
      <c r="I2743">
        <v>3500</v>
      </c>
      <c r="J2743" s="4">
        <v>875.00000000000023</v>
      </c>
      <c r="K2743" s="4">
        <v>306.25000000000006</v>
      </c>
      <c r="L2743" s="5">
        <v>0.35</v>
      </c>
      <c r="M2743" t="s">
        <v>125</v>
      </c>
      <c r="N2743" t="s">
        <v>361</v>
      </c>
    </row>
    <row r="2744" spans="1:14">
      <c r="A2744" t="s">
        <v>152</v>
      </c>
      <c r="B2744">
        <v>1197831</v>
      </c>
      <c r="C2744" s="2">
        <v>44212</v>
      </c>
      <c r="D2744" t="s">
        <v>139</v>
      </c>
      <c r="E2744" t="s">
        <v>239</v>
      </c>
      <c r="F2744" t="s">
        <v>248</v>
      </c>
      <c r="G2744" t="s">
        <v>146</v>
      </c>
      <c r="H2744" s="3">
        <v>0.15000000000000008</v>
      </c>
      <c r="I2744">
        <v>3500</v>
      </c>
      <c r="J2744" s="4">
        <v>525.00000000000023</v>
      </c>
      <c r="K2744" s="4">
        <v>183.75000000000006</v>
      </c>
      <c r="L2744" s="5">
        <v>0.35</v>
      </c>
      <c r="M2744" t="s">
        <v>125</v>
      </c>
      <c r="N2744" t="s">
        <v>361</v>
      </c>
    </row>
    <row r="2745" spans="1:14">
      <c r="A2745" t="s">
        <v>152</v>
      </c>
      <c r="B2745">
        <v>1197831</v>
      </c>
      <c r="C2745" s="2">
        <v>44212</v>
      </c>
      <c r="D2745" t="s">
        <v>139</v>
      </c>
      <c r="E2745" t="s">
        <v>239</v>
      </c>
      <c r="F2745" t="s">
        <v>248</v>
      </c>
      <c r="G2745" t="s">
        <v>148</v>
      </c>
      <c r="H2745" s="3">
        <v>0.2</v>
      </c>
      <c r="I2745">
        <v>2000</v>
      </c>
      <c r="J2745" s="4">
        <v>400</v>
      </c>
      <c r="K2745" s="4">
        <v>140</v>
      </c>
      <c r="L2745" s="5">
        <v>0.35</v>
      </c>
      <c r="M2745" t="s">
        <v>125</v>
      </c>
      <c r="N2745" t="s">
        <v>361</v>
      </c>
    </row>
    <row r="2746" spans="1:14">
      <c r="A2746" t="s">
        <v>152</v>
      </c>
      <c r="B2746">
        <v>1197831</v>
      </c>
      <c r="C2746" s="2">
        <v>44212</v>
      </c>
      <c r="D2746" t="s">
        <v>139</v>
      </c>
      <c r="E2746" t="s">
        <v>239</v>
      </c>
      <c r="F2746" t="s">
        <v>248</v>
      </c>
      <c r="G2746" t="s">
        <v>147</v>
      </c>
      <c r="H2746" s="3">
        <v>0.35000000000000003</v>
      </c>
      <c r="I2746">
        <v>2500</v>
      </c>
      <c r="J2746" s="4">
        <v>875.00000000000011</v>
      </c>
      <c r="K2746" s="4">
        <v>306.25</v>
      </c>
      <c r="L2746" s="5">
        <v>0.35</v>
      </c>
      <c r="M2746" t="s">
        <v>125</v>
      </c>
      <c r="N2746" t="s">
        <v>361</v>
      </c>
    </row>
    <row r="2747" spans="1:14">
      <c r="A2747" t="s">
        <v>152</v>
      </c>
      <c r="B2747">
        <v>1197831</v>
      </c>
      <c r="C2747" s="2">
        <v>44212</v>
      </c>
      <c r="D2747" t="s">
        <v>139</v>
      </c>
      <c r="E2747" t="s">
        <v>239</v>
      </c>
      <c r="F2747" t="s">
        <v>248</v>
      </c>
      <c r="G2747" t="s">
        <v>144</v>
      </c>
      <c r="H2747" s="3">
        <v>0.25000000000000006</v>
      </c>
      <c r="I2747">
        <v>3500</v>
      </c>
      <c r="J2747" s="4">
        <v>875.00000000000023</v>
      </c>
      <c r="K2747" s="4">
        <v>306.25000000000006</v>
      </c>
      <c r="L2747" s="5">
        <v>0.35</v>
      </c>
      <c r="M2747" t="s">
        <v>125</v>
      </c>
      <c r="N2747" t="s">
        <v>361</v>
      </c>
    </row>
    <row r="2748" spans="1:14">
      <c r="A2748" t="s">
        <v>152</v>
      </c>
      <c r="B2748">
        <v>1197831</v>
      </c>
      <c r="C2748" s="2">
        <v>44241</v>
      </c>
      <c r="D2748" t="s">
        <v>139</v>
      </c>
      <c r="E2748" t="s">
        <v>239</v>
      </c>
      <c r="F2748" t="s">
        <v>248</v>
      </c>
      <c r="G2748" t="s">
        <v>27</v>
      </c>
      <c r="H2748" s="3">
        <v>0.25000000000000006</v>
      </c>
      <c r="I2748">
        <v>6000</v>
      </c>
      <c r="J2748" s="4">
        <v>1500.0000000000002</v>
      </c>
      <c r="K2748" s="4">
        <v>525</v>
      </c>
      <c r="L2748" s="5">
        <v>0.35</v>
      </c>
      <c r="M2748" t="s">
        <v>126</v>
      </c>
      <c r="N2748" t="s">
        <v>361</v>
      </c>
    </row>
    <row r="2749" spans="1:14">
      <c r="A2749" t="s">
        <v>152</v>
      </c>
      <c r="B2749">
        <v>1197831</v>
      </c>
      <c r="C2749" s="2">
        <v>44241</v>
      </c>
      <c r="D2749" t="s">
        <v>139</v>
      </c>
      <c r="E2749" t="s">
        <v>239</v>
      </c>
      <c r="F2749" t="s">
        <v>248</v>
      </c>
      <c r="G2749" t="s">
        <v>145</v>
      </c>
      <c r="H2749" s="3">
        <v>0.25000000000000006</v>
      </c>
      <c r="I2749">
        <v>2500</v>
      </c>
      <c r="J2749" s="4">
        <v>625.00000000000011</v>
      </c>
      <c r="K2749" s="4">
        <v>218.75000000000003</v>
      </c>
      <c r="L2749" s="5">
        <v>0.35</v>
      </c>
      <c r="M2749" t="s">
        <v>126</v>
      </c>
      <c r="N2749" t="s">
        <v>361</v>
      </c>
    </row>
    <row r="2750" spans="1:14">
      <c r="A2750" t="s">
        <v>152</v>
      </c>
      <c r="B2750">
        <v>1197831</v>
      </c>
      <c r="C2750" s="2">
        <v>44241</v>
      </c>
      <c r="D2750" t="s">
        <v>139</v>
      </c>
      <c r="E2750" t="s">
        <v>239</v>
      </c>
      <c r="F2750" t="s">
        <v>248</v>
      </c>
      <c r="G2750" t="s">
        <v>146</v>
      </c>
      <c r="H2750" s="3">
        <v>0.15000000000000008</v>
      </c>
      <c r="I2750">
        <v>3000</v>
      </c>
      <c r="J2750" s="4">
        <v>450.00000000000023</v>
      </c>
      <c r="K2750" s="4">
        <v>157.50000000000006</v>
      </c>
      <c r="L2750" s="5">
        <v>0.35</v>
      </c>
      <c r="M2750" t="s">
        <v>126</v>
      </c>
      <c r="N2750" t="s">
        <v>361</v>
      </c>
    </row>
    <row r="2751" spans="1:14">
      <c r="A2751" t="s">
        <v>152</v>
      </c>
      <c r="B2751">
        <v>1197831</v>
      </c>
      <c r="C2751" s="2">
        <v>44241</v>
      </c>
      <c r="D2751" t="s">
        <v>139</v>
      </c>
      <c r="E2751" t="s">
        <v>239</v>
      </c>
      <c r="F2751" t="s">
        <v>248</v>
      </c>
      <c r="G2751" t="s">
        <v>148</v>
      </c>
      <c r="H2751" s="3">
        <v>0.2</v>
      </c>
      <c r="I2751">
        <v>1500</v>
      </c>
      <c r="J2751" s="4">
        <v>300</v>
      </c>
      <c r="K2751" s="4">
        <v>105</v>
      </c>
      <c r="L2751" s="5">
        <v>0.35</v>
      </c>
      <c r="M2751" t="s">
        <v>126</v>
      </c>
      <c r="N2751" t="s">
        <v>361</v>
      </c>
    </row>
    <row r="2752" spans="1:14">
      <c r="A2752" t="s">
        <v>152</v>
      </c>
      <c r="B2752">
        <v>1197831</v>
      </c>
      <c r="C2752" s="2">
        <v>44241</v>
      </c>
      <c r="D2752" t="s">
        <v>139</v>
      </c>
      <c r="E2752" t="s">
        <v>239</v>
      </c>
      <c r="F2752" t="s">
        <v>248</v>
      </c>
      <c r="G2752" t="s">
        <v>147</v>
      </c>
      <c r="H2752" s="3">
        <v>0.35000000000000003</v>
      </c>
      <c r="I2752">
        <v>2250</v>
      </c>
      <c r="J2752" s="4">
        <v>787.50000000000011</v>
      </c>
      <c r="K2752" s="4">
        <v>275.625</v>
      </c>
      <c r="L2752" s="5">
        <v>0.35</v>
      </c>
      <c r="M2752" t="s">
        <v>126</v>
      </c>
      <c r="N2752" t="s">
        <v>361</v>
      </c>
    </row>
    <row r="2753" spans="1:14">
      <c r="A2753" t="s">
        <v>152</v>
      </c>
      <c r="B2753">
        <v>1197831</v>
      </c>
      <c r="C2753" s="2">
        <v>44241</v>
      </c>
      <c r="D2753" t="s">
        <v>139</v>
      </c>
      <c r="E2753" t="s">
        <v>239</v>
      </c>
      <c r="F2753" t="s">
        <v>248</v>
      </c>
      <c r="G2753" t="s">
        <v>144</v>
      </c>
      <c r="H2753" s="3">
        <v>0.2</v>
      </c>
      <c r="I2753">
        <v>3250</v>
      </c>
      <c r="J2753" s="4">
        <v>650</v>
      </c>
      <c r="K2753" s="4">
        <v>227.49999999999997</v>
      </c>
      <c r="L2753" s="5">
        <v>0.35</v>
      </c>
      <c r="M2753" t="s">
        <v>126</v>
      </c>
      <c r="N2753" t="s">
        <v>361</v>
      </c>
    </row>
    <row r="2754" spans="1:14">
      <c r="A2754" t="s">
        <v>152</v>
      </c>
      <c r="B2754">
        <v>1197831</v>
      </c>
      <c r="C2754" s="2">
        <v>44267</v>
      </c>
      <c r="D2754" t="s">
        <v>139</v>
      </c>
      <c r="E2754" t="s">
        <v>239</v>
      </c>
      <c r="F2754" t="s">
        <v>248</v>
      </c>
      <c r="G2754" t="s">
        <v>27</v>
      </c>
      <c r="H2754" s="3">
        <v>0.2</v>
      </c>
      <c r="I2754">
        <v>5450</v>
      </c>
      <c r="J2754" s="4">
        <v>1090</v>
      </c>
      <c r="K2754" s="4">
        <v>381.5</v>
      </c>
      <c r="L2754" s="5">
        <v>0.35</v>
      </c>
      <c r="M2754" t="s">
        <v>24</v>
      </c>
      <c r="N2754" t="s">
        <v>361</v>
      </c>
    </row>
    <row r="2755" spans="1:14">
      <c r="A2755" t="s">
        <v>152</v>
      </c>
      <c r="B2755">
        <v>1197831</v>
      </c>
      <c r="C2755" s="2">
        <v>44267</v>
      </c>
      <c r="D2755" t="s">
        <v>139</v>
      </c>
      <c r="E2755" t="s">
        <v>239</v>
      </c>
      <c r="F2755" t="s">
        <v>248</v>
      </c>
      <c r="G2755" t="s">
        <v>145</v>
      </c>
      <c r="H2755" s="3">
        <v>0.2</v>
      </c>
      <c r="I2755">
        <v>2250</v>
      </c>
      <c r="J2755" s="4">
        <v>450</v>
      </c>
      <c r="K2755" s="4">
        <v>157.5</v>
      </c>
      <c r="L2755" s="5">
        <v>0.35</v>
      </c>
      <c r="M2755" t="s">
        <v>24</v>
      </c>
      <c r="N2755" t="s">
        <v>361</v>
      </c>
    </row>
    <row r="2756" spans="1:14">
      <c r="A2756" t="s">
        <v>152</v>
      </c>
      <c r="B2756">
        <v>1197831</v>
      </c>
      <c r="C2756" s="2">
        <v>44267</v>
      </c>
      <c r="D2756" t="s">
        <v>139</v>
      </c>
      <c r="E2756" t="s">
        <v>239</v>
      </c>
      <c r="F2756" t="s">
        <v>248</v>
      </c>
      <c r="G2756" t="s">
        <v>146</v>
      </c>
      <c r="H2756" s="3">
        <v>0.10000000000000002</v>
      </c>
      <c r="I2756">
        <v>2500</v>
      </c>
      <c r="J2756" s="4">
        <v>250.00000000000006</v>
      </c>
      <c r="K2756" s="4">
        <v>87.500000000000014</v>
      </c>
      <c r="L2756" s="5">
        <v>0.35</v>
      </c>
      <c r="M2756" t="s">
        <v>24</v>
      </c>
      <c r="N2756" t="s">
        <v>361</v>
      </c>
    </row>
    <row r="2757" spans="1:14">
      <c r="A2757" t="s">
        <v>152</v>
      </c>
      <c r="B2757">
        <v>1197831</v>
      </c>
      <c r="C2757" s="2">
        <v>44267</v>
      </c>
      <c r="D2757" t="s">
        <v>139</v>
      </c>
      <c r="E2757" t="s">
        <v>239</v>
      </c>
      <c r="F2757" t="s">
        <v>248</v>
      </c>
      <c r="G2757" t="s">
        <v>148</v>
      </c>
      <c r="H2757" s="3">
        <v>0.19999999999999996</v>
      </c>
      <c r="I2757">
        <v>1000</v>
      </c>
      <c r="J2757" s="4">
        <v>199.99999999999994</v>
      </c>
      <c r="K2757" s="4">
        <v>69.999999999999972</v>
      </c>
      <c r="L2757" s="5">
        <v>0.35</v>
      </c>
      <c r="M2757" t="s">
        <v>24</v>
      </c>
      <c r="N2757" t="s">
        <v>361</v>
      </c>
    </row>
    <row r="2758" spans="1:14">
      <c r="A2758" t="s">
        <v>152</v>
      </c>
      <c r="B2758">
        <v>1197831</v>
      </c>
      <c r="C2758" s="2">
        <v>44267</v>
      </c>
      <c r="D2758" t="s">
        <v>139</v>
      </c>
      <c r="E2758" t="s">
        <v>239</v>
      </c>
      <c r="F2758" t="s">
        <v>248</v>
      </c>
      <c r="G2758" t="s">
        <v>147</v>
      </c>
      <c r="H2758" s="3">
        <v>0.35000000000000009</v>
      </c>
      <c r="I2758">
        <v>1500</v>
      </c>
      <c r="J2758" s="4">
        <v>525.00000000000011</v>
      </c>
      <c r="K2758" s="4">
        <v>183.75000000000003</v>
      </c>
      <c r="L2758" s="5">
        <v>0.35</v>
      </c>
      <c r="M2758" t="s">
        <v>24</v>
      </c>
      <c r="N2758" t="s">
        <v>361</v>
      </c>
    </row>
    <row r="2759" spans="1:14">
      <c r="A2759" t="s">
        <v>152</v>
      </c>
      <c r="B2759">
        <v>1197831</v>
      </c>
      <c r="C2759" s="2">
        <v>44267</v>
      </c>
      <c r="D2759" t="s">
        <v>139</v>
      </c>
      <c r="E2759" t="s">
        <v>239</v>
      </c>
      <c r="F2759" t="s">
        <v>248</v>
      </c>
      <c r="G2759" t="s">
        <v>144</v>
      </c>
      <c r="H2759" s="3">
        <v>0.25</v>
      </c>
      <c r="I2759">
        <v>2500</v>
      </c>
      <c r="J2759" s="4">
        <v>625</v>
      </c>
      <c r="K2759" s="4">
        <v>218.75</v>
      </c>
      <c r="L2759" s="5">
        <v>0.35</v>
      </c>
      <c r="M2759" t="s">
        <v>24</v>
      </c>
      <c r="N2759" t="s">
        <v>361</v>
      </c>
    </row>
    <row r="2760" spans="1:14">
      <c r="A2760" t="s">
        <v>152</v>
      </c>
      <c r="B2760">
        <v>1197831</v>
      </c>
      <c r="C2760" s="2">
        <v>44299</v>
      </c>
      <c r="D2760" t="s">
        <v>139</v>
      </c>
      <c r="E2760" t="s">
        <v>239</v>
      </c>
      <c r="F2760" t="s">
        <v>248</v>
      </c>
      <c r="G2760" t="s">
        <v>27</v>
      </c>
      <c r="H2760" s="3">
        <v>0.25</v>
      </c>
      <c r="I2760">
        <v>5000</v>
      </c>
      <c r="J2760" s="4">
        <v>1250</v>
      </c>
      <c r="K2760" s="4">
        <v>437.5</v>
      </c>
      <c r="L2760" s="5">
        <v>0.35</v>
      </c>
      <c r="M2760" t="s">
        <v>127</v>
      </c>
      <c r="N2760" t="s">
        <v>362</v>
      </c>
    </row>
    <row r="2761" spans="1:14">
      <c r="A2761" t="s">
        <v>152</v>
      </c>
      <c r="B2761">
        <v>1197831</v>
      </c>
      <c r="C2761" s="2">
        <v>44299</v>
      </c>
      <c r="D2761" t="s">
        <v>139</v>
      </c>
      <c r="E2761" t="s">
        <v>239</v>
      </c>
      <c r="F2761" t="s">
        <v>248</v>
      </c>
      <c r="G2761" t="s">
        <v>145</v>
      </c>
      <c r="H2761" s="3">
        <v>0.25</v>
      </c>
      <c r="I2761">
        <v>2000</v>
      </c>
      <c r="J2761" s="4">
        <v>500</v>
      </c>
      <c r="K2761" s="4">
        <v>175</v>
      </c>
      <c r="L2761" s="5">
        <v>0.35</v>
      </c>
      <c r="M2761" t="s">
        <v>127</v>
      </c>
      <c r="N2761" t="s">
        <v>362</v>
      </c>
    </row>
    <row r="2762" spans="1:14">
      <c r="A2762" t="s">
        <v>152</v>
      </c>
      <c r="B2762">
        <v>1197831</v>
      </c>
      <c r="C2762" s="2">
        <v>44299</v>
      </c>
      <c r="D2762" t="s">
        <v>139</v>
      </c>
      <c r="E2762" t="s">
        <v>239</v>
      </c>
      <c r="F2762" t="s">
        <v>248</v>
      </c>
      <c r="G2762" t="s">
        <v>146</v>
      </c>
      <c r="H2762" s="3">
        <v>0.15000000000000002</v>
      </c>
      <c r="I2762">
        <v>2000</v>
      </c>
      <c r="J2762" s="4">
        <v>300.00000000000006</v>
      </c>
      <c r="K2762" s="4">
        <v>105.00000000000001</v>
      </c>
      <c r="L2762" s="5">
        <v>0.35</v>
      </c>
      <c r="M2762" t="s">
        <v>127</v>
      </c>
      <c r="N2762" t="s">
        <v>362</v>
      </c>
    </row>
    <row r="2763" spans="1:14">
      <c r="A2763" t="s">
        <v>152</v>
      </c>
      <c r="B2763">
        <v>1197831</v>
      </c>
      <c r="C2763" s="2">
        <v>44299</v>
      </c>
      <c r="D2763" t="s">
        <v>139</v>
      </c>
      <c r="E2763" t="s">
        <v>239</v>
      </c>
      <c r="F2763" t="s">
        <v>248</v>
      </c>
      <c r="G2763" t="s">
        <v>148</v>
      </c>
      <c r="H2763" s="3">
        <v>0.19999999999999996</v>
      </c>
      <c r="I2763">
        <v>1250</v>
      </c>
      <c r="J2763" s="4">
        <v>249.99999999999994</v>
      </c>
      <c r="K2763" s="4">
        <v>87.499999999999972</v>
      </c>
      <c r="L2763" s="5">
        <v>0.35</v>
      </c>
      <c r="M2763" t="s">
        <v>127</v>
      </c>
      <c r="N2763" t="s">
        <v>362</v>
      </c>
    </row>
    <row r="2764" spans="1:14">
      <c r="A2764" t="s">
        <v>152</v>
      </c>
      <c r="B2764">
        <v>1197831</v>
      </c>
      <c r="C2764" s="2">
        <v>44299</v>
      </c>
      <c r="D2764" t="s">
        <v>139</v>
      </c>
      <c r="E2764" t="s">
        <v>239</v>
      </c>
      <c r="F2764" t="s">
        <v>248</v>
      </c>
      <c r="G2764" t="s">
        <v>147</v>
      </c>
      <c r="H2764" s="3">
        <v>0.4</v>
      </c>
      <c r="I2764">
        <v>1500</v>
      </c>
      <c r="J2764" s="4">
        <v>600</v>
      </c>
      <c r="K2764" s="4">
        <v>210</v>
      </c>
      <c r="L2764" s="5">
        <v>0.35</v>
      </c>
      <c r="M2764" t="s">
        <v>127</v>
      </c>
      <c r="N2764" t="s">
        <v>362</v>
      </c>
    </row>
    <row r="2765" spans="1:14">
      <c r="A2765" t="s">
        <v>152</v>
      </c>
      <c r="B2765">
        <v>1197831</v>
      </c>
      <c r="C2765" s="2">
        <v>44299</v>
      </c>
      <c r="D2765" t="s">
        <v>139</v>
      </c>
      <c r="E2765" t="s">
        <v>239</v>
      </c>
      <c r="F2765" t="s">
        <v>248</v>
      </c>
      <c r="G2765" t="s">
        <v>144</v>
      </c>
      <c r="H2765" s="3">
        <v>0.30000000000000004</v>
      </c>
      <c r="I2765">
        <v>3000</v>
      </c>
      <c r="J2765" s="4">
        <v>900.00000000000011</v>
      </c>
      <c r="K2765" s="4">
        <v>315</v>
      </c>
      <c r="L2765" s="5">
        <v>0.35</v>
      </c>
      <c r="M2765" t="s">
        <v>127</v>
      </c>
      <c r="N2765" t="s">
        <v>362</v>
      </c>
    </row>
    <row r="2766" spans="1:14">
      <c r="A2766" t="s">
        <v>152</v>
      </c>
      <c r="B2766">
        <v>1197831</v>
      </c>
      <c r="C2766" s="2">
        <v>44328</v>
      </c>
      <c r="D2766" t="s">
        <v>139</v>
      </c>
      <c r="E2766" t="s">
        <v>239</v>
      </c>
      <c r="F2766" t="s">
        <v>248</v>
      </c>
      <c r="G2766" t="s">
        <v>27</v>
      </c>
      <c r="H2766" s="3">
        <v>0.4</v>
      </c>
      <c r="I2766">
        <v>5700</v>
      </c>
      <c r="J2766" s="4">
        <v>2280</v>
      </c>
      <c r="K2766" s="4">
        <v>798</v>
      </c>
      <c r="L2766" s="5">
        <v>0.35</v>
      </c>
      <c r="M2766" t="s">
        <v>128</v>
      </c>
      <c r="N2766" t="s">
        <v>362</v>
      </c>
    </row>
    <row r="2767" spans="1:14">
      <c r="A2767" t="s">
        <v>152</v>
      </c>
      <c r="B2767">
        <v>1197831</v>
      </c>
      <c r="C2767" s="2">
        <v>44328</v>
      </c>
      <c r="D2767" t="s">
        <v>139</v>
      </c>
      <c r="E2767" t="s">
        <v>239</v>
      </c>
      <c r="F2767" t="s">
        <v>248</v>
      </c>
      <c r="G2767" t="s">
        <v>145</v>
      </c>
      <c r="H2767" s="3">
        <v>0.4</v>
      </c>
      <c r="I2767">
        <v>2750</v>
      </c>
      <c r="J2767" s="4">
        <v>1100</v>
      </c>
      <c r="K2767" s="4">
        <v>385</v>
      </c>
      <c r="L2767" s="5">
        <v>0.35</v>
      </c>
      <c r="M2767" t="s">
        <v>128</v>
      </c>
      <c r="N2767" t="s">
        <v>362</v>
      </c>
    </row>
    <row r="2768" spans="1:14">
      <c r="A2768" t="s">
        <v>152</v>
      </c>
      <c r="B2768">
        <v>1197831</v>
      </c>
      <c r="C2768" s="2">
        <v>44328</v>
      </c>
      <c r="D2768" t="s">
        <v>139</v>
      </c>
      <c r="E2768" t="s">
        <v>239</v>
      </c>
      <c r="F2768" t="s">
        <v>248</v>
      </c>
      <c r="G2768" t="s">
        <v>146</v>
      </c>
      <c r="H2768" s="3">
        <v>0.35000000000000003</v>
      </c>
      <c r="I2768">
        <v>2500</v>
      </c>
      <c r="J2768" s="4">
        <v>875.00000000000011</v>
      </c>
      <c r="K2768" s="4">
        <v>306.25</v>
      </c>
      <c r="L2768" s="5">
        <v>0.35</v>
      </c>
      <c r="M2768" t="s">
        <v>128</v>
      </c>
      <c r="N2768" t="s">
        <v>362</v>
      </c>
    </row>
    <row r="2769" spans="1:14">
      <c r="A2769" t="s">
        <v>152</v>
      </c>
      <c r="B2769">
        <v>1197831</v>
      </c>
      <c r="C2769" s="2">
        <v>44328</v>
      </c>
      <c r="D2769" t="s">
        <v>139</v>
      </c>
      <c r="E2769" t="s">
        <v>239</v>
      </c>
      <c r="F2769" t="s">
        <v>248</v>
      </c>
      <c r="G2769" t="s">
        <v>148</v>
      </c>
      <c r="H2769" s="3">
        <v>0.35000000000000003</v>
      </c>
      <c r="I2769">
        <v>2000</v>
      </c>
      <c r="J2769" s="4">
        <v>700.00000000000011</v>
      </c>
      <c r="K2769" s="4">
        <v>245.00000000000003</v>
      </c>
      <c r="L2769" s="5">
        <v>0.35</v>
      </c>
      <c r="M2769" t="s">
        <v>128</v>
      </c>
      <c r="N2769" t="s">
        <v>362</v>
      </c>
    </row>
    <row r="2770" spans="1:14">
      <c r="A2770" t="s">
        <v>152</v>
      </c>
      <c r="B2770">
        <v>1197831</v>
      </c>
      <c r="C2770" s="2">
        <v>44328</v>
      </c>
      <c r="D2770" t="s">
        <v>139</v>
      </c>
      <c r="E2770" t="s">
        <v>239</v>
      </c>
      <c r="F2770" t="s">
        <v>248</v>
      </c>
      <c r="G2770" t="s">
        <v>147</v>
      </c>
      <c r="H2770" s="3">
        <v>0.44999999999999996</v>
      </c>
      <c r="I2770">
        <v>2250</v>
      </c>
      <c r="J2770" s="4">
        <v>1012.4999999999999</v>
      </c>
      <c r="K2770" s="4">
        <v>354.37499999999994</v>
      </c>
      <c r="L2770" s="5">
        <v>0.35</v>
      </c>
      <c r="M2770" t="s">
        <v>128</v>
      </c>
      <c r="N2770" t="s">
        <v>362</v>
      </c>
    </row>
    <row r="2771" spans="1:14">
      <c r="A2771" t="s">
        <v>152</v>
      </c>
      <c r="B2771">
        <v>1197831</v>
      </c>
      <c r="C2771" s="2">
        <v>44328</v>
      </c>
      <c r="D2771" t="s">
        <v>139</v>
      </c>
      <c r="E2771" t="s">
        <v>239</v>
      </c>
      <c r="F2771" t="s">
        <v>248</v>
      </c>
      <c r="G2771" t="s">
        <v>144</v>
      </c>
      <c r="H2771" s="3">
        <v>0.44999999999999996</v>
      </c>
      <c r="I2771">
        <v>3250</v>
      </c>
      <c r="J2771" s="4">
        <v>1462.4999999999998</v>
      </c>
      <c r="K2771" s="4">
        <v>511.87499999999989</v>
      </c>
      <c r="L2771" s="5">
        <v>0.35</v>
      </c>
      <c r="M2771" t="s">
        <v>128</v>
      </c>
      <c r="N2771" t="s">
        <v>362</v>
      </c>
    </row>
    <row r="2772" spans="1:14">
      <c r="A2772" t="s">
        <v>152</v>
      </c>
      <c r="B2772">
        <v>1197831</v>
      </c>
      <c r="C2772" s="2">
        <v>44361</v>
      </c>
      <c r="D2772" t="s">
        <v>139</v>
      </c>
      <c r="E2772" t="s">
        <v>239</v>
      </c>
      <c r="F2772" t="s">
        <v>248</v>
      </c>
      <c r="G2772" t="s">
        <v>27</v>
      </c>
      <c r="H2772" s="3">
        <v>0.39999999999999997</v>
      </c>
      <c r="I2772">
        <v>5750</v>
      </c>
      <c r="J2772" s="4">
        <v>2300</v>
      </c>
      <c r="K2772" s="4">
        <v>805</v>
      </c>
      <c r="L2772" s="5">
        <v>0.35</v>
      </c>
      <c r="M2772" t="s">
        <v>129</v>
      </c>
      <c r="N2772" t="s">
        <v>362</v>
      </c>
    </row>
    <row r="2773" spans="1:14">
      <c r="A2773" t="s">
        <v>152</v>
      </c>
      <c r="B2773">
        <v>1197831</v>
      </c>
      <c r="C2773" s="2">
        <v>44361</v>
      </c>
      <c r="D2773" t="s">
        <v>139</v>
      </c>
      <c r="E2773" t="s">
        <v>239</v>
      </c>
      <c r="F2773" t="s">
        <v>248</v>
      </c>
      <c r="G2773" t="s">
        <v>145</v>
      </c>
      <c r="H2773" s="3">
        <v>0.35000000000000003</v>
      </c>
      <c r="I2773">
        <v>3250</v>
      </c>
      <c r="J2773" s="4">
        <v>1137.5</v>
      </c>
      <c r="K2773" s="4">
        <v>398.125</v>
      </c>
      <c r="L2773" s="5">
        <v>0.35</v>
      </c>
      <c r="M2773" t="s">
        <v>129</v>
      </c>
      <c r="N2773" t="s">
        <v>362</v>
      </c>
    </row>
    <row r="2774" spans="1:14">
      <c r="A2774" t="s">
        <v>152</v>
      </c>
      <c r="B2774">
        <v>1197831</v>
      </c>
      <c r="C2774" s="2">
        <v>44361</v>
      </c>
      <c r="D2774" t="s">
        <v>139</v>
      </c>
      <c r="E2774" t="s">
        <v>239</v>
      </c>
      <c r="F2774" t="s">
        <v>248</v>
      </c>
      <c r="G2774" t="s">
        <v>146</v>
      </c>
      <c r="H2774" s="3">
        <v>0.4</v>
      </c>
      <c r="I2774">
        <v>3000</v>
      </c>
      <c r="J2774" s="4">
        <v>1200</v>
      </c>
      <c r="K2774" s="4">
        <v>420</v>
      </c>
      <c r="L2774" s="5">
        <v>0.35</v>
      </c>
      <c r="M2774" t="s">
        <v>129</v>
      </c>
      <c r="N2774" t="s">
        <v>362</v>
      </c>
    </row>
    <row r="2775" spans="1:14">
      <c r="A2775" t="s">
        <v>152</v>
      </c>
      <c r="B2775">
        <v>1197831</v>
      </c>
      <c r="C2775" s="2">
        <v>44361</v>
      </c>
      <c r="D2775" t="s">
        <v>139</v>
      </c>
      <c r="E2775" t="s">
        <v>239</v>
      </c>
      <c r="F2775" t="s">
        <v>248</v>
      </c>
      <c r="G2775" t="s">
        <v>148</v>
      </c>
      <c r="H2775" s="3">
        <v>0.4</v>
      </c>
      <c r="I2775">
        <v>2750</v>
      </c>
      <c r="J2775" s="4">
        <v>1100</v>
      </c>
      <c r="K2775" s="4">
        <v>385</v>
      </c>
      <c r="L2775" s="5">
        <v>0.35</v>
      </c>
      <c r="M2775" t="s">
        <v>129</v>
      </c>
      <c r="N2775" t="s">
        <v>362</v>
      </c>
    </row>
    <row r="2776" spans="1:14">
      <c r="A2776" t="s">
        <v>152</v>
      </c>
      <c r="B2776">
        <v>1197831</v>
      </c>
      <c r="C2776" s="2">
        <v>44361</v>
      </c>
      <c r="D2776" t="s">
        <v>139</v>
      </c>
      <c r="E2776" t="s">
        <v>239</v>
      </c>
      <c r="F2776" t="s">
        <v>248</v>
      </c>
      <c r="G2776" t="s">
        <v>147</v>
      </c>
      <c r="H2776" s="3">
        <v>0.54999999999999993</v>
      </c>
      <c r="I2776">
        <v>2750</v>
      </c>
      <c r="J2776" s="4">
        <v>1512.4999999999998</v>
      </c>
      <c r="K2776" s="4">
        <v>529.37499999999989</v>
      </c>
      <c r="L2776" s="5">
        <v>0.35</v>
      </c>
      <c r="M2776" t="s">
        <v>129</v>
      </c>
      <c r="N2776" t="s">
        <v>362</v>
      </c>
    </row>
    <row r="2777" spans="1:14">
      <c r="A2777" t="s">
        <v>152</v>
      </c>
      <c r="B2777">
        <v>1197831</v>
      </c>
      <c r="C2777" s="2">
        <v>44361</v>
      </c>
      <c r="D2777" t="s">
        <v>139</v>
      </c>
      <c r="E2777" t="s">
        <v>239</v>
      </c>
      <c r="F2777" t="s">
        <v>248</v>
      </c>
      <c r="G2777" t="s">
        <v>144</v>
      </c>
      <c r="H2777" s="3">
        <v>0.6</v>
      </c>
      <c r="I2777">
        <v>4500</v>
      </c>
      <c r="J2777" s="4">
        <v>2700</v>
      </c>
      <c r="K2777" s="4">
        <v>944.99999999999989</v>
      </c>
      <c r="L2777" s="5">
        <v>0.35</v>
      </c>
      <c r="M2777" t="s">
        <v>129</v>
      </c>
      <c r="N2777" t="s">
        <v>362</v>
      </c>
    </row>
    <row r="2778" spans="1:14">
      <c r="A2778" t="s">
        <v>152</v>
      </c>
      <c r="B2778">
        <v>1197831</v>
      </c>
      <c r="C2778" s="2">
        <v>44389</v>
      </c>
      <c r="D2778" t="s">
        <v>139</v>
      </c>
      <c r="E2778" t="s">
        <v>239</v>
      </c>
      <c r="F2778" t="s">
        <v>248</v>
      </c>
      <c r="G2778" t="s">
        <v>27</v>
      </c>
      <c r="H2778" s="3">
        <v>0.54999999999999993</v>
      </c>
      <c r="I2778">
        <v>6750</v>
      </c>
      <c r="J2778" s="4">
        <v>3712.4999999999995</v>
      </c>
      <c r="K2778" s="4">
        <v>1299.3749999999998</v>
      </c>
      <c r="L2778" s="5">
        <v>0.35</v>
      </c>
      <c r="M2778" t="s">
        <v>130</v>
      </c>
      <c r="N2778" t="s">
        <v>363</v>
      </c>
    </row>
    <row r="2779" spans="1:14">
      <c r="A2779" t="s">
        <v>152</v>
      </c>
      <c r="B2779">
        <v>1197831</v>
      </c>
      <c r="C2779" s="2">
        <v>44389</v>
      </c>
      <c r="D2779" t="s">
        <v>139</v>
      </c>
      <c r="E2779" t="s">
        <v>239</v>
      </c>
      <c r="F2779" t="s">
        <v>248</v>
      </c>
      <c r="G2779" t="s">
        <v>145</v>
      </c>
      <c r="H2779" s="3">
        <v>0.5</v>
      </c>
      <c r="I2779">
        <v>4250</v>
      </c>
      <c r="J2779" s="4">
        <v>2125</v>
      </c>
      <c r="K2779" s="4">
        <v>743.75</v>
      </c>
      <c r="L2779" s="5">
        <v>0.35</v>
      </c>
      <c r="M2779" t="s">
        <v>130</v>
      </c>
      <c r="N2779" t="s">
        <v>363</v>
      </c>
    </row>
    <row r="2780" spans="1:14">
      <c r="A2780" t="s">
        <v>152</v>
      </c>
      <c r="B2780">
        <v>1197831</v>
      </c>
      <c r="C2780" s="2">
        <v>44389</v>
      </c>
      <c r="D2780" t="s">
        <v>139</v>
      </c>
      <c r="E2780" t="s">
        <v>239</v>
      </c>
      <c r="F2780" t="s">
        <v>248</v>
      </c>
      <c r="G2780" t="s">
        <v>146</v>
      </c>
      <c r="H2780" s="3">
        <v>0.45</v>
      </c>
      <c r="I2780">
        <v>3500</v>
      </c>
      <c r="J2780" s="4">
        <v>1575</v>
      </c>
      <c r="K2780" s="4">
        <v>551.25</v>
      </c>
      <c r="L2780" s="5">
        <v>0.35</v>
      </c>
      <c r="M2780" t="s">
        <v>130</v>
      </c>
      <c r="N2780" t="s">
        <v>363</v>
      </c>
    </row>
    <row r="2781" spans="1:14">
      <c r="A2781" t="s">
        <v>152</v>
      </c>
      <c r="B2781">
        <v>1197831</v>
      </c>
      <c r="C2781" s="2">
        <v>44389</v>
      </c>
      <c r="D2781" t="s">
        <v>139</v>
      </c>
      <c r="E2781" t="s">
        <v>239</v>
      </c>
      <c r="F2781" t="s">
        <v>248</v>
      </c>
      <c r="G2781" t="s">
        <v>148</v>
      </c>
      <c r="H2781" s="3">
        <v>0.45</v>
      </c>
      <c r="I2781">
        <v>3000</v>
      </c>
      <c r="J2781" s="4">
        <v>1350</v>
      </c>
      <c r="K2781" s="4">
        <v>472.49999999999994</v>
      </c>
      <c r="L2781" s="5">
        <v>0.35</v>
      </c>
      <c r="M2781" t="s">
        <v>130</v>
      </c>
      <c r="N2781" t="s">
        <v>363</v>
      </c>
    </row>
    <row r="2782" spans="1:14">
      <c r="A2782" t="s">
        <v>152</v>
      </c>
      <c r="B2782">
        <v>1197831</v>
      </c>
      <c r="C2782" s="2">
        <v>44389</v>
      </c>
      <c r="D2782" t="s">
        <v>139</v>
      </c>
      <c r="E2782" t="s">
        <v>239</v>
      </c>
      <c r="F2782" t="s">
        <v>248</v>
      </c>
      <c r="G2782" t="s">
        <v>147</v>
      </c>
      <c r="H2782" s="3">
        <v>0.6</v>
      </c>
      <c r="I2782">
        <v>3250</v>
      </c>
      <c r="J2782" s="4">
        <v>1950</v>
      </c>
      <c r="K2782" s="4">
        <v>682.5</v>
      </c>
      <c r="L2782" s="5">
        <v>0.35</v>
      </c>
      <c r="M2782" t="s">
        <v>130</v>
      </c>
      <c r="N2782" t="s">
        <v>363</v>
      </c>
    </row>
    <row r="2783" spans="1:14">
      <c r="A2783" t="s">
        <v>152</v>
      </c>
      <c r="B2783">
        <v>1197831</v>
      </c>
      <c r="C2783" s="2">
        <v>44389</v>
      </c>
      <c r="D2783" t="s">
        <v>139</v>
      </c>
      <c r="E2783" t="s">
        <v>239</v>
      </c>
      <c r="F2783" t="s">
        <v>248</v>
      </c>
      <c r="G2783" t="s">
        <v>144</v>
      </c>
      <c r="H2783" s="3">
        <v>0.65</v>
      </c>
      <c r="I2783">
        <v>5000</v>
      </c>
      <c r="J2783" s="4">
        <v>3250</v>
      </c>
      <c r="K2783" s="4">
        <v>1137.5</v>
      </c>
      <c r="L2783" s="5">
        <v>0.35</v>
      </c>
      <c r="M2783" t="s">
        <v>130</v>
      </c>
      <c r="N2783" t="s">
        <v>363</v>
      </c>
    </row>
    <row r="2784" spans="1:14">
      <c r="A2784" t="s">
        <v>152</v>
      </c>
      <c r="B2784">
        <v>1197831</v>
      </c>
      <c r="C2784" s="2">
        <v>44421</v>
      </c>
      <c r="D2784" t="s">
        <v>139</v>
      </c>
      <c r="E2784" t="s">
        <v>239</v>
      </c>
      <c r="F2784" t="s">
        <v>248</v>
      </c>
      <c r="G2784" t="s">
        <v>27</v>
      </c>
      <c r="H2784" s="3">
        <v>0.6</v>
      </c>
      <c r="I2784">
        <v>6500</v>
      </c>
      <c r="J2784" s="4">
        <v>3900</v>
      </c>
      <c r="K2784" s="4">
        <v>1365</v>
      </c>
      <c r="L2784" s="5">
        <v>0.35</v>
      </c>
      <c r="M2784" t="s">
        <v>131</v>
      </c>
      <c r="N2784" t="s">
        <v>363</v>
      </c>
    </row>
    <row r="2785" spans="1:14">
      <c r="A2785" t="s">
        <v>152</v>
      </c>
      <c r="B2785">
        <v>1197831</v>
      </c>
      <c r="C2785" s="2">
        <v>44421</v>
      </c>
      <c r="D2785" t="s">
        <v>139</v>
      </c>
      <c r="E2785" t="s">
        <v>239</v>
      </c>
      <c r="F2785" t="s">
        <v>248</v>
      </c>
      <c r="G2785" t="s">
        <v>145</v>
      </c>
      <c r="H2785" s="3">
        <v>0.55000000000000004</v>
      </c>
      <c r="I2785">
        <v>4250</v>
      </c>
      <c r="J2785" s="4">
        <v>2337.5</v>
      </c>
      <c r="K2785" s="4">
        <v>818.125</v>
      </c>
      <c r="L2785" s="5">
        <v>0.35</v>
      </c>
      <c r="M2785" t="s">
        <v>131</v>
      </c>
      <c r="N2785" t="s">
        <v>363</v>
      </c>
    </row>
    <row r="2786" spans="1:14">
      <c r="A2786" t="s">
        <v>152</v>
      </c>
      <c r="B2786">
        <v>1197831</v>
      </c>
      <c r="C2786" s="2">
        <v>44421</v>
      </c>
      <c r="D2786" t="s">
        <v>139</v>
      </c>
      <c r="E2786" t="s">
        <v>239</v>
      </c>
      <c r="F2786" t="s">
        <v>248</v>
      </c>
      <c r="G2786" t="s">
        <v>146</v>
      </c>
      <c r="H2786" s="3">
        <v>0.5</v>
      </c>
      <c r="I2786">
        <v>3500</v>
      </c>
      <c r="J2786" s="4">
        <v>1750</v>
      </c>
      <c r="K2786" s="4">
        <v>612.5</v>
      </c>
      <c r="L2786" s="5">
        <v>0.35</v>
      </c>
      <c r="M2786" t="s">
        <v>131</v>
      </c>
      <c r="N2786" t="s">
        <v>363</v>
      </c>
    </row>
    <row r="2787" spans="1:14">
      <c r="A2787" t="s">
        <v>152</v>
      </c>
      <c r="B2787">
        <v>1197831</v>
      </c>
      <c r="C2787" s="2">
        <v>44421</v>
      </c>
      <c r="D2787" t="s">
        <v>139</v>
      </c>
      <c r="E2787" t="s">
        <v>239</v>
      </c>
      <c r="F2787" t="s">
        <v>248</v>
      </c>
      <c r="G2787" t="s">
        <v>148</v>
      </c>
      <c r="H2787" s="3">
        <v>0.4</v>
      </c>
      <c r="I2787">
        <v>3000</v>
      </c>
      <c r="J2787" s="4">
        <v>1200</v>
      </c>
      <c r="K2787" s="4">
        <v>420</v>
      </c>
      <c r="L2787" s="5">
        <v>0.35</v>
      </c>
      <c r="M2787" t="s">
        <v>131</v>
      </c>
      <c r="N2787" t="s">
        <v>363</v>
      </c>
    </row>
    <row r="2788" spans="1:14">
      <c r="A2788" t="s">
        <v>152</v>
      </c>
      <c r="B2788">
        <v>1197831</v>
      </c>
      <c r="C2788" s="2">
        <v>44421</v>
      </c>
      <c r="D2788" t="s">
        <v>139</v>
      </c>
      <c r="E2788" t="s">
        <v>239</v>
      </c>
      <c r="F2788" t="s">
        <v>248</v>
      </c>
      <c r="G2788" t="s">
        <v>147</v>
      </c>
      <c r="H2788" s="3">
        <v>0.5</v>
      </c>
      <c r="I2788">
        <v>2750</v>
      </c>
      <c r="J2788" s="4">
        <v>1375</v>
      </c>
      <c r="K2788" s="4">
        <v>481.24999999999994</v>
      </c>
      <c r="L2788" s="5">
        <v>0.35</v>
      </c>
      <c r="M2788" t="s">
        <v>131</v>
      </c>
      <c r="N2788" t="s">
        <v>363</v>
      </c>
    </row>
    <row r="2789" spans="1:14">
      <c r="A2789" t="s">
        <v>152</v>
      </c>
      <c r="B2789">
        <v>1197831</v>
      </c>
      <c r="C2789" s="2">
        <v>44421</v>
      </c>
      <c r="D2789" t="s">
        <v>139</v>
      </c>
      <c r="E2789" t="s">
        <v>239</v>
      </c>
      <c r="F2789" t="s">
        <v>248</v>
      </c>
      <c r="G2789" t="s">
        <v>144</v>
      </c>
      <c r="H2789" s="3">
        <v>0.55000000000000004</v>
      </c>
      <c r="I2789">
        <v>4500</v>
      </c>
      <c r="J2789" s="4">
        <v>2475</v>
      </c>
      <c r="K2789" s="4">
        <v>866.25</v>
      </c>
      <c r="L2789" s="5">
        <v>0.35</v>
      </c>
      <c r="M2789" t="s">
        <v>131</v>
      </c>
      <c r="N2789" t="s">
        <v>363</v>
      </c>
    </row>
    <row r="2790" spans="1:14">
      <c r="A2790" t="s">
        <v>152</v>
      </c>
      <c r="B2790">
        <v>1197831</v>
      </c>
      <c r="C2790" s="2">
        <v>44451</v>
      </c>
      <c r="D2790" t="s">
        <v>139</v>
      </c>
      <c r="E2790" t="s">
        <v>239</v>
      </c>
      <c r="F2790" t="s">
        <v>248</v>
      </c>
      <c r="G2790" t="s">
        <v>27</v>
      </c>
      <c r="H2790" s="3">
        <v>0.5</v>
      </c>
      <c r="I2790">
        <v>5500</v>
      </c>
      <c r="J2790" s="4">
        <v>2750</v>
      </c>
      <c r="K2790" s="4">
        <v>962.49999999999989</v>
      </c>
      <c r="L2790" s="5">
        <v>0.35</v>
      </c>
      <c r="M2790" t="s">
        <v>132</v>
      </c>
      <c r="N2790" t="s">
        <v>363</v>
      </c>
    </row>
    <row r="2791" spans="1:14">
      <c r="A2791" t="s">
        <v>152</v>
      </c>
      <c r="B2791">
        <v>1197831</v>
      </c>
      <c r="C2791" s="2">
        <v>44451</v>
      </c>
      <c r="D2791" t="s">
        <v>139</v>
      </c>
      <c r="E2791" t="s">
        <v>239</v>
      </c>
      <c r="F2791" t="s">
        <v>248</v>
      </c>
      <c r="G2791" t="s">
        <v>145</v>
      </c>
      <c r="H2791" s="3">
        <v>0.40000000000000013</v>
      </c>
      <c r="I2791">
        <v>3500</v>
      </c>
      <c r="J2791" s="4">
        <v>1400.0000000000005</v>
      </c>
      <c r="K2791" s="4">
        <v>490.00000000000011</v>
      </c>
      <c r="L2791" s="5">
        <v>0.35</v>
      </c>
      <c r="M2791" t="s">
        <v>132</v>
      </c>
      <c r="N2791" t="s">
        <v>363</v>
      </c>
    </row>
    <row r="2792" spans="1:14">
      <c r="A2792" t="s">
        <v>152</v>
      </c>
      <c r="B2792">
        <v>1197831</v>
      </c>
      <c r="C2792" s="2">
        <v>44451</v>
      </c>
      <c r="D2792" t="s">
        <v>139</v>
      </c>
      <c r="E2792" t="s">
        <v>239</v>
      </c>
      <c r="F2792" t="s">
        <v>248</v>
      </c>
      <c r="G2792" t="s">
        <v>146</v>
      </c>
      <c r="H2792" s="3">
        <v>0.15000000000000008</v>
      </c>
      <c r="I2792">
        <v>2500</v>
      </c>
      <c r="J2792" s="4">
        <v>375.00000000000017</v>
      </c>
      <c r="K2792" s="4">
        <v>131.25000000000006</v>
      </c>
      <c r="L2792" s="5">
        <v>0.35</v>
      </c>
      <c r="M2792" t="s">
        <v>132</v>
      </c>
      <c r="N2792" t="s">
        <v>363</v>
      </c>
    </row>
    <row r="2793" spans="1:14">
      <c r="A2793" t="s">
        <v>152</v>
      </c>
      <c r="B2793">
        <v>1197831</v>
      </c>
      <c r="C2793" s="2">
        <v>44451</v>
      </c>
      <c r="D2793" t="s">
        <v>139</v>
      </c>
      <c r="E2793" t="s">
        <v>239</v>
      </c>
      <c r="F2793" t="s">
        <v>248</v>
      </c>
      <c r="G2793" t="s">
        <v>148</v>
      </c>
      <c r="H2793" s="3">
        <v>0.15000000000000008</v>
      </c>
      <c r="I2793">
        <v>2250</v>
      </c>
      <c r="J2793" s="4">
        <v>337.50000000000017</v>
      </c>
      <c r="K2793" s="4">
        <v>118.12500000000006</v>
      </c>
      <c r="L2793" s="5">
        <v>0.35</v>
      </c>
      <c r="M2793" t="s">
        <v>132</v>
      </c>
      <c r="N2793" t="s">
        <v>363</v>
      </c>
    </row>
    <row r="2794" spans="1:14">
      <c r="A2794" t="s">
        <v>152</v>
      </c>
      <c r="B2794">
        <v>1197831</v>
      </c>
      <c r="C2794" s="2">
        <v>44451</v>
      </c>
      <c r="D2794" t="s">
        <v>139</v>
      </c>
      <c r="E2794" t="s">
        <v>239</v>
      </c>
      <c r="F2794" t="s">
        <v>248</v>
      </c>
      <c r="G2794" t="s">
        <v>147</v>
      </c>
      <c r="H2794" s="3">
        <v>0.25000000000000006</v>
      </c>
      <c r="I2794">
        <v>2250</v>
      </c>
      <c r="J2794" s="4">
        <v>562.50000000000011</v>
      </c>
      <c r="K2794" s="4">
        <v>196.87500000000003</v>
      </c>
      <c r="L2794" s="5">
        <v>0.35</v>
      </c>
      <c r="M2794" t="s">
        <v>132</v>
      </c>
      <c r="N2794" t="s">
        <v>363</v>
      </c>
    </row>
    <row r="2795" spans="1:14">
      <c r="A2795" t="s">
        <v>152</v>
      </c>
      <c r="B2795">
        <v>1197831</v>
      </c>
      <c r="C2795" s="2">
        <v>44451</v>
      </c>
      <c r="D2795" t="s">
        <v>139</v>
      </c>
      <c r="E2795" t="s">
        <v>239</v>
      </c>
      <c r="F2795" t="s">
        <v>248</v>
      </c>
      <c r="G2795" t="s">
        <v>144</v>
      </c>
      <c r="H2795" s="3">
        <v>0.3000000000000001</v>
      </c>
      <c r="I2795">
        <v>3250</v>
      </c>
      <c r="J2795" s="4">
        <v>975.00000000000034</v>
      </c>
      <c r="K2795" s="4">
        <v>341.25000000000011</v>
      </c>
      <c r="L2795" s="5">
        <v>0.35</v>
      </c>
      <c r="M2795" t="s">
        <v>132</v>
      </c>
      <c r="N2795" t="s">
        <v>363</v>
      </c>
    </row>
    <row r="2796" spans="1:14">
      <c r="A2796" t="s">
        <v>152</v>
      </c>
      <c r="B2796">
        <v>1197831</v>
      </c>
      <c r="C2796" s="2">
        <v>44483</v>
      </c>
      <c r="D2796" t="s">
        <v>139</v>
      </c>
      <c r="E2796" t="s">
        <v>239</v>
      </c>
      <c r="F2796" t="s">
        <v>248</v>
      </c>
      <c r="G2796" t="s">
        <v>27</v>
      </c>
      <c r="H2796" s="3">
        <v>0.3000000000000001</v>
      </c>
      <c r="I2796">
        <v>5000</v>
      </c>
      <c r="J2796" s="4">
        <v>1500.0000000000005</v>
      </c>
      <c r="K2796" s="4">
        <v>525.00000000000011</v>
      </c>
      <c r="L2796" s="5">
        <v>0.35</v>
      </c>
      <c r="M2796" t="s">
        <v>133</v>
      </c>
      <c r="N2796" t="s">
        <v>364</v>
      </c>
    </row>
    <row r="2797" spans="1:14">
      <c r="A2797" t="s">
        <v>152</v>
      </c>
      <c r="B2797">
        <v>1197831</v>
      </c>
      <c r="C2797" s="2">
        <v>44483</v>
      </c>
      <c r="D2797" t="s">
        <v>139</v>
      </c>
      <c r="E2797" t="s">
        <v>239</v>
      </c>
      <c r="F2797" t="s">
        <v>248</v>
      </c>
      <c r="G2797" t="s">
        <v>145</v>
      </c>
      <c r="H2797" s="3">
        <v>0.20000000000000012</v>
      </c>
      <c r="I2797">
        <v>3250</v>
      </c>
      <c r="J2797" s="4">
        <v>650.00000000000034</v>
      </c>
      <c r="K2797" s="4">
        <v>227.50000000000011</v>
      </c>
      <c r="L2797" s="5">
        <v>0.35</v>
      </c>
      <c r="M2797" t="s">
        <v>133</v>
      </c>
      <c r="N2797" t="s">
        <v>364</v>
      </c>
    </row>
    <row r="2798" spans="1:14">
      <c r="A2798" t="s">
        <v>152</v>
      </c>
      <c r="B2798">
        <v>1197831</v>
      </c>
      <c r="C2798" s="2">
        <v>44483</v>
      </c>
      <c r="D2798" t="s">
        <v>139</v>
      </c>
      <c r="E2798" t="s">
        <v>239</v>
      </c>
      <c r="F2798" t="s">
        <v>248</v>
      </c>
      <c r="G2798" t="s">
        <v>146</v>
      </c>
      <c r="H2798" s="3">
        <v>0.20000000000000012</v>
      </c>
      <c r="I2798">
        <v>2000</v>
      </c>
      <c r="J2798" s="4">
        <v>400.00000000000023</v>
      </c>
      <c r="K2798" s="4">
        <v>140.00000000000006</v>
      </c>
      <c r="L2798" s="5">
        <v>0.35</v>
      </c>
      <c r="M2798" t="s">
        <v>133</v>
      </c>
      <c r="N2798" t="s">
        <v>364</v>
      </c>
    </row>
    <row r="2799" spans="1:14">
      <c r="A2799" t="s">
        <v>152</v>
      </c>
      <c r="B2799">
        <v>1197831</v>
      </c>
      <c r="C2799" s="2">
        <v>44483</v>
      </c>
      <c r="D2799" t="s">
        <v>139</v>
      </c>
      <c r="E2799" t="s">
        <v>239</v>
      </c>
      <c r="F2799" t="s">
        <v>248</v>
      </c>
      <c r="G2799" t="s">
        <v>148</v>
      </c>
      <c r="H2799" s="3">
        <v>0.20000000000000012</v>
      </c>
      <c r="I2799">
        <v>1750</v>
      </c>
      <c r="J2799" s="4">
        <v>350.00000000000023</v>
      </c>
      <c r="K2799" s="4">
        <v>122.50000000000007</v>
      </c>
      <c r="L2799" s="5">
        <v>0.35</v>
      </c>
      <c r="M2799" t="s">
        <v>133</v>
      </c>
      <c r="N2799" t="s">
        <v>364</v>
      </c>
    </row>
    <row r="2800" spans="1:14">
      <c r="A2800" t="s">
        <v>152</v>
      </c>
      <c r="B2800">
        <v>1197831</v>
      </c>
      <c r="C2800" s="2">
        <v>44483</v>
      </c>
      <c r="D2800" t="s">
        <v>139</v>
      </c>
      <c r="E2800" t="s">
        <v>239</v>
      </c>
      <c r="F2800" t="s">
        <v>248</v>
      </c>
      <c r="G2800" t="s">
        <v>147</v>
      </c>
      <c r="H2800" s="3">
        <v>0.3000000000000001</v>
      </c>
      <c r="I2800">
        <v>1750</v>
      </c>
      <c r="J2800" s="4">
        <v>525.00000000000023</v>
      </c>
      <c r="K2800" s="4">
        <v>183.75000000000006</v>
      </c>
      <c r="L2800" s="5">
        <v>0.35</v>
      </c>
      <c r="M2800" t="s">
        <v>133</v>
      </c>
      <c r="N2800" t="s">
        <v>364</v>
      </c>
    </row>
    <row r="2801" spans="1:14">
      <c r="A2801" t="s">
        <v>152</v>
      </c>
      <c r="B2801">
        <v>1197831</v>
      </c>
      <c r="C2801" s="2">
        <v>44483</v>
      </c>
      <c r="D2801" t="s">
        <v>139</v>
      </c>
      <c r="E2801" t="s">
        <v>239</v>
      </c>
      <c r="F2801" t="s">
        <v>248</v>
      </c>
      <c r="G2801" t="s">
        <v>144</v>
      </c>
      <c r="H2801" s="3">
        <v>0.30000000000000004</v>
      </c>
      <c r="I2801">
        <v>3000</v>
      </c>
      <c r="J2801" s="4">
        <v>900.00000000000011</v>
      </c>
      <c r="K2801" s="4">
        <v>315</v>
      </c>
      <c r="L2801" s="5">
        <v>0.35</v>
      </c>
      <c r="M2801" t="s">
        <v>133</v>
      </c>
      <c r="N2801" t="s">
        <v>364</v>
      </c>
    </row>
    <row r="2802" spans="1:14">
      <c r="A2802" t="s">
        <v>152</v>
      </c>
      <c r="B2802">
        <v>1197831</v>
      </c>
      <c r="C2802" s="2">
        <v>44513</v>
      </c>
      <c r="D2802" t="s">
        <v>139</v>
      </c>
      <c r="E2802" t="s">
        <v>239</v>
      </c>
      <c r="F2802" t="s">
        <v>248</v>
      </c>
      <c r="G2802" t="s">
        <v>27</v>
      </c>
      <c r="H2802" s="3">
        <v>0.25000000000000011</v>
      </c>
      <c r="I2802">
        <v>4500</v>
      </c>
      <c r="J2802" s="4">
        <v>1125.0000000000005</v>
      </c>
      <c r="K2802" s="4">
        <v>393.75000000000011</v>
      </c>
      <c r="L2802" s="5">
        <v>0.35</v>
      </c>
      <c r="M2802" t="s">
        <v>134</v>
      </c>
      <c r="N2802" t="s">
        <v>364</v>
      </c>
    </row>
    <row r="2803" spans="1:14">
      <c r="A2803" t="s">
        <v>152</v>
      </c>
      <c r="B2803">
        <v>1197831</v>
      </c>
      <c r="C2803" s="2">
        <v>44513</v>
      </c>
      <c r="D2803" t="s">
        <v>139</v>
      </c>
      <c r="E2803" t="s">
        <v>239</v>
      </c>
      <c r="F2803" t="s">
        <v>248</v>
      </c>
      <c r="G2803" t="s">
        <v>145</v>
      </c>
      <c r="H2803" s="3">
        <v>0.15000000000000013</v>
      </c>
      <c r="I2803">
        <v>2750</v>
      </c>
      <c r="J2803" s="4">
        <v>412.50000000000034</v>
      </c>
      <c r="K2803" s="4">
        <v>144.37500000000011</v>
      </c>
      <c r="L2803" s="5">
        <v>0.35</v>
      </c>
      <c r="M2803" t="s">
        <v>134</v>
      </c>
      <c r="N2803" t="s">
        <v>364</v>
      </c>
    </row>
    <row r="2804" spans="1:14">
      <c r="A2804" t="s">
        <v>152</v>
      </c>
      <c r="B2804">
        <v>1197831</v>
      </c>
      <c r="C2804" s="2">
        <v>44513</v>
      </c>
      <c r="D2804" t="s">
        <v>139</v>
      </c>
      <c r="E2804" t="s">
        <v>239</v>
      </c>
      <c r="F2804" t="s">
        <v>248</v>
      </c>
      <c r="G2804" t="s">
        <v>146</v>
      </c>
      <c r="H2804" s="3">
        <v>0.25000000000000017</v>
      </c>
      <c r="I2804">
        <v>2200</v>
      </c>
      <c r="J2804" s="4">
        <v>550.00000000000034</v>
      </c>
      <c r="K2804" s="4">
        <v>192.50000000000011</v>
      </c>
      <c r="L2804" s="5">
        <v>0.35</v>
      </c>
      <c r="M2804" t="s">
        <v>134</v>
      </c>
      <c r="N2804" t="s">
        <v>364</v>
      </c>
    </row>
    <row r="2805" spans="1:14">
      <c r="A2805" t="s">
        <v>152</v>
      </c>
      <c r="B2805">
        <v>1197831</v>
      </c>
      <c r="C2805" s="2">
        <v>44513</v>
      </c>
      <c r="D2805" t="s">
        <v>139</v>
      </c>
      <c r="E2805" t="s">
        <v>239</v>
      </c>
      <c r="F2805" t="s">
        <v>248</v>
      </c>
      <c r="G2805" t="s">
        <v>148</v>
      </c>
      <c r="H2805" s="3">
        <v>0.55000000000000016</v>
      </c>
      <c r="I2805">
        <v>2750</v>
      </c>
      <c r="J2805" s="4">
        <v>1512.5000000000005</v>
      </c>
      <c r="K2805" s="4">
        <v>529.37500000000011</v>
      </c>
      <c r="L2805" s="5">
        <v>0.35</v>
      </c>
      <c r="M2805" t="s">
        <v>134</v>
      </c>
      <c r="N2805" t="s">
        <v>364</v>
      </c>
    </row>
    <row r="2806" spans="1:14">
      <c r="A2806" t="s">
        <v>152</v>
      </c>
      <c r="B2806">
        <v>1197831</v>
      </c>
      <c r="C2806" s="2">
        <v>44513</v>
      </c>
      <c r="D2806" t="s">
        <v>139</v>
      </c>
      <c r="E2806" t="s">
        <v>239</v>
      </c>
      <c r="F2806" t="s">
        <v>248</v>
      </c>
      <c r="G2806" t="s">
        <v>147</v>
      </c>
      <c r="H2806" s="3">
        <v>0.75000000000000011</v>
      </c>
      <c r="I2806">
        <v>2500</v>
      </c>
      <c r="J2806" s="4">
        <v>1875.0000000000002</v>
      </c>
      <c r="K2806" s="4">
        <v>656.25</v>
      </c>
      <c r="L2806" s="5">
        <v>0.35</v>
      </c>
      <c r="M2806" t="s">
        <v>134</v>
      </c>
      <c r="N2806" t="s">
        <v>364</v>
      </c>
    </row>
    <row r="2807" spans="1:14">
      <c r="A2807" t="s">
        <v>152</v>
      </c>
      <c r="B2807">
        <v>1197831</v>
      </c>
      <c r="C2807" s="2">
        <v>44513</v>
      </c>
      <c r="D2807" t="s">
        <v>139</v>
      </c>
      <c r="E2807" t="s">
        <v>239</v>
      </c>
      <c r="F2807" t="s">
        <v>248</v>
      </c>
      <c r="G2807" t="s">
        <v>144</v>
      </c>
      <c r="H2807" s="3">
        <v>0.75</v>
      </c>
      <c r="I2807">
        <v>3500</v>
      </c>
      <c r="J2807" s="4">
        <v>2625</v>
      </c>
      <c r="K2807" s="4">
        <v>918.74999999999989</v>
      </c>
      <c r="L2807" s="5">
        <v>0.35</v>
      </c>
      <c r="M2807" t="s">
        <v>134</v>
      </c>
      <c r="N2807" t="s">
        <v>364</v>
      </c>
    </row>
    <row r="2808" spans="1:14">
      <c r="A2808" t="s">
        <v>152</v>
      </c>
      <c r="B2808">
        <v>1197831</v>
      </c>
      <c r="C2808" s="2">
        <v>44542</v>
      </c>
      <c r="D2808" t="s">
        <v>139</v>
      </c>
      <c r="E2808" t="s">
        <v>239</v>
      </c>
      <c r="F2808" t="s">
        <v>248</v>
      </c>
      <c r="G2808" t="s">
        <v>27</v>
      </c>
      <c r="H2808" s="3">
        <v>0.70000000000000007</v>
      </c>
      <c r="I2808">
        <v>6000</v>
      </c>
      <c r="J2808" s="4">
        <v>4200</v>
      </c>
      <c r="K2808" s="4">
        <v>1470</v>
      </c>
      <c r="L2808" s="5">
        <v>0.35</v>
      </c>
      <c r="M2808" t="s">
        <v>23</v>
      </c>
      <c r="N2808" t="s">
        <v>364</v>
      </c>
    </row>
    <row r="2809" spans="1:14">
      <c r="A2809" t="s">
        <v>152</v>
      </c>
      <c r="B2809">
        <v>1197831</v>
      </c>
      <c r="C2809" s="2">
        <v>44542</v>
      </c>
      <c r="D2809" t="s">
        <v>139</v>
      </c>
      <c r="E2809" t="s">
        <v>239</v>
      </c>
      <c r="F2809" t="s">
        <v>248</v>
      </c>
      <c r="G2809" t="s">
        <v>145</v>
      </c>
      <c r="H2809" s="3">
        <v>0.60000000000000009</v>
      </c>
      <c r="I2809">
        <v>4000</v>
      </c>
      <c r="J2809" s="4">
        <v>2400.0000000000005</v>
      </c>
      <c r="K2809" s="4">
        <v>840.00000000000011</v>
      </c>
      <c r="L2809" s="5">
        <v>0.35</v>
      </c>
      <c r="M2809" t="s">
        <v>23</v>
      </c>
      <c r="N2809" t="s">
        <v>364</v>
      </c>
    </row>
    <row r="2810" spans="1:14">
      <c r="A2810" t="s">
        <v>152</v>
      </c>
      <c r="B2810">
        <v>1197831</v>
      </c>
      <c r="C2810" s="2">
        <v>44542</v>
      </c>
      <c r="D2810" t="s">
        <v>139</v>
      </c>
      <c r="E2810" t="s">
        <v>239</v>
      </c>
      <c r="F2810" t="s">
        <v>248</v>
      </c>
      <c r="G2810" t="s">
        <v>146</v>
      </c>
      <c r="H2810" s="3">
        <v>0.60000000000000009</v>
      </c>
      <c r="I2810">
        <v>3500</v>
      </c>
      <c r="J2810" s="4">
        <v>2100.0000000000005</v>
      </c>
      <c r="K2810" s="4">
        <v>735.00000000000011</v>
      </c>
      <c r="L2810" s="5">
        <v>0.35</v>
      </c>
      <c r="M2810" t="s">
        <v>23</v>
      </c>
      <c r="N2810" t="s">
        <v>364</v>
      </c>
    </row>
    <row r="2811" spans="1:14">
      <c r="A2811" t="s">
        <v>152</v>
      </c>
      <c r="B2811">
        <v>1197831</v>
      </c>
      <c r="C2811" s="2">
        <v>44542</v>
      </c>
      <c r="D2811" t="s">
        <v>139</v>
      </c>
      <c r="E2811" t="s">
        <v>239</v>
      </c>
      <c r="F2811" t="s">
        <v>248</v>
      </c>
      <c r="G2811" t="s">
        <v>148</v>
      </c>
      <c r="H2811" s="3">
        <v>0.60000000000000009</v>
      </c>
      <c r="I2811">
        <v>3000</v>
      </c>
      <c r="J2811" s="4">
        <v>1800.0000000000002</v>
      </c>
      <c r="K2811" s="4">
        <v>630</v>
      </c>
      <c r="L2811" s="5">
        <v>0.35</v>
      </c>
      <c r="M2811" t="s">
        <v>23</v>
      </c>
      <c r="N2811" t="s">
        <v>364</v>
      </c>
    </row>
    <row r="2812" spans="1:14">
      <c r="A2812" t="s">
        <v>152</v>
      </c>
      <c r="B2812">
        <v>1197831</v>
      </c>
      <c r="C2812" s="2">
        <v>44542</v>
      </c>
      <c r="D2812" t="s">
        <v>139</v>
      </c>
      <c r="E2812" t="s">
        <v>239</v>
      </c>
      <c r="F2812" t="s">
        <v>248</v>
      </c>
      <c r="G2812" t="s">
        <v>147</v>
      </c>
      <c r="H2812" s="3">
        <v>0.70000000000000007</v>
      </c>
      <c r="I2812">
        <v>3000</v>
      </c>
      <c r="J2812" s="4">
        <v>2100</v>
      </c>
      <c r="K2812" s="4">
        <v>735</v>
      </c>
      <c r="L2812" s="5">
        <v>0.35</v>
      </c>
      <c r="M2812" t="s">
        <v>23</v>
      </c>
      <c r="N2812" t="s">
        <v>364</v>
      </c>
    </row>
    <row r="2813" spans="1:14">
      <c r="A2813" t="s">
        <v>152</v>
      </c>
      <c r="B2813">
        <v>1197831</v>
      </c>
      <c r="C2813" s="2">
        <v>44542</v>
      </c>
      <c r="D2813" t="s">
        <v>139</v>
      </c>
      <c r="E2813" t="s">
        <v>239</v>
      </c>
      <c r="F2813" t="s">
        <v>248</v>
      </c>
      <c r="G2813" t="s">
        <v>144</v>
      </c>
      <c r="H2813" s="3">
        <v>0.75</v>
      </c>
      <c r="I2813">
        <v>4000</v>
      </c>
      <c r="J2813" s="4">
        <v>3000</v>
      </c>
      <c r="K2813" s="4">
        <v>1050</v>
      </c>
      <c r="L2813" s="5">
        <v>0.35</v>
      </c>
      <c r="M2813" t="s">
        <v>23</v>
      </c>
      <c r="N2813" t="s">
        <v>364</v>
      </c>
    </row>
    <row r="2814" spans="1:14">
      <c r="A2814" t="s">
        <v>29</v>
      </c>
      <c r="B2814">
        <v>1185732</v>
      </c>
      <c r="C2814" s="2">
        <v>44208</v>
      </c>
      <c r="D2814" t="s">
        <v>140</v>
      </c>
      <c r="E2814" t="s">
        <v>251</v>
      </c>
      <c r="F2814" t="s">
        <v>259</v>
      </c>
      <c r="G2814" t="s">
        <v>27</v>
      </c>
      <c r="H2814" s="3">
        <v>0.4</v>
      </c>
      <c r="I2814">
        <v>4750</v>
      </c>
      <c r="J2814" s="4">
        <v>1900</v>
      </c>
      <c r="K2814" s="4">
        <v>665</v>
      </c>
      <c r="L2814" s="5">
        <v>0.35</v>
      </c>
      <c r="M2814" t="s">
        <v>125</v>
      </c>
      <c r="N2814" t="s">
        <v>361</v>
      </c>
    </row>
    <row r="2815" spans="1:14">
      <c r="A2815" t="s">
        <v>29</v>
      </c>
      <c r="B2815">
        <v>1185732</v>
      </c>
      <c r="C2815" s="2">
        <v>44208</v>
      </c>
      <c r="D2815" t="s">
        <v>140</v>
      </c>
      <c r="E2815" t="s">
        <v>251</v>
      </c>
      <c r="F2815" t="s">
        <v>259</v>
      </c>
      <c r="G2815" t="s">
        <v>145</v>
      </c>
      <c r="H2815" s="3">
        <v>0.4</v>
      </c>
      <c r="I2815">
        <v>2750</v>
      </c>
      <c r="J2815" s="4">
        <v>1100</v>
      </c>
      <c r="K2815" s="4">
        <v>330</v>
      </c>
      <c r="L2815" s="5">
        <v>0.3</v>
      </c>
      <c r="M2815" t="s">
        <v>125</v>
      </c>
      <c r="N2815" t="s">
        <v>361</v>
      </c>
    </row>
    <row r="2816" spans="1:14">
      <c r="A2816" t="s">
        <v>29</v>
      </c>
      <c r="B2816">
        <v>1185732</v>
      </c>
      <c r="C2816" s="2">
        <v>44208</v>
      </c>
      <c r="D2816" t="s">
        <v>140</v>
      </c>
      <c r="E2816" t="s">
        <v>251</v>
      </c>
      <c r="F2816" t="s">
        <v>259</v>
      </c>
      <c r="G2816" t="s">
        <v>146</v>
      </c>
      <c r="H2816" s="3">
        <v>0.30000000000000004</v>
      </c>
      <c r="I2816">
        <v>2750</v>
      </c>
      <c r="J2816" s="4">
        <v>825.00000000000011</v>
      </c>
      <c r="K2816" s="4">
        <v>247.50000000000003</v>
      </c>
      <c r="L2816" s="5">
        <v>0.3</v>
      </c>
      <c r="M2816" t="s">
        <v>125</v>
      </c>
      <c r="N2816" t="s">
        <v>361</v>
      </c>
    </row>
    <row r="2817" spans="1:14">
      <c r="A2817" t="s">
        <v>29</v>
      </c>
      <c r="B2817">
        <v>1185732</v>
      </c>
      <c r="C2817" s="2">
        <v>44208</v>
      </c>
      <c r="D2817" t="s">
        <v>140</v>
      </c>
      <c r="E2817" t="s">
        <v>251</v>
      </c>
      <c r="F2817" t="s">
        <v>259</v>
      </c>
      <c r="G2817" t="s">
        <v>148</v>
      </c>
      <c r="H2817" s="3">
        <v>0.35000000000000003</v>
      </c>
      <c r="I2817">
        <v>1250</v>
      </c>
      <c r="J2817" s="4">
        <v>437.50000000000006</v>
      </c>
      <c r="K2817" s="4">
        <v>131.25</v>
      </c>
      <c r="L2817" s="5">
        <v>0.3</v>
      </c>
      <c r="M2817" t="s">
        <v>125</v>
      </c>
      <c r="N2817" t="s">
        <v>361</v>
      </c>
    </row>
    <row r="2818" spans="1:14">
      <c r="A2818" t="s">
        <v>29</v>
      </c>
      <c r="B2818">
        <v>1185732</v>
      </c>
      <c r="C2818" s="2">
        <v>44208</v>
      </c>
      <c r="D2818" t="s">
        <v>140</v>
      </c>
      <c r="E2818" t="s">
        <v>251</v>
      </c>
      <c r="F2818" t="s">
        <v>259</v>
      </c>
      <c r="G2818" t="s">
        <v>147</v>
      </c>
      <c r="H2818" s="3">
        <v>0.49999999999999994</v>
      </c>
      <c r="I2818">
        <v>1750</v>
      </c>
      <c r="J2818" s="4">
        <v>874.99999999999989</v>
      </c>
      <c r="K2818" s="4">
        <v>306.24999999999994</v>
      </c>
      <c r="L2818" s="5">
        <v>0.35</v>
      </c>
      <c r="M2818" t="s">
        <v>125</v>
      </c>
      <c r="N2818" t="s">
        <v>361</v>
      </c>
    </row>
    <row r="2819" spans="1:14">
      <c r="A2819" t="s">
        <v>29</v>
      </c>
      <c r="B2819">
        <v>1185732</v>
      </c>
      <c r="C2819" s="2">
        <v>44208</v>
      </c>
      <c r="D2819" t="s">
        <v>140</v>
      </c>
      <c r="E2819" t="s">
        <v>251</v>
      </c>
      <c r="F2819" t="s">
        <v>259</v>
      </c>
      <c r="G2819" t="s">
        <v>144</v>
      </c>
      <c r="H2819" s="3">
        <v>0.4</v>
      </c>
      <c r="I2819">
        <v>2750</v>
      </c>
      <c r="J2819" s="4">
        <v>1100</v>
      </c>
      <c r="K2819" s="4">
        <v>440</v>
      </c>
      <c r="L2819" s="5">
        <v>0.4</v>
      </c>
      <c r="M2819" t="s">
        <v>125</v>
      </c>
      <c r="N2819" t="s">
        <v>361</v>
      </c>
    </row>
    <row r="2820" spans="1:14">
      <c r="A2820" t="s">
        <v>29</v>
      </c>
      <c r="B2820">
        <v>1185732</v>
      </c>
      <c r="C2820" s="2">
        <v>44239</v>
      </c>
      <c r="D2820" t="s">
        <v>140</v>
      </c>
      <c r="E2820" t="s">
        <v>251</v>
      </c>
      <c r="F2820" t="s">
        <v>259</v>
      </c>
      <c r="G2820" t="s">
        <v>27</v>
      </c>
      <c r="H2820" s="3">
        <v>0.4</v>
      </c>
      <c r="I2820">
        <v>5250</v>
      </c>
      <c r="J2820" s="4">
        <v>2100</v>
      </c>
      <c r="K2820" s="4">
        <v>735</v>
      </c>
      <c r="L2820" s="5">
        <v>0.35</v>
      </c>
      <c r="M2820" t="s">
        <v>126</v>
      </c>
      <c r="N2820" t="s">
        <v>361</v>
      </c>
    </row>
    <row r="2821" spans="1:14">
      <c r="A2821" t="s">
        <v>29</v>
      </c>
      <c r="B2821">
        <v>1185732</v>
      </c>
      <c r="C2821" s="2">
        <v>44239</v>
      </c>
      <c r="D2821" t="s">
        <v>140</v>
      </c>
      <c r="E2821" t="s">
        <v>251</v>
      </c>
      <c r="F2821" t="s">
        <v>259</v>
      </c>
      <c r="G2821" t="s">
        <v>145</v>
      </c>
      <c r="H2821" s="3">
        <v>0.4</v>
      </c>
      <c r="I2821">
        <v>1750</v>
      </c>
      <c r="J2821" s="4">
        <v>700</v>
      </c>
      <c r="K2821" s="4">
        <v>210</v>
      </c>
      <c r="L2821" s="5">
        <v>0.3</v>
      </c>
      <c r="M2821" t="s">
        <v>126</v>
      </c>
      <c r="N2821" t="s">
        <v>361</v>
      </c>
    </row>
    <row r="2822" spans="1:14">
      <c r="A2822" t="s">
        <v>29</v>
      </c>
      <c r="B2822">
        <v>1185732</v>
      </c>
      <c r="C2822" s="2">
        <v>44239</v>
      </c>
      <c r="D2822" t="s">
        <v>140</v>
      </c>
      <c r="E2822" t="s">
        <v>251</v>
      </c>
      <c r="F2822" t="s">
        <v>259</v>
      </c>
      <c r="G2822" t="s">
        <v>146</v>
      </c>
      <c r="H2822" s="3">
        <v>0.30000000000000004</v>
      </c>
      <c r="I2822">
        <v>2250</v>
      </c>
      <c r="J2822" s="4">
        <v>675.00000000000011</v>
      </c>
      <c r="K2822" s="4">
        <v>202.50000000000003</v>
      </c>
      <c r="L2822" s="5">
        <v>0.3</v>
      </c>
      <c r="M2822" t="s">
        <v>126</v>
      </c>
      <c r="N2822" t="s">
        <v>361</v>
      </c>
    </row>
    <row r="2823" spans="1:14">
      <c r="A2823" t="s">
        <v>29</v>
      </c>
      <c r="B2823">
        <v>1185732</v>
      </c>
      <c r="C2823" s="2">
        <v>44239</v>
      </c>
      <c r="D2823" t="s">
        <v>140</v>
      </c>
      <c r="E2823" t="s">
        <v>251</v>
      </c>
      <c r="F2823" t="s">
        <v>259</v>
      </c>
      <c r="G2823" t="s">
        <v>148</v>
      </c>
      <c r="H2823" s="3">
        <v>0.35000000000000003</v>
      </c>
      <c r="I2823">
        <v>1000</v>
      </c>
      <c r="J2823" s="4">
        <v>350.00000000000006</v>
      </c>
      <c r="K2823" s="4">
        <v>105.00000000000001</v>
      </c>
      <c r="L2823" s="5">
        <v>0.3</v>
      </c>
      <c r="M2823" t="s">
        <v>126</v>
      </c>
      <c r="N2823" t="s">
        <v>361</v>
      </c>
    </row>
    <row r="2824" spans="1:14">
      <c r="A2824" t="s">
        <v>29</v>
      </c>
      <c r="B2824">
        <v>1185732</v>
      </c>
      <c r="C2824" s="2">
        <v>44239</v>
      </c>
      <c r="D2824" t="s">
        <v>140</v>
      </c>
      <c r="E2824" t="s">
        <v>251</v>
      </c>
      <c r="F2824" t="s">
        <v>259</v>
      </c>
      <c r="G2824" t="s">
        <v>147</v>
      </c>
      <c r="H2824" s="3">
        <v>0.49999999999999994</v>
      </c>
      <c r="I2824">
        <v>1750</v>
      </c>
      <c r="J2824" s="4">
        <v>874.99999999999989</v>
      </c>
      <c r="K2824" s="4">
        <v>306.24999999999994</v>
      </c>
      <c r="L2824" s="5">
        <v>0.35</v>
      </c>
      <c r="M2824" t="s">
        <v>126</v>
      </c>
      <c r="N2824" t="s">
        <v>361</v>
      </c>
    </row>
    <row r="2825" spans="1:14">
      <c r="A2825" t="s">
        <v>29</v>
      </c>
      <c r="B2825">
        <v>1185732</v>
      </c>
      <c r="C2825" s="2">
        <v>44239</v>
      </c>
      <c r="D2825" t="s">
        <v>140</v>
      </c>
      <c r="E2825" t="s">
        <v>251</v>
      </c>
      <c r="F2825" t="s">
        <v>259</v>
      </c>
      <c r="G2825" t="s">
        <v>144</v>
      </c>
      <c r="H2825" s="3">
        <v>0.35</v>
      </c>
      <c r="I2825">
        <v>2750</v>
      </c>
      <c r="J2825" s="4">
        <v>962.49999999999989</v>
      </c>
      <c r="K2825" s="4">
        <v>385</v>
      </c>
      <c r="L2825" s="5">
        <v>0.4</v>
      </c>
      <c r="M2825" t="s">
        <v>126</v>
      </c>
      <c r="N2825" t="s">
        <v>361</v>
      </c>
    </row>
    <row r="2826" spans="1:14">
      <c r="A2826" t="s">
        <v>29</v>
      </c>
      <c r="B2826">
        <v>1185732</v>
      </c>
      <c r="C2826" s="2">
        <v>44266</v>
      </c>
      <c r="D2826" t="s">
        <v>140</v>
      </c>
      <c r="E2826" t="s">
        <v>251</v>
      </c>
      <c r="F2826" t="s">
        <v>259</v>
      </c>
      <c r="G2826" t="s">
        <v>27</v>
      </c>
      <c r="H2826" s="3">
        <v>0.4</v>
      </c>
      <c r="I2826">
        <v>4950</v>
      </c>
      <c r="J2826" s="4">
        <v>1980</v>
      </c>
      <c r="K2826" s="4">
        <v>693</v>
      </c>
      <c r="L2826" s="5">
        <v>0.35</v>
      </c>
      <c r="M2826" t="s">
        <v>24</v>
      </c>
      <c r="N2826" t="s">
        <v>361</v>
      </c>
    </row>
    <row r="2827" spans="1:14">
      <c r="A2827" t="s">
        <v>29</v>
      </c>
      <c r="B2827">
        <v>1185732</v>
      </c>
      <c r="C2827" s="2">
        <v>44266</v>
      </c>
      <c r="D2827" t="s">
        <v>140</v>
      </c>
      <c r="E2827" t="s">
        <v>251</v>
      </c>
      <c r="F2827" t="s">
        <v>259</v>
      </c>
      <c r="G2827" t="s">
        <v>145</v>
      </c>
      <c r="H2827" s="3">
        <v>0.4</v>
      </c>
      <c r="I2827">
        <v>2000</v>
      </c>
      <c r="J2827" s="4">
        <v>800</v>
      </c>
      <c r="K2827" s="4">
        <v>240</v>
      </c>
      <c r="L2827" s="5">
        <v>0.3</v>
      </c>
      <c r="M2827" t="s">
        <v>24</v>
      </c>
      <c r="N2827" t="s">
        <v>361</v>
      </c>
    </row>
    <row r="2828" spans="1:14">
      <c r="A2828" t="s">
        <v>29</v>
      </c>
      <c r="B2828">
        <v>1185732</v>
      </c>
      <c r="C2828" s="2">
        <v>44266</v>
      </c>
      <c r="D2828" t="s">
        <v>140</v>
      </c>
      <c r="E2828" t="s">
        <v>251</v>
      </c>
      <c r="F2828" t="s">
        <v>259</v>
      </c>
      <c r="G2828" t="s">
        <v>146</v>
      </c>
      <c r="H2828" s="3">
        <v>0.30000000000000004</v>
      </c>
      <c r="I2828">
        <v>2250</v>
      </c>
      <c r="J2828" s="4">
        <v>675.00000000000011</v>
      </c>
      <c r="K2828" s="4">
        <v>202.50000000000003</v>
      </c>
      <c r="L2828" s="5">
        <v>0.3</v>
      </c>
      <c r="M2828" t="s">
        <v>24</v>
      </c>
      <c r="N2828" t="s">
        <v>361</v>
      </c>
    </row>
    <row r="2829" spans="1:14">
      <c r="A2829" t="s">
        <v>29</v>
      </c>
      <c r="B2829">
        <v>1185732</v>
      </c>
      <c r="C2829" s="2">
        <v>44266</v>
      </c>
      <c r="D2829" t="s">
        <v>140</v>
      </c>
      <c r="E2829" t="s">
        <v>251</v>
      </c>
      <c r="F2829" t="s">
        <v>259</v>
      </c>
      <c r="G2829" t="s">
        <v>148</v>
      </c>
      <c r="H2829" s="3">
        <v>0.35</v>
      </c>
      <c r="I2829">
        <v>750</v>
      </c>
      <c r="J2829" s="4">
        <v>262.5</v>
      </c>
      <c r="K2829" s="4">
        <v>78.75</v>
      </c>
      <c r="L2829" s="5">
        <v>0.3</v>
      </c>
      <c r="M2829" t="s">
        <v>24</v>
      </c>
      <c r="N2829" t="s">
        <v>361</v>
      </c>
    </row>
    <row r="2830" spans="1:14">
      <c r="A2830" t="s">
        <v>29</v>
      </c>
      <c r="B2830">
        <v>1185732</v>
      </c>
      <c r="C2830" s="2">
        <v>44266</v>
      </c>
      <c r="D2830" t="s">
        <v>140</v>
      </c>
      <c r="E2830" t="s">
        <v>251</v>
      </c>
      <c r="F2830" t="s">
        <v>259</v>
      </c>
      <c r="G2830" t="s">
        <v>147</v>
      </c>
      <c r="H2830" s="3">
        <v>0.5</v>
      </c>
      <c r="I2830">
        <v>1250</v>
      </c>
      <c r="J2830" s="4">
        <v>625</v>
      </c>
      <c r="K2830" s="4">
        <v>218.75</v>
      </c>
      <c r="L2830" s="5">
        <v>0.35</v>
      </c>
      <c r="M2830" t="s">
        <v>24</v>
      </c>
      <c r="N2830" t="s">
        <v>361</v>
      </c>
    </row>
    <row r="2831" spans="1:14">
      <c r="A2831" t="s">
        <v>29</v>
      </c>
      <c r="B2831">
        <v>1185732</v>
      </c>
      <c r="C2831" s="2">
        <v>44266</v>
      </c>
      <c r="D2831" t="s">
        <v>140</v>
      </c>
      <c r="E2831" t="s">
        <v>251</v>
      </c>
      <c r="F2831" t="s">
        <v>259</v>
      </c>
      <c r="G2831" t="s">
        <v>144</v>
      </c>
      <c r="H2831" s="3">
        <v>0.4</v>
      </c>
      <c r="I2831">
        <v>2250</v>
      </c>
      <c r="J2831" s="4">
        <v>900</v>
      </c>
      <c r="K2831" s="4">
        <v>360</v>
      </c>
      <c r="L2831" s="5">
        <v>0.4</v>
      </c>
      <c r="M2831" t="s">
        <v>24</v>
      </c>
      <c r="N2831" t="s">
        <v>361</v>
      </c>
    </row>
    <row r="2832" spans="1:14">
      <c r="A2832" t="s">
        <v>29</v>
      </c>
      <c r="B2832">
        <v>1185732</v>
      </c>
      <c r="C2832" s="2">
        <v>44298</v>
      </c>
      <c r="D2832" t="s">
        <v>140</v>
      </c>
      <c r="E2832" t="s">
        <v>251</v>
      </c>
      <c r="F2832" t="s">
        <v>259</v>
      </c>
      <c r="G2832" t="s">
        <v>27</v>
      </c>
      <c r="H2832" s="3">
        <v>0.4</v>
      </c>
      <c r="I2832">
        <v>4500</v>
      </c>
      <c r="J2832" s="4">
        <v>1800</v>
      </c>
      <c r="K2832" s="4">
        <v>630</v>
      </c>
      <c r="L2832" s="5">
        <v>0.35</v>
      </c>
      <c r="M2832" t="s">
        <v>127</v>
      </c>
      <c r="N2832" t="s">
        <v>362</v>
      </c>
    </row>
    <row r="2833" spans="1:14">
      <c r="A2833" t="s">
        <v>29</v>
      </c>
      <c r="B2833">
        <v>1185732</v>
      </c>
      <c r="C2833" s="2">
        <v>44298</v>
      </c>
      <c r="D2833" t="s">
        <v>140</v>
      </c>
      <c r="E2833" t="s">
        <v>251</v>
      </c>
      <c r="F2833" t="s">
        <v>259</v>
      </c>
      <c r="G2833" t="s">
        <v>145</v>
      </c>
      <c r="H2833" s="3">
        <v>0.4</v>
      </c>
      <c r="I2833">
        <v>1500</v>
      </c>
      <c r="J2833" s="4">
        <v>600</v>
      </c>
      <c r="K2833" s="4">
        <v>180</v>
      </c>
      <c r="L2833" s="5">
        <v>0.3</v>
      </c>
      <c r="M2833" t="s">
        <v>127</v>
      </c>
      <c r="N2833" t="s">
        <v>362</v>
      </c>
    </row>
    <row r="2834" spans="1:14">
      <c r="A2834" t="s">
        <v>29</v>
      </c>
      <c r="B2834">
        <v>1185732</v>
      </c>
      <c r="C2834" s="2">
        <v>44298</v>
      </c>
      <c r="D2834" t="s">
        <v>140</v>
      </c>
      <c r="E2834" t="s">
        <v>251</v>
      </c>
      <c r="F2834" t="s">
        <v>259</v>
      </c>
      <c r="G2834" t="s">
        <v>146</v>
      </c>
      <c r="H2834" s="3">
        <v>0.30000000000000004</v>
      </c>
      <c r="I2834">
        <v>1500</v>
      </c>
      <c r="J2834" s="4">
        <v>450.00000000000006</v>
      </c>
      <c r="K2834" s="4">
        <v>135</v>
      </c>
      <c r="L2834" s="5">
        <v>0.3</v>
      </c>
      <c r="M2834" t="s">
        <v>127</v>
      </c>
      <c r="N2834" t="s">
        <v>362</v>
      </c>
    </row>
    <row r="2835" spans="1:14">
      <c r="A2835" t="s">
        <v>29</v>
      </c>
      <c r="B2835">
        <v>1185732</v>
      </c>
      <c r="C2835" s="2">
        <v>44298</v>
      </c>
      <c r="D2835" t="s">
        <v>140</v>
      </c>
      <c r="E2835" t="s">
        <v>251</v>
      </c>
      <c r="F2835" t="s">
        <v>259</v>
      </c>
      <c r="G2835" t="s">
        <v>148</v>
      </c>
      <c r="H2835" s="3">
        <v>0.35</v>
      </c>
      <c r="I2835">
        <v>750</v>
      </c>
      <c r="J2835" s="4">
        <v>262.5</v>
      </c>
      <c r="K2835" s="4">
        <v>78.75</v>
      </c>
      <c r="L2835" s="5">
        <v>0.3</v>
      </c>
      <c r="M2835" t="s">
        <v>127</v>
      </c>
      <c r="N2835" t="s">
        <v>362</v>
      </c>
    </row>
    <row r="2836" spans="1:14">
      <c r="A2836" t="s">
        <v>29</v>
      </c>
      <c r="B2836">
        <v>1185732</v>
      </c>
      <c r="C2836" s="2">
        <v>44298</v>
      </c>
      <c r="D2836" t="s">
        <v>140</v>
      </c>
      <c r="E2836" t="s">
        <v>251</v>
      </c>
      <c r="F2836" t="s">
        <v>259</v>
      </c>
      <c r="G2836" t="s">
        <v>147</v>
      </c>
      <c r="H2836" s="3">
        <v>0.6</v>
      </c>
      <c r="I2836">
        <v>1000</v>
      </c>
      <c r="J2836" s="4">
        <v>600</v>
      </c>
      <c r="K2836" s="4">
        <v>210</v>
      </c>
      <c r="L2836" s="5">
        <v>0.35</v>
      </c>
      <c r="M2836" t="s">
        <v>127</v>
      </c>
      <c r="N2836" t="s">
        <v>362</v>
      </c>
    </row>
    <row r="2837" spans="1:14">
      <c r="A2837" t="s">
        <v>29</v>
      </c>
      <c r="B2837">
        <v>1185732</v>
      </c>
      <c r="C2837" s="2">
        <v>44298</v>
      </c>
      <c r="D2837" t="s">
        <v>140</v>
      </c>
      <c r="E2837" t="s">
        <v>251</v>
      </c>
      <c r="F2837" t="s">
        <v>259</v>
      </c>
      <c r="G2837" t="s">
        <v>144</v>
      </c>
      <c r="H2837" s="3">
        <v>0.5</v>
      </c>
      <c r="I2837">
        <v>2250</v>
      </c>
      <c r="J2837" s="4">
        <v>1125</v>
      </c>
      <c r="K2837" s="4">
        <v>450</v>
      </c>
      <c r="L2837" s="5">
        <v>0.4</v>
      </c>
      <c r="M2837" t="s">
        <v>127</v>
      </c>
      <c r="N2837" t="s">
        <v>362</v>
      </c>
    </row>
    <row r="2838" spans="1:14">
      <c r="A2838" t="s">
        <v>29</v>
      </c>
      <c r="B2838">
        <v>1185732</v>
      </c>
      <c r="C2838" s="2">
        <v>44329</v>
      </c>
      <c r="D2838" t="s">
        <v>140</v>
      </c>
      <c r="E2838" t="s">
        <v>251</v>
      </c>
      <c r="F2838" t="s">
        <v>259</v>
      </c>
      <c r="G2838" t="s">
        <v>27</v>
      </c>
      <c r="H2838" s="3">
        <v>0.6</v>
      </c>
      <c r="I2838">
        <v>4950</v>
      </c>
      <c r="J2838" s="4">
        <v>2970</v>
      </c>
      <c r="K2838" s="4">
        <v>1039.5</v>
      </c>
      <c r="L2838" s="5">
        <v>0.35</v>
      </c>
      <c r="M2838" t="s">
        <v>128</v>
      </c>
      <c r="N2838" t="s">
        <v>362</v>
      </c>
    </row>
    <row r="2839" spans="1:14">
      <c r="A2839" t="s">
        <v>29</v>
      </c>
      <c r="B2839">
        <v>1185732</v>
      </c>
      <c r="C2839" s="2">
        <v>44329</v>
      </c>
      <c r="D2839" t="s">
        <v>140</v>
      </c>
      <c r="E2839" t="s">
        <v>251</v>
      </c>
      <c r="F2839" t="s">
        <v>259</v>
      </c>
      <c r="G2839" t="s">
        <v>145</v>
      </c>
      <c r="H2839" s="3">
        <v>0.5</v>
      </c>
      <c r="I2839">
        <v>2000</v>
      </c>
      <c r="J2839" s="4">
        <v>1000</v>
      </c>
      <c r="K2839" s="4">
        <v>300</v>
      </c>
      <c r="L2839" s="5">
        <v>0.3</v>
      </c>
      <c r="M2839" t="s">
        <v>128</v>
      </c>
      <c r="N2839" t="s">
        <v>362</v>
      </c>
    </row>
    <row r="2840" spans="1:14">
      <c r="A2840" t="s">
        <v>29</v>
      </c>
      <c r="B2840">
        <v>1185732</v>
      </c>
      <c r="C2840" s="2">
        <v>44329</v>
      </c>
      <c r="D2840" t="s">
        <v>140</v>
      </c>
      <c r="E2840" t="s">
        <v>251</v>
      </c>
      <c r="F2840" t="s">
        <v>259</v>
      </c>
      <c r="G2840" t="s">
        <v>146</v>
      </c>
      <c r="H2840" s="3">
        <v>0.45</v>
      </c>
      <c r="I2840">
        <v>1750</v>
      </c>
      <c r="J2840" s="4">
        <v>787.5</v>
      </c>
      <c r="K2840" s="4">
        <v>236.25</v>
      </c>
      <c r="L2840" s="5">
        <v>0.3</v>
      </c>
      <c r="M2840" t="s">
        <v>128</v>
      </c>
      <c r="N2840" t="s">
        <v>362</v>
      </c>
    </row>
    <row r="2841" spans="1:14">
      <c r="A2841" t="s">
        <v>29</v>
      </c>
      <c r="B2841">
        <v>1185732</v>
      </c>
      <c r="C2841" s="2">
        <v>44329</v>
      </c>
      <c r="D2841" t="s">
        <v>140</v>
      </c>
      <c r="E2841" t="s">
        <v>251</v>
      </c>
      <c r="F2841" t="s">
        <v>259</v>
      </c>
      <c r="G2841" t="s">
        <v>148</v>
      </c>
      <c r="H2841" s="3">
        <v>0.45</v>
      </c>
      <c r="I2841">
        <v>1000</v>
      </c>
      <c r="J2841" s="4">
        <v>450</v>
      </c>
      <c r="K2841" s="4">
        <v>135</v>
      </c>
      <c r="L2841" s="5">
        <v>0.3</v>
      </c>
      <c r="M2841" t="s">
        <v>128</v>
      </c>
      <c r="N2841" t="s">
        <v>362</v>
      </c>
    </row>
    <row r="2842" spans="1:14">
      <c r="A2842" t="s">
        <v>29</v>
      </c>
      <c r="B2842">
        <v>1185732</v>
      </c>
      <c r="C2842" s="2">
        <v>44329</v>
      </c>
      <c r="D2842" t="s">
        <v>140</v>
      </c>
      <c r="E2842" t="s">
        <v>251</v>
      </c>
      <c r="F2842" t="s">
        <v>259</v>
      </c>
      <c r="G2842" t="s">
        <v>147</v>
      </c>
      <c r="H2842" s="3">
        <v>0.54999999999999993</v>
      </c>
      <c r="I2842">
        <v>1250</v>
      </c>
      <c r="J2842" s="4">
        <v>687.49999999999989</v>
      </c>
      <c r="K2842" s="4">
        <v>240.62499999999994</v>
      </c>
      <c r="L2842" s="5">
        <v>0.35</v>
      </c>
      <c r="M2842" t="s">
        <v>128</v>
      </c>
      <c r="N2842" t="s">
        <v>362</v>
      </c>
    </row>
    <row r="2843" spans="1:14">
      <c r="A2843" t="s">
        <v>29</v>
      </c>
      <c r="B2843">
        <v>1185732</v>
      </c>
      <c r="C2843" s="2">
        <v>44329</v>
      </c>
      <c r="D2843" t="s">
        <v>140</v>
      </c>
      <c r="E2843" t="s">
        <v>251</v>
      </c>
      <c r="F2843" t="s">
        <v>259</v>
      </c>
      <c r="G2843" t="s">
        <v>144</v>
      </c>
      <c r="H2843" s="3">
        <v>0.6</v>
      </c>
      <c r="I2843">
        <v>2500</v>
      </c>
      <c r="J2843" s="4">
        <v>1500</v>
      </c>
      <c r="K2843" s="4">
        <v>600</v>
      </c>
      <c r="L2843" s="5">
        <v>0.4</v>
      </c>
      <c r="M2843" t="s">
        <v>128</v>
      </c>
      <c r="N2843" t="s">
        <v>362</v>
      </c>
    </row>
    <row r="2844" spans="1:14">
      <c r="A2844" t="s">
        <v>29</v>
      </c>
      <c r="B2844">
        <v>1185732</v>
      </c>
      <c r="C2844" s="2">
        <v>44359</v>
      </c>
      <c r="D2844" t="s">
        <v>140</v>
      </c>
      <c r="E2844" t="s">
        <v>251</v>
      </c>
      <c r="F2844" t="s">
        <v>259</v>
      </c>
      <c r="G2844" t="s">
        <v>27</v>
      </c>
      <c r="H2844" s="3">
        <v>0.45</v>
      </c>
      <c r="I2844">
        <v>5000</v>
      </c>
      <c r="J2844" s="4">
        <v>2250</v>
      </c>
      <c r="K2844" s="4">
        <v>787.5</v>
      </c>
      <c r="L2844" s="5">
        <v>0.35</v>
      </c>
      <c r="M2844" t="s">
        <v>129</v>
      </c>
      <c r="N2844" t="s">
        <v>362</v>
      </c>
    </row>
    <row r="2845" spans="1:14">
      <c r="A2845" t="s">
        <v>29</v>
      </c>
      <c r="B2845">
        <v>1185732</v>
      </c>
      <c r="C2845" s="2">
        <v>44359</v>
      </c>
      <c r="D2845" t="s">
        <v>140</v>
      </c>
      <c r="E2845" t="s">
        <v>251</v>
      </c>
      <c r="F2845" t="s">
        <v>259</v>
      </c>
      <c r="G2845" t="s">
        <v>145</v>
      </c>
      <c r="H2845" s="3">
        <v>0.40000000000000008</v>
      </c>
      <c r="I2845">
        <v>2500</v>
      </c>
      <c r="J2845" s="4">
        <v>1000.0000000000002</v>
      </c>
      <c r="K2845" s="4">
        <v>300.00000000000006</v>
      </c>
      <c r="L2845" s="5">
        <v>0.3</v>
      </c>
      <c r="M2845" t="s">
        <v>129</v>
      </c>
      <c r="N2845" t="s">
        <v>362</v>
      </c>
    </row>
    <row r="2846" spans="1:14">
      <c r="A2846" t="s">
        <v>29</v>
      </c>
      <c r="B2846">
        <v>1185732</v>
      </c>
      <c r="C2846" s="2">
        <v>44359</v>
      </c>
      <c r="D2846" t="s">
        <v>140</v>
      </c>
      <c r="E2846" t="s">
        <v>251</v>
      </c>
      <c r="F2846" t="s">
        <v>259</v>
      </c>
      <c r="G2846" t="s">
        <v>146</v>
      </c>
      <c r="H2846" s="3">
        <v>0.35000000000000003</v>
      </c>
      <c r="I2846">
        <v>2000</v>
      </c>
      <c r="J2846" s="4">
        <v>700.00000000000011</v>
      </c>
      <c r="K2846" s="4">
        <v>210.00000000000003</v>
      </c>
      <c r="L2846" s="5">
        <v>0.3</v>
      </c>
      <c r="M2846" t="s">
        <v>129</v>
      </c>
      <c r="N2846" t="s">
        <v>362</v>
      </c>
    </row>
    <row r="2847" spans="1:14">
      <c r="A2847" t="s">
        <v>29</v>
      </c>
      <c r="B2847">
        <v>1185732</v>
      </c>
      <c r="C2847" s="2">
        <v>44359</v>
      </c>
      <c r="D2847" t="s">
        <v>140</v>
      </c>
      <c r="E2847" t="s">
        <v>251</v>
      </c>
      <c r="F2847" t="s">
        <v>259</v>
      </c>
      <c r="G2847" t="s">
        <v>148</v>
      </c>
      <c r="H2847" s="3">
        <v>0.35000000000000003</v>
      </c>
      <c r="I2847">
        <v>1750</v>
      </c>
      <c r="J2847" s="4">
        <v>612.50000000000011</v>
      </c>
      <c r="K2847" s="4">
        <v>183.75000000000003</v>
      </c>
      <c r="L2847" s="5">
        <v>0.3</v>
      </c>
      <c r="M2847" t="s">
        <v>129</v>
      </c>
      <c r="N2847" t="s">
        <v>362</v>
      </c>
    </row>
    <row r="2848" spans="1:14">
      <c r="A2848" t="s">
        <v>29</v>
      </c>
      <c r="B2848">
        <v>1185732</v>
      </c>
      <c r="C2848" s="2">
        <v>44359</v>
      </c>
      <c r="D2848" t="s">
        <v>140</v>
      </c>
      <c r="E2848" t="s">
        <v>251</v>
      </c>
      <c r="F2848" t="s">
        <v>259</v>
      </c>
      <c r="G2848" t="s">
        <v>147</v>
      </c>
      <c r="H2848" s="3">
        <v>0.45</v>
      </c>
      <c r="I2848">
        <v>1750</v>
      </c>
      <c r="J2848" s="4">
        <v>787.5</v>
      </c>
      <c r="K2848" s="4">
        <v>275.625</v>
      </c>
      <c r="L2848" s="5">
        <v>0.35</v>
      </c>
      <c r="M2848" t="s">
        <v>129</v>
      </c>
      <c r="N2848" t="s">
        <v>362</v>
      </c>
    </row>
    <row r="2849" spans="1:14">
      <c r="A2849" t="s">
        <v>29</v>
      </c>
      <c r="B2849">
        <v>1185732</v>
      </c>
      <c r="C2849" s="2">
        <v>44359</v>
      </c>
      <c r="D2849" t="s">
        <v>140</v>
      </c>
      <c r="E2849" t="s">
        <v>251</v>
      </c>
      <c r="F2849" t="s">
        <v>259</v>
      </c>
      <c r="G2849" t="s">
        <v>144</v>
      </c>
      <c r="H2849" s="3">
        <v>0.55000000000000004</v>
      </c>
      <c r="I2849">
        <v>3250</v>
      </c>
      <c r="J2849" s="4">
        <v>1787.5000000000002</v>
      </c>
      <c r="K2849" s="4">
        <v>715.00000000000011</v>
      </c>
      <c r="L2849" s="5">
        <v>0.4</v>
      </c>
      <c r="M2849" t="s">
        <v>129</v>
      </c>
      <c r="N2849" t="s">
        <v>362</v>
      </c>
    </row>
    <row r="2850" spans="1:14">
      <c r="A2850" t="s">
        <v>29</v>
      </c>
      <c r="B2850">
        <v>1185732</v>
      </c>
      <c r="C2850" s="2">
        <v>44388</v>
      </c>
      <c r="D2850" t="s">
        <v>140</v>
      </c>
      <c r="E2850" t="s">
        <v>251</v>
      </c>
      <c r="F2850" t="s">
        <v>259</v>
      </c>
      <c r="G2850" t="s">
        <v>27</v>
      </c>
      <c r="H2850" s="3">
        <v>0.5</v>
      </c>
      <c r="I2850">
        <v>5500</v>
      </c>
      <c r="J2850" s="4">
        <v>2750</v>
      </c>
      <c r="K2850" s="4">
        <v>962.49999999999989</v>
      </c>
      <c r="L2850" s="5">
        <v>0.35</v>
      </c>
      <c r="M2850" t="s">
        <v>130</v>
      </c>
      <c r="N2850" t="s">
        <v>363</v>
      </c>
    </row>
    <row r="2851" spans="1:14">
      <c r="A2851" t="s">
        <v>29</v>
      </c>
      <c r="B2851">
        <v>1185732</v>
      </c>
      <c r="C2851" s="2">
        <v>44388</v>
      </c>
      <c r="D2851" t="s">
        <v>140</v>
      </c>
      <c r="E2851" t="s">
        <v>251</v>
      </c>
      <c r="F2851" t="s">
        <v>259</v>
      </c>
      <c r="G2851" t="s">
        <v>145</v>
      </c>
      <c r="H2851" s="3">
        <v>0.45000000000000007</v>
      </c>
      <c r="I2851">
        <v>3000</v>
      </c>
      <c r="J2851" s="4">
        <v>1350.0000000000002</v>
      </c>
      <c r="K2851" s="4">
        <v>405.00000000000006</v>
      </c>
      <c r="L2851" s="5">
        <v>0.3</v>
      </c>
      <c r="M2851" t="s">
        <v>130</v>
      </c>
      <c r="N2851" t="s">
        <v>363</v>
      </c>
    </row>
    <row r="2852" spans="1:14">
      <c r="A2852" t="s">
        <v>29</v>
      </c>
      <c r="B2852">
        <v>1185732</v>
      </c>
      <c r="C2852" s="2">
        <v>44388</v>
      </c>
      <c r="D2852" t="s">
        <v>140</v>
      </c>
      <c r="E2852" t="s">
        <v>251</v>
      </c>
      <c r="F2852" t="s">
        <v>259</v>
      </c>
      <c r="G2852" t="s">
        <v>146</v>
      </c>
      <c r="H2852" s="3">
        <v>0.4</v>
      </c>
      <c r="I2852">
        <v>2250</v>
      </c>
      <c r="J2852" s="4">
        <v>900</v>
      </c>
      <c r="K2852" s="4">
        <v>270</v>
      </c>
      <c r="L2852" s="5">
        <v>0.3</v>
      </c>
      <c r="M2852" t="s">
        <v>130</v>
      </c>
      <c r="N2852" t="s">
        <v>363</v>
      </c>
    </row>
    <row r="2853" spans="1:14">
      <c r="A2853" t="s">
        <v>29</v>
      </c>
      <c r="B2853">
        <v>1185732</v>
      </c>
      <c r="C2853" s="2">
        <v>44388</v>
      </c>
      <c r="D2853" t="s">
        <v>140</v>
      </c>
      <c r="E2853" t="s">
        <v>251</v>
      </c>
      <c r="F2853" t="s">
        <v>259</v>
      </c>
      <c r="G2853" t="s">
        <v>148</v>
      </c>
      <c r="H2853" s="3">
        <v>0.4</v>
      </c>
      <c r="I2853">
        <v>1750</v>
      </c>
      <c r="J2853" s="4">
        <v>700</v>
      </c>
      <c r="K2853" s="4">
        <v>210</v>
      </c>
      <c r="L2853" s="5">
        <v>0.3</v>
      </c>
      <c r="M2853" t="s">
        <v>130</v>
      </c>
      <c r="N2853" t="s">
        <v>363</v>
      </c>
    </row>
    <row r="2854" spans="1:14">
      <c r="A2854" t="s">
        <v>29</v>
      </c>
      <c r="B2854">
        <v>1185732</v>
      </c>
      <c r="C2854" s="2">
        <v>44388</v>
      </c>
      <c r="D2854" t="s">
        <v>140</v>
      </c>
      <c r="E2854" t="s">
        <v>251</v>
      </c>
      <c r="F2854" t="s">
        <v>259</v>
      </c>
      <c r="G2854" t="s">
        <v>147</v>
      </c>
      <c r="H2854" s="3">
        <v>0.5</v>
      </c>
      <c r="I2854">
        <v>2000</v>
      </c>
      <c r="J2854" s="4">
        <v>1000</v>
      </c>
      <c r="K2854" s="4">
        <v>350</v>
      </c>
      <c r="L2854" s="5">
        <v>0.35</v>
      </c>
      <c r="M2854" t="s">
        <v>130</v>
      </c>
      <c r="N2854" t="s">
        <v>363</v>
      </c>
    </row>
    <row r="2855" spans="1:14">
      <c r="A2855" t="s">
        <v>29</v>
      </c>
      <c r="B2855">
        <v>1185732</v>
      </c>
      <c r="C2855" s="2">
        <v>44388</v>
      </c>
      <c r="D2855" t="s">
        <v>140</v>
      </c>
      <c r="E2855" t="s">
        <v>251</v>
      </c>
      <c r="F2855" t="s">
        <v>259</v>
      </c>
      <c r="G2855" t="s">
        <v>144</v>
      </c>
      <c r="H2855" s="3">
        <v>0.55000000000000004</v>
      </c>
      <c r="I2855">
        <v>3750</v>
      </c>
      <c r="J2855" s="4">
        <v>2062.5</v>
      </c>
      <c r="K2855" s="4">
        <v>825</v>
      </c>
      <c r="L2855" s="5">
        <v>0.4</v>
      </c>
      <c r="M2855" t="s">
        <v>130</v>
      </c>
      <c r="N2855" t="s">
        <v>363</v>
      </c>
    </row>
    <row r="2856" spans="1:14">
      <c r="A2856" t="s">
        <v>29</v>
      </c>
      <c r="B2856">
        <v>1185732</v>
      </c>
      <c r="C2856" s="2">
        <v>44420</v>
      </c>
      <c r="D2856" t="s">
        <v>140</v>
      </c>
      <c r="E2856" t="s">
        <v>251</v>
      </c>
      <c r="F2856" t="s">
        <v>259</v>
      </c>
      <c r="G2856" t="s">
        <v>27</v>
      </c>
      <c r="H2856" s="3">
        <v>0.5</v>
      </c>
      <c r="I2856">
        <v>5250</v>
      </c>
      <c r="J2856" s="4">
        <v>2625</v>
      </c>
      <c r="K2856" s="4">
        <v>918.74999999999989</v>
      </c>
      <c r="L2856" s="5">
        <v>0.35</v>
      </c>
      <c r="M2856" t="s">
        <v>131</v>
      </c>
      <c r="N2856" t="s">
        <v>363</v>
      </c>
    </row>
    <row r="2857" spans="1:14">
      <c r="A2857" t="s">
        <v>29</v>
      </c>
      <c r="B2857">
        <v>1185732</v>
      </c>
      <c r="C2857" s="2">
        <v>44420</v>
      </c>
      <c r="D2857" t="s">
        <v>140</v>
      </c>
      <c r="E2857" t="s">
        <v>251</v>
      </c>
      <c r="F2857" t="s">
        <v>259</v>
      </c>
      <c r="G2857" t="s">
        <v>145</v>
      </c>
      <c r="H2857" s="3">
        <v>0.45000000000000007</v>
      </c>
      <c r="I2857">
        <v>3000</v>
      </c>
      <c r="J2857" s="4">
        <v>1350.0000000000002</v>
      </c>
      <c r="K2857" s="4">
        <v>405.00000000000006</v>
      </c>
      <c r="L2857" s="5">
        <v>0.3</v>
      </c>
      <c r="M2857" t="s">
        <v>131</v>
      </c>
      <c r="N2857" t="s">
        <v>363</v>
      </c>
    </row>
    <row r="2858" spans="1:14">
      <c r="A2858" t="s">
        <v>29</v>
      </c>
      <c r="B2858">
        <v>1185732</v>
      </c>
      <c r="C2858" s="2">
        <v>44420</v>
      </c>
      <c r="D2858" t="s">
        <v>140</v>
      </c>
      <c r="E2858" t="s">
        <v>251</v>
      </c>
      <c r="F2858" t="s">
        <v>259</v>
      </c>
      <c r="G2858" t="s">
        <v>146</v>
      </c>
      <c r="H2858" s="3">
        <v>0.4</v>
      </c>
      <c r="I2858">
        <v>2250</v>
      </c>
      <c r="J2858" s="4">
        <v>900</v>
      </c>
      <c r="K2858" s="4">
        <v>270</v>
      </c>
      <c r="L2858" s="5">
        <v>0.3</v>
      </c>
      <c r="M2858" t="s">
        <v>131</v>
      </c>
      <c r="N2858" t="s">
        <v>363</v>
      </c>
    </row>
    <row r="2859" spans="1:14">
      <c r="A2859" t="s">
        <v>29</v>
      </c>
      <c r="B2859">
        <v>1185732</v>
      </c>
      <c r="C2859" s="2">
        <v>44420</v>
      </c>
      <c r="D2859" t="s">
        <v>140</v>
      </c>
      <c r="E2859" t="s">
        <v>251</v>
      </c>
      <c r="F2859" t="s">
        <v>259</v>
      </c>
      <c r="G2859" t="s">
        <v>148</v>
      </c>
      <c r="H2859" s="3">
        <v>0.4</v>
      </c>
      <c r="I2859">
        <v>2000</v>
      </c>
      <c r="J2859" s="4">
        <v>800</v>
      </c>
      <c r="K2859" s="4">
        <v>240</v>
      </c>
      <c r="L2859" s="5">
        <v>0.3</v>
      </c>
      <c r="M2859" t="s">
        <v>131</v>
      </c>
      <c r="N2859" t="s">
        <v>363</v>
      </c>
    </row>
    <row r="2860" spans="1:14">
      <c r="A2860" t="s">
        <v>29</v>
      </c>
      <c r="B2860">
        <v>1185732</v>
      </c>
      <c r="C2860" s="2">
        <v>44420</v>
      </c>
      <c r="D2860" t="s">
        <v>140</v>
      </c>
      <c r="E2860" t="s">
        <v>251</v>
      </c>
      <c r="F2860" t="s">
        <v>259</v>
      </c>
      <c r="G2860" t="s">
        <v>147</v>
      </c>
      <c r="H2860" s="3">
        <v>0.5</v>
      </c>
      <c r="I2860">
        <v>1750</v>
      </c>
      <c r="J2860" s="4">
        <v>875</v>
      </c>
      <c r="K2860" s="4">
        <v>306.25</v>
      </c>
      <c r="L2860" s="5">
        <v>0.35</v>
      </c>
      <c r="M2860" t="s">
        <v>131</v>
      </c>
      <c r="N2860" t="s">
        <v>363</v>
      </c>
    </row>
    <row r="2861" spans="1:14">
      <c r="A2861" t="s">
        <v>29</v>
      </c>
      <c r="B2861">
        <v>1185732</v>
      </c>
      <c r="C2861" s="2">
        <v>44420</v>
      </c>
      <c r="D2861" t="s">
        <v>140</v>
      </c>
      <c r="E2861" t="s">
        <v>251</v>
      </c>
      <c r="F2861" t="s">
        <v>259</v>
      </c>
      <c r="G2861" t="s">
        <v>144</v>
      </c>
      <c r="H2861" s="3">
        <v>0.55000000000000004</v>
      </c>
      <c r="I2861">
        <v>3500</v>
      </c>
      <c r="J2861" s="4">
        <v>1925.0000000000002</v>
      </c>
      <c r="K2861" s="4">
        <v>770.00000000000011</v>
      </c>
      <c r="L2861" s="5">
        <v>0.4</v>
      </c>
      <c r="M2861" t="s">
        <v>131</v>
      </c>
      <c r="N2861" t="s">
        <v>363</v>
      </c>
    </row>
    <row r="2862" spans="1:14">
      <c r="A2862" t="s">
        <v>29</v>
      </c>
      <c r="B2862">
        <v>1185732</v>
      </c>
      <c r="C2862" s="2">
        <v>44452</v>
      </c>
      <c r="D2862" t="s">
        <v>140</v>
      </c>
      <c r="E2862" t="s">
        <v>251</v>
      </c>
      <c r="F2862" t="s">
        <v>259</v>
      </c>
      <c r="G2862" t="s">
        <v>27</v>
      </c>
      <c r="H2862" s="3">
        <v>0.45</v>
      </c>
      <c r="I2862">
        <v>4750</v>
      </c>
      <c r="J2862" s="4">
        <v>2137.5</v>
      </c>
      <c r="K2862" s="4">
        <v>748.125</v>
      </c>
      <c r="L2862" s="5">
        <v>0.35</v>
      </c>
      <c r="M2862" t="s">
        <v>132</v>
      </c>
      <c r="N2862" t="s">
        <v>363</v>
      </c>
    </row>
    <row r="2863" spans="1:14">
      <c r="A2863" t="s">
        <v>29</v>
      </c>
      <c r="B2863">
        <v>1185732</v>
      </c>
      <c r="C2863" s="2">
        <v>44452</v>
      </c>
      <c r="D2863" t="s">
        <v>140</v>
      </c>
      <c r="E2863" t="s">
        <v>251</v>
      </c>
      <c r="F2863" t="s">
        <v>259</v>
      </c>
      <c r="G2863" t="s">
        <v>145</v>
      </c>
      <c r="H2863" s="3">
        <v>0.40000000000000008</v>
      </c>
      <c r="I2863">
        <v>2750</v>
      </c>
      <c r="J2863" s="4">
        <v>1100.0000000000002</v>
      </c>
      <c r="K2863" s="4">
        <v>330.00000000000006</v>
      </c>
      <c r="L2863" s="5">
        <v>0.3</v>
      </c>
      <c r="M2863" t="s">
        <v>132</v>
      </c>
      <c r="N2863" t="s">
        <v>363</v>
      </c>
    </row>
    <row r="2864" spans="1:14">
      <c r="A2864" t="s">
        <v>29</v>
      </c>
      <c r="B2864">
        <v>1185732</v>
      </c>
      <c r="C2864" s="2">
        <v>44452</v>
      </c>
      <c r="D2864" t="s">
        <v>140</v>
      </c>
      <c r="E2864" t="s">
        <v>251</v>
      </c>
      <c r="F2864" t="s">
        <v>259</v>
      </c>
      <c r="G2864" t="s">
        <v>146</v>
      </c>
      <c r="H2864" s="3">
        <v>0.35000000000000003</v>
      </c>
      <c r="I2864">
        <v>1750</v>
      </c>
      <c r="J2864" s="4">
        <v>612.50000000000011</v>
      </c>
      <c r="K2864" s="4">
        <v>183.75000000000003</v>
      </c>
      <c r="L2864" s="5">
        <v>0.3</v>
      </c>
      <c r="M2864" t="s">
        <v>132</v>
      </c>
      <c r="N2864" t="s">
        <v>363</v>
      </c>
    </row>
    <row r="2865" spans="1:14">
      <c r="A2865" t="s">
        <v>29</v>
      </c>
      <c r="B2865">
        <v>1185732</v>
      </c>
      <c r="C2865" s="2">
        <v>44452</v>
      </c>
      <c r="D2865" t="s">
        <v>140</v>
      </c>
      <c r="E2865" t="s">
        <v>251</v>
      </c>
      <c r="F2865" t="s">
        <v>259</v>
      </c>
      <c r="G2865" t="s">
        <v>148</v>
      </c>
      <c r="H2865" s="3">
        <v>0.35000000000000003</v>
      </c>
      <c r="I2865">
        <v>1500</v>
      </c>
      <c r="J2865" s="4">
        <v>525</v>
      </c>
      <c r="K2865" s="4">
        <v>157.5</v>
      </c>
      <c r="L2865" s="5">
        <v>0.3</v>
      </c>
      <c r="M2865" t="s">
        <v>132</v>
      </c>
      <c r="N2865" t="s">
        <v>363</v>
      </c>
    </row>
    <row r="2866" spans="1:14">
      <c r="A2866" t="s">
        <v>29</v>
      </c>
      <c r="B2866">
        <v>1185732</v>
      </c>
      <c r="C2866" s="2">
        <v>44452</v>
      </c>
      <c r="D2866" t="s">
        <v>140</v>
      </c>
      <c r="E2866" t="s">
        <v>251</v>
      </c>
      <c r="F2866" t="s">
        <v>259</v>
      </c>
      <c r="G2866" t="s">
        <v>147</v>
      </c>
      <c r="H2866" s="3">
        <v>0.45</v>
      </c>
      <c r="I2866">
        <v>1500</v>
      </c>
      <c r="J2866" s="4">
        <v>675</v>
      </c>
      <c r="K2866" s="4">
        <v>236.24999999999997</v>
      </c>
      <c r="L2866" s="5">
        <v>0.35</v>
      </c>
      <c r="M2866" t="s">
        <v>132</v>
      </c>
      <c r="N2866" t="s">
        <v>363</v>
      </c>
    </row>
    <row r="2867" spans="1:14">
      <c r="A2867" t="s">
        <v>29</v>
      </c>
      <c r="B2867">
        <v>1185732</v>
      </c>
      <c r="C2867" s="2">
        <v>44452</v>
      </c>
      <c r="D2867" t="s">
        <v>140</v>
      </c>
      <c r="E2867" t="s">
        <v>251</v>
      </c>
      <c r="F2867" t="s">
        <v>259</v>
      </c>
      <c r="G2867" t="s">
        <v>144</v>
      </c>
      <c r="H2867" s="3">
        <v>0.5</v>
      </c>
      <c r="I2867">
        <v>2250</v>
      </c>
      <c r="J2867" s="4">
        <v>1125</v>
      </c>
      <c r="K2867" s="4">
        <v>450</v>
      </c>
      <c r="L2867" s="5">
        <v>0.4</v>
      </c>
      <c r="M2867" t="s">
        <v>132</v>
      </c>
      <c r="N2867" t="s">
        <v>363</v>
      </c>
    </row>
    <row r="2868" spans="1:14">
      <c r="A2868" t="s">
        <v>29</v>
      </c>
      <c r="B2868">
        <v>1185732</v>
      </c>
      <c r="C2868" s="2">
        <v>44481</v>
      </c>
      <c r="D2868" t="s">
        <v>140</v>
      </c>
      <c r="E2868" t="s">
        <v>251</v>
      </c>
      <c r="F2868" t="s">
        <v>259</v>
      </c>
      <c r="G2868" t="s">
        <v>27</v>
      </c>
      <c r="H2868" s="3">
        <v>0.54999999999999993</v>
      </c>
      <c r="I2868">
        <v>4000</v>
      </c>
      <c r="J2868" s="4">
        <v>2199.9999999999995</v>
      </c>
      <c r="K2868" s="4">
        <v>769.99999999999977</v>
      </c>
      <c r="L2868" s="5">
        <v>0.35</v>
      </c>
      <c r="M2868" t="s">
        <v>133</v>
      </c>
      <c r="N2868" t="s">
        <v>364</v>
      </c>
    </row>
    <row r="2869" spans="1:14">
      <c r="A2869" t="s">
        <v>29</v>
      </c>
      <c r="B2869">
        <v>1185732</v>
      </c>
      <c r="C2869" s="2">
        <v>44481</v>
      </c>
      <c r="D2869" t="s">
        <v>140</v>
      </c>
      <c r="E2869" t="s">
        <v>251</v>
      </c>
      <c r="F2869" t="s">
        <v>259</v>
      </c>
      <c r="G2869" t="s">
        <v>145</v>
      </c>
      <c r="H2869" s="3">
        <v>0.45</v>
      </c>
      <c r="I2869">
        <v>2500</v>
      </c>
      <c r="J2869" s="4">
        <v>1125</v>
      </c>
      <c r="K2869" s="4">
        <v>337.5</v>
      </c>
      <c r="L2869" s="5">
        <v>0.3</v>
      </c>
      <c r="M2869" t="s">
        <v>133</v>
      </c>
      <c r="N2869" t="s">
        <v>364</v>
      </c>
    </row>
    <row r="2870" spans="1:14">
      <c r="A2870" t="s">
        <v>29</v>
      </c>
      <c r="B2870">
        <v>1185732</v>
      </c>
      <c r="C2870" s="2">
        <v>44481</v>
      </c>
      <c r="D2870" t="s">
        <v>140</v>
      </c>
      <c r="E2870" t="s">
        <v>251</v>
      </c>
      <c r="F2870" t="s">
        <v>259</v>
      </c>
      <c r="G2870" t="s">
        <v>146</v>
      </c>
      <c r="H2870" s="3">
        <v>0.45</v>
      </c>
      <c r="I2870">
        <v>1500</v>
      </c>
      <c r="J2870" s="4">
        <v>675</v>
      </c>
      <c r="K2870" s="4">
        <v>202.5</v>
      </c>
      <c r="L2870" s="5">
        <v>0.3</v>
      </c>
      <c r="M2870" t="s">
        <v>133</v>
      </c>
      <c r="N2870" t="s">
        <v>364</v>
      </c>
    </row>
    <row r="2871" spans="1:14">
      <c r="A2871" t="s">
        <v>29</v>
      </c>
      <c r="B2871">
        <v>1185732</v>
      </c>
      <c r="C2871" s="2">
        <v>44481</v>
      </c>
      <c r="D2871" t="s">
        <v>140</v>
      </c>
      <c r="E2871" t="s">
        <v>251</v>
      </c>
      <c r="F2871" t="s">
        <v>259</v>
      </c>
      <c r="G2871" t="s">
        <v>148</v>
      </c>
      <c r="H2871" s="3">
        <v>0.45</v>
      </c>
      <c r="I2871">
        <v>1250</v>
      </c>
      <c r="J2871" s="4">
        <v>562.5</v>
      </c>
      <c r="K2871" s="4">
        <v>168.75</v>
      </c>
      <c r="L2871" s="5">
        <v>0.3</v>
      </c>
      <c r="M2871" t="s">
        <v>133</v>
      </c>
      <c r="N2871" t="s">
        <v>364</v>
      </c>
    </row>
    <row r="2872" spans="1:14">
      <c r="A2872" t="s">
        <v>29</v>
      </c>
      <c r="B2872">
        <v>1185732</v>
      </c>
      <c r="C2872" s="2">
        <v>44481</v>
      </c>
      <c r="D2872" t="s">
        <v>140</v>
      </c>
      <c r="E2872" t="s">
        <v>251</v>
      </c>
      <c r="F2872" t="s">
        <v>259</v>
      </c>
      <c r="G2872" t="s">
        <v>147</v>
      </c>
      <c r="H2872" s="3">
        <v>0.54999999999999993</v>
      </c>
      <c r="I2872">
        <v>1250</v>
      </c>
      <c r="J2872" s="4">
        <v>687.49999999999989</v>
      </c>
      <c r="K2872" s="4">
        <v>240.62499999999994</v>
      </c>
      <c r="L2872" s="5">
        <v>0.35</v>
      </c>
      <c r="M2872" t="s">
        <v>133</v>
      </c>
      <c r="N2872" t="s">
        <v>364</v>
      </c>
    </row>
    <row r="2873" spans="1:14">
      <c r="A2873" t="s">
        <v>29</v>
      </c>
      <c r="B2873">
        <v>1185732</v>
      </c>
      <c r="C2873" s="2">
        <v>44481</v>
      </c>
      <c r="D2873" t="s">
        <v>140</v>
      </c>
      <c r="E2873" t="s">
        <v>251</v>
      </c>
      <c r="F2873" t="s">
        <v>259</v>
      </c>
      <c r="G2873" t="s">
        <v>144</v>
      </c>
      <c r="H2873" s="3">
        <v>0.59999999999999987</v>
      </c>
      <c r="I2873">
        <v>2500</v>
      </c>
      <c r="J2873" s="4">
        <v>1499.9999999999998</v>
      </c>
      <c r="K2873" s="4">
        <v>599.99999999999989</v>
      </c>
      <c r="L2873" s="5">
        <v>0.4</v>
      </c>
      <c r="M2873" t="s">
        <v>133</v>
      </c>
      <c r="N2873" t="s">
        <v>364</v>
      </c>
    </row>
    <row r="2874" spans="1:14">
      <c r="A2874" t="s">
        <v>29</v>
      </c>
      <c r="B2874">
        <v>1185732</v>
      </c>
      <c r="C2874" s="2">
        <v>44512</v>
      </c>
      <c r="D2874" t="s">
        <v>140</v>
      </c>
      <c r="E2874" t="s">
        <v>251</v>
      </c>
      <c r="F2874" t="s">
        <v>259</v>
      </c>
      <c r="G2874" t="s">
        <v>27</v>
      </c>
      <c r="H2874" s="3">
        <v>0.54999999999999993</v>
      </c>
      <c r="I2874">
        <v>4000</v>
      </c>
      <c r="J2874" s="4">
        <v>2199.9999999999995</v>
      </c>
      <c r="K2874" s="4">
        <v>769.99999999999977</v>
      </c>
      <c r="L2874" s="5">
        <v>0.35</v>
      </c>
      <c r="M2874" t="s">
        <v>134</v>
      </c>
      <c r="N2874" t="s">
        <v>364</v>
      </c>
    </row>
    <row r="2875" spans="1:14">
      <c r="A2875" t="s">
        <v>29</v>
      </c>
      <c r="B2875">
        <v>1185732</v>
      </c>
      <c r="C2875" s="2">
        <v>44512</v>
      </c>
      <c r="D2875" t="s">
        <v>140</v>
      </c>
      <c r="E2875" t="s">
        <v>251</v>
      </c>
      <c r="F2875" t="s">
        <v>259</v>
      </c>
      <c r="G2875" t="s">
        <v>145</v>
      </c>
      <c r="H2875" s="3">
        <v>0.45</v>
      </c>
      <c r="I2875">
        <v>2500</v>
      </c>
      <c r="J2875" s="4">
        <v>1125</v>
      </c>
      <c r="K2875" s="4">
        <v>337.5</v>
      </c>
      <c r="L2875" s="5">
        <v>0.3</v>
      </c>
      <c r="M2875" t="s">
        <v>134</v>
      </c>
      <c r="N2875" t="s">
        <v>364</v>
      </c>
    </row>
    <row r="2876" spans="1:14">
      <c r="A2876" t="s">
        <v>29</v>
      </c>
      <c r="B2876">
        <v>1185732</v>
      </c>
      <c r="C2876" s="2">
        <v>44512</v>
      </c>
      <c r="D2876" t="s">
        <v>140</v>
      </c>
      <c r="E2876" t="s">
        <v>251</v>
      </c>
      <c r="F2876" t="s">
        <v>259</v>
      </c>
      <c r="G2876" t="s">
        <v>146</v>
      </c>
      <c r="H2876" s="3">
        <v>0.45</v>
      </c>
      <c r="I2876">
        <v>1950</v>
      </c>
      <c r="J2876" s="4">
        <v>877.5</v>
      </c>
      <c r="K2876" s="4">
        <v>263.25</v>
      </c>
      <c r="L2876" s="5">
        <v>0.3</v>
      </c>
      <c r="M2876" t="s">
        <v>134</v>
      </c>
      <c r="N2876" t="s">
        <v>364</v>
      </c>
    </row>
    <row r="2877" spans="1:14">
      <c r="A2877" t="s">
        <v>29</v>
      </c>
      <c r="B2877">
        <v>1185732</v>
      </c>
      <c r="C2877" s="2">
        <v>44512</v>
      </c>
      <c r="D2877" t="s">
        <v>140</v>
      </c>
      <c r="E2877" t="s">
        <v>251</v>
      </c>
      <c r="F2877" t="s">
        <v>259</v>
      </c>
      <c r="G2877" t="s">
        <v>148</v>
      </c>
      <c r="H2877" s="3">
        <v>0.45</v>
      </c>
      <c r="I2877">
        <v>1750</v>
      </c>
      <c r="J2877" s="4">
        <v>787.5</v>
      </c>
      <c r="K2877" s="4">
        <v>236.25</v>
      </c>
      <c r="L2877" s="5">
        <v>0.3</v>
      </c>
      <c r="M2877" t="s">
        <v>134</v>
      </c>
      <c r="N2877" t="s">
        <v>364</v>
      </c>
    </row>
    <row r="2878" spans="1:14">
      <c r="A2878" t="s">
        <v>29</v>
      </c>
      <c r="B2878">
        <v>1185732</v>
      </c>
      <c r="C2878" s="2">
        <v>44512</v>
      </c>
      <c r="D2878" t="s">
        <v>140</v>
      </c>
      <c r="E2878" t="s">
        <v>251</v>
      </c>
      <c r="F2878" t="s">
        <v>259</v>
      </c>
      <c r="G2878" t="s">
        <v>147</v>
      </c>
      <c r="H2878" s="3">
        <v>0.6</v>
      </c>
      <c r="I2878">
        <v>1500</v>
      </c>
      <c r="J2878" s="4">
        <v>900</v>
      </c>
      <c r="K2878" s="4">
        <v>315</v>
      </c>
      <c r="L2878" s="5">
        <v>0.35</v>
      </c>
      <c r="M2878" t="s">
        <v>134</v>
      </c>
      <c r="N2878" t="s">
        <v>364</v>
      </c>
    </row>
    <row r="2879" spans="1:14">
      <c r="A2879" t="s">
        <v>29</v>
      </c>
      <c r="B2879">
        <v>1185732</v>
      </c>
      <c r="C2879" s="2">
        <v>44512</v>
      </c>
      <c r="D2879" t="s">
        <v>140</v>
      </c>
      <c r="E2879" t="s">
        <v>251</v>
      </c>
      <c r="F2879" t="s">
        <v>259</v>
      </c>
      <c r="G2879" t="s">
        <v>144</v>
      </c>
      <c r="H2879" s="3">
        <v>0.64999999999999991</v>
      </c>
      <c r="I2879">
        <v>2500</v>
      </c>
      <c r="J2879" s="4">
        <v>1624.9999999999998</v>
      </c>
      <c r="K2879" s="4">
        <v>650</v>
      </c>
      <c r="L2879" s="5">
        <v>0.4</v>
      </c>
      <c r="M2879" t="s">
        <v>134</v>
      </c>
      <c r="N2879" t="s">
        <v>364</v>
      </c>
    </row>
    <row r="2880" spans="1:14">
      <c r="A2880" t="s">
        <v>29</v>
      </c>
      <c r="B2880">
        <v>1185732</v>
      </c>
      <c r="C2880" s="2">
        <v>44541</v>
      </c>
      <c r="D2880" t="s">
        <v>140</v>
      </c>
      <c r="E2880" t="s">
        <v>251</v>
      </c>
      <c r="F2880" t="s">
        <v>259</v>
      </c>
      <c r="G2880" t="s">
        <v>27</v>
      </c>
      <c r="H2880" s="3">
        <v>0.6</v>
      </c>
      <c r="I2880">
        <v>5000</v>
      </c>
      <c r="J2880" s="4">
        <v>3000</v>
      </c>
      <c r="K2880" s="4">
        <v>1050</v>
      </c>
      <c r="L2880" s="5">
        <v>0.35</v>
      </c>
      <c r="M2880" t="s">
        <v>23</v>
      </c>
      <c r="N2880" t="s">
        <v>364</v>
      </c>
    </row>
    <row r="2881" spans="1:14">
      <c r="A2881" t="s">
        <v>29</v>
      </c>
      <c r="B2881">
        <v>1185732</v>
      </c>
      <c r="C2881" s="2">
        <v>44541</v>
      </c>
      <c r="D2881" t="s">
        <v>140</v>
      </c>
      <c r="E2881" t="s">
        <v>251</v>
      </c>
      <c r="F2881" t="s">
        <v>259</v>
      </c>
      <c r="G2881" t="s">
        <v>145</v>
      </c>
      <c r="H2881" s="3">
        <v>0.5</v>
      </c>
      <c r="I2881">
        <v>3000</v>
      </c>
      <c r="J2881" s="4">
        <v>1500</v>
      </c>
      <c r="K2881" s="4">
        <v>450</v>
      </c>
      <c r="L2881" s="5">
        <v>0.3</v>
      </c>
      <c r="M2881" t="s">
        <v>23</v>
      </c>
      <c r="N2881" t="s">
        <v>364</v>
      </c>
    </row>
    <row r="2882" spans="1:14">
      <c r="A2882" t="s">
        <v>29</v>
      </c>
      <c r="B2882">
        <v>1185732</v>
      </c>
      <c r="C2882" s="2">
        <v>44541</v>
      </c>
      <c r="D2882" t="s">
        <v>140</v>
      </c>
      <c r="E2882" t="s">
        <v>251</v>
      </c>
      <c r="F2882" t="s">
        <v>259</v>
      </c>
      <c r="G2882" t="s">
        <v>146</v>
      </c>
      <c r="H2882" s="3">
        <v>0.5</v>
      </c>
      <c r="I2882">
        <v>2500</v>
      </c>
      <c r="J2882" s="4">
        <v>1250</v>
      </c>
      <c r="K2882" s="4">
        <v>375</v>
      </c>
      <c r="L2882" s="5">
        <v>0.3</v>
      </c>
      <c r="M2882" t="s">
        <v>23</v>
      </c>
      <c r="N2882" t="s">
        <v>364</v>
      </c>
    </row>
    <row r="2883" spans="1:14">
      <c r="A2883" t="s">
        <v>29</v>
      </c>
      <c r="B2883">
        <v>1185732</v>
      </c>
      <c r="C2883" s="2">
        <v>44541</v>
      </c>
      <c r="D2883" t="s">
        <v>140</v>
      </c>
      <c r="E2883" t="s">
        <v>251</v>
      </c>
      <c r="F2883" t="s">
        <v>259</v>
      </c>
      <c r="G2883" t="s">
        <v>148</v>
      </c>
      <c r="H2883" s="3">
        <v>0.5</v>
      </c>
      <c r="I2883">
        <v>2000</v>
      </c>
      <c r="J2883" s="4">
        <v>1000</v>
      </c>
      <c r="K2883" s="4">
        <v>300</v>
      </c>
      <c r="L2883" s="5">
        <v>0.3</v>
      </c>
      <c r="M2883" t="s">
        <v>23</v>
      </c>
      <c r="N2883" t="s">
        <v>364</v>
      </c>
    </row>
    <row r="2884" spans="1:14">
      <c r="A2884" t="s">
        <v>29</v>
      </c>
      <c r="B2884">
        <v>1185732</v>
      </c>
      <c r="C2884" s="2">
        <v>44541</v>
      </c>
      <c r="D2884" t="s">
        <v>140</v>
      </c>
      <c r="E2884" t="s">
        <v>251</v>
      </c>
      <c r="F2884" t="s">
        <v>259</v>
      </c>
      <c r="G2884" t="s">
        <v>147</v>
      </c>
      <c r="H2884" s="3">
        <v>0.6</v>
      </c>
      <c r="I2884">
        <v>2000</v>
      </c>
      <c r="J2884" s="4">
        <v>1200</v>
      </c>
      <c r="K2884" s="4">
        <v>420</v>
      </c>
      <c r="L2884" s="5">
        <v>0.35</v>
      </c>
      <c r="M2884" t="s">
        <v>23</v>
      </c>
      <c r="N2884" t="s">
        <v>364</v>
      </c>
    </row>
    <row r="2885" spans="1:14">
      <c r="A2885" t="s">
        <v>29</v>
      </c>
      <c r="B2885">
        <v>1185732</v>
      </c>
      <c r="C2885" s="2">
        <v>44541</v>
      </c>
      <c r="D2885" t="s">
        <v>140</v>
      </c>
      <c r="E2885" t="s">
        <v>251</v>
      </c>
      <c r="F2885" t="s">
        <v>259</v>
      </c>
      <c r="G2885" t="s">
        <v>144</v>
      </c>
      <c r="H2885" s="3">
        <v>0.64999999999999991</v>
      </c>
      <c r="I2885">
        <v>3000</v>
      </c>
      <c r="J2885" s="4">
        <v>1949.9999999999998</v>
      </c>
      <c r="K2885" s="4">
        <v>780</v>
      </c>
      <c r="L2885" s="5">
        <v>0.4</v>
      </c>
      <c r="M2885" t="s">
        <v>23</v>
      </c>
      <c r="N2885" t="s">
        <v>364</v>
      </c>
    </row>
    <row r="2886" spans="1:14">
      <c r="A2886" t="s">
        <v>29</v>
      </c>
      <c r="B2886">
        <v>1185732</v>
      </c>
      <c r="C2886" s="2">
        <v>44205</v>
      </c>
      <c r="D2886" t="s">
        <v>140</v>
      </c>
      <c r="E2886" t="s">
        <v>255</v>
      </c>
      <c r="F2886" t="s">
        <v>263</v>
      </c>
      <c r="G2886" t="s">
        <v>27</v>
      </c>
      <c r="H2886" s="3">
        <v>0.35000000000000003</v>
      </c>
      <c r="I2886">
        <v>4750</v>
      </c>
      <c r="J2886" s="4">
        <v>1662.5000000000002</v>
      </c>
      <c r="K2886" s="4">
        <v>581.875</v>
      </c>
      <c r="L2886" s="5">
        <v>0.35</v>
      </c>
      <c r="M2886" t="s">
        <v>125</v>
      </c>
      <c r="N2886" t="s">
        <v>361</v>
      </c>
    </row>
    <row r="2887" spans="1:14">
      <c r="A2887" t="s">
        <v>29</v>
      </c>
      <c r="B2887">
        <v>1185732</v>
      </c>
      <c r="C2887" s="2">
        <v>44205</v>
      </c>
      <c r="D2887" t="s">
        <v>140</v>
      </c>
      <c r="E2887" t="s">
        <v>255</v>
      </c>
      <c r="F2887" t="s">
        <v>263</v>
      </c>
      <c r="G2887" t="s">
        <v>145</v>
      </c>
      <c r="H2887" s="3">
        <v>0.35000000000000003</v>
      </c>
      <c r="I2887">
        <v>2750</v>
      </c>
      <c r="J2887" s="4">
        <v>962.50000000000011</v>
      </c>
      <c r="K2887" s="4">
        <v>288.75</v>
      </c>
      <c r="L2887" s="5">
        <v>0.3</v>
      </c>
      <c r="M2887" t="s">
        <v>125</v>
      </c>
      <c r="N2887" t="s">
        <v>361</v>
      </c>
    </row>
    <row r="2888" spans="1:14">
      <c r="A2888" t="s">
        <v>29</v>
      </c>
      <c r="B2888">
        <v>1185732</v>
      </c>
      <c r="C2888" s="2">
        <v>44205</v>
      </c>
      <c r="D2888" t="s">
        <v>140</v>
      </c>
      <c r="E2888" t="s">
        <v>255</v>
      </c>
      <c r="F2888" t="s">
        <v>263</v>
      </c>
      <c r="G2888" t="s">
        <v>146</v>
      </c>
      <c r="H2888" s="3">
        <v>0.25000000000000006</v>
      </c>
      <c r="I2888">
        <v>2750</v>
      </c>
      <c r="J2888" s="4">
        <v>687.50000000000011</v>
      </c>
      <c r="K2888" s="4">
        <v>206.25000000000003</v>
      </c>
      <c r="L2888" s="5">
        <v>0.3</v>
      </c>
      <c r="M2888" t="s">
        <v>125</v>
      </c>
      <c r="N2888" t="s">
        <v>361</v>
      </c>
    </row>
    <row r="2889" spans="1:14">
      <c r="A2889" t="s">
        <v>29</v>
      </c>
      <c r="B2889">
        <v>1185732</v>
      </c>
      <c r="C2889" s="2">
        <v>44205</v>
      </c>
      <c r="D2889" t="s">
        <v>140</v>
      </c>
      <c r="E2889" t="s">
        <v>255</v>
      </c>
      <c r="F2889" t="s">
        <v>263</v>
      </c>
      <c r="G2889" t="s">
        <v>148</v>
      </c>
      <c r="H2889" s="3">
        <v>0.30000000000000004</v>
      </c>
      <c r="I2889">
        <v>1250</v>
      </c>
      <c r="J2889" s="4">
        <v>375.00000000000006</v>
      </c>
      <c r="K2889" s="4">
        <v>112.50000000000001</v>
      </c>
      <c r="L2889" s="5">
        <v>0.3</v>
      </c>
      <c r="M2889" t="s">
        <v>125</v>
      </c>
      <c r="N2889" t="s">
        <v>361</v>
      </c>
    </row>
    <row r="2890" spans="1:14">
      <c r="A2890" t="s">
        <v>29</v>
      </c>
      <c r="B2890">
        <v>1185732</v>
      </c>
      <c r="C2890" s="2">
        <v>44205</v>
      </c>
      <c r="D2890" t="s">
        <v>140</v>
      </c>
      <c r="E2890" t="s">
        <v>255</v>
      </c>
      <c r="F2890" t="s">
        <v>263</v>
      </c>
      <c r="G2890" t="s">
        <v>147</v>
      </c>
      <c r="H2890" s="3">
        <v>0.44999999999999996</v>
      </c>
      <c r="I2890">
        <v>1750</v>
      </c>
      <c r="J2890" s="4">
        <v>787.49999999999989</v>
      </c>
      <c r="K2890" s="4">
        <v>275.62499999999994</v>
      </c>
      <c r="L2890" s="5">
        <v>0.35</v>
      </c>
      <c r="M2890" t="s">
        <v>125</v>
      </c>
      <c r="N2890" t="s">
        <v>361</v>
      </c>
    </row>
    <row r="2891" spans="1:14">
      <c r="A2891" t="s">
        <v>29</v>
      </c>
      <c r="B2891">
        <v>1185732</v>
      </c>
      <c r="C2891" s="2">
        <v>44205</v>
      </c>
      <c r="D2891" t="s">
        <v>140</v>
      </c>
      <c r="E2891" t="s">
        <v>255</v>
      </c>
      <c r="F2891" t="s">
        <v>263</v>
      </c>
      <c r="G2891" t="s">
        <v>144</v>
      </c>
      <c r="H2891" s="3">
        <v>0.35000000000000003</v>
      </c>
      <c r="I2891">
        <v>2750</v>
      </c>
      <c r="J2891" s="4">
        <v>962.50000000000011</v>
      </c>
      <c r="K2891" s="4">
        <v>385.00000000000006</v>
      </c>
      <c r="L2891" s="5">
        <v>0.4</v>
      </c>
      <c r="M2891" t="s">
        <v>125</v>
      </c>
      <c r="N2891" t="s">
        <v>361</v>
      </c>
    </row>
    <row r="2892" spans="1:14">
      <c r="A2892" t="s">
        <v>29</v>
      </c>
      <c r="B2892">
        <v>1185732</v>
      </c>
      <c r="C2892" s="2">
        <v>44236</v>
      </c>
      <c r="D2892" t="s">
        <v>140</v>
      </c>
      <c r="E2892" t="s">
        <v>255</v>
      </c>
      <c r="F2892" t="s">
        <v>263</v>
      </c>
      <c r="G2892" t="s">
        <v>27</v>
      </c>
      <c r="H2892" s="3">
        <v>0.35000000000000003</v>
      </c>
      <c r="I2892">
        <v>5250</v>
      </c>
      <c r="J2892" s="4">
        <v>1837.5000000000002</v>
      </c>
      <c r="K2892" s="4">
        <v>643.125</v>
      </c>
      <c r="L2892" s="5">
        <v>0.35</v>
      </c>
      <c r="M2892" t="s">
        <v>126</v>
      </c>
      <c r="N2892" t="s">
        <v>361</v>
      </c>
    </row>
    <row r="2893" spans="1:14">
      <c r="A2893" t="s">
        <v>29</v>
      </c>
      <c r="B2893">
        <v>1185732</v>
      </c>
      <c r="C2893" s="2">
        <v>44236</v>
      </c>
      <c r="D2893" t="s">
        <v>140</v>
      </c>
      <c r="E2893" t="s">
        <v>255</v>
      </c>
      <c r="F2893" t="s">
        <v>263</v>
      </c>
      <c r="G2893" t="s">
        <v>145</v>
      </c>
      <c r="H2893" s="3">
        <v>0.35000000000000003</v>
      </c>
      <c r="I2893">
        <v>1750</v>
      </c>
      <c r="J2893" s="4">
        <v>612.50000000000011</v>
      </c>
      <c r="K2893" s="4">
        <v>183.75000000000003</v>
      </c>
      <c r="L2893" s="5">
        <v>0.3</v>
      </c>
      <c r="M2893" t="s">
        <v>126</v>
      </c>
      <c r="N2893" t="s">
        <v>361</v>
      </c>
    </row>
    <row r="2894" spans="1:14">
      <c r="A2894" t="s">
        <v>29</v>
      </c>
      <c r="B2894">
        <v>1185732</v>
      </c>
      <c r="C2894" s="2">
        <v>44236</v>
      </c>
      <c r="D2894" t="s">
        <v>140</v>
      </c>
      <c r="E2894" t="s">
        <v>255</v>
      </c>
      <c r="F2894" t="s">
        <v>263</v>
      </c>
      <c r="G2894" t="s">
        <v>146</v>
      </c>
      <c r="H2894" s="3">
        <v>0.25000000000000006</v>
      </c>
      <c r="I2894">
        <v>2250</v>
      </c>
      <c r="J2894" s="4">
        <v>562.50000000000011</v>
      </c>
      <c r="K2894" s="4">
        <v>168.75000000000003</v>
      </c>
      <c r="L2894" s="5">
        <v>0.3</v>
      </c>
      <c r="M2894" t="s">
        <v>126</v>
      </c>
      <c r="N2894" t="s">
        <v>361</v>
      </c>
    </row>
    <row r="2895" spans="1:14">
      <c r="A2895" t="s">
        <v>29</v>
      </c>
      <c r="B2895">
        <v>1185732</v>
      </c>
      <c r="C2895" s="2">
        <v>44236</v>
      </c>
      <c r="D2895" t="s">
        <v>140</v>
      </c>
      <c r="E2895" t="s">
        <v>255</v>
      </c>
      <c r="F2895" t="s">
        <v>263</v>
      </c>
      <c r="G2895" t="s">
        <v>148</v>
      </c>
      <c r="H2895" s="3">
        <v>0.30000000000000004</v>
      </c>
      <c r="I2895">
        <v>1000</v>
      </c>
      <c r="J2895" s="4">
        <v>300.00000000000006</v>
      </c>
      <c r="K2895" s="4">
        <v>90.000000000000014</v>
      </c>
      <c r="L2895" s="5">
        <v>0.3</v>
      </c>
      <c r="M2895" t="s">
        <v>126</v>
      </c>
      <c r="N2895" t="s">
        <v>361</v>
      </c>
    </row>
    <row r="2896" spans="1:14">
      <c r="A2896" t="s">
        <v>29</v>
      </c>
      <c r="B2896">
        <v>1185732</v>
      </c>
      <c r="C2896" s="2">
        <v>44236</v>
      </c>
      <c r="D2896" t="s">
        <v>140</v>
      </c>
      <c r="E2896" t="s">
        <v>255</v>
      </c>
      <c r="F2896" t="s">
        <v>263</v>
      </c>
      <c r="G2896" t="s">
        <v>147</v>
      </c>
      <c r="H2896" s="3">
        <v>0.44999999999999996</v>
      </c>
      <c r="I2896">
        <v>1750</v>
      </c>
      <c r="J2896" s="4">
        <v>787.49999999999989</v>
      </c>
      <c r="K2896" s="4">
        <v>275.62499999999994</v>
      </c>
      <c r="L2896" s="5">
        <v>0.35</v>
      </c>
      <c r="M2896" t="s">
        <v>126</v>
      </c>
      <c r="N2896" t="s">
        <v>361</v>
      </c>
    </row>
    <row r="2897" spans="1:14">
      <c r="A2897" t="s">
        <v>29</v>
      </c>
      <c r="B2897">
        <v>1185732</v>
      </c>
      <c r="C2897" s="2">
        <v>44236</v>
      </c>
      <c r="D2897" t="s">
        <v>140</v>
      </c>
      <c r="E2897" t="s">
        <v>255</v>
      </c>
      <c r="F2897" t="s">
        <v>263</v>
      </c>
      <c r="G2897" t="s">
        <v>144</v>
      </c>
      <c r="H2897" s="3">
        <v>0.24999999999999997</v>
      </c>
      <c r="I2897">
        <v>2750</v>
      </c>
      <c r="J2897" s="4">
        <v>687.49999999999989</v>
      </c>
      <c r="K2897" s="4">
        <v>274.99999999999994</v>
      </c>
      <c r="L2897" s="5">
        <v>0.4</v>
      </c>
      <c r="M2897" t="s">
        <v>126</v>
      </c>
      <c r="N2897" t="s">
        <v>361</v>
      </c>
    </row>
    <row r="2898" spans="1:14">
      <c r="A2898" t="s">
        <v>29</v>
      </c>
      <c r="B2898">
        <v>1185732</v>
      </c>
      <c r="C2898" s="2">
        <v>44263</v>
      </c>
      <c r="D2898" t="s">
        <v>140</v>
      </c>
      <c r="E2898" t="s">
        <v>255</v>
      </c>
      <c r="F2898" t="s">
        <v>263</v>
      </c>
      <c r="G2898" t="s">
        <v>27</v>
      </c>
      <c r="H2898" s="3">
        <v>0.30000000000000004</v>
      </c>
      <c r="I2898">
        <v>4950</v>
      </c>
      <c r="J2898" s="4">
        <v>1485.0000000000002</v>
      </c>
      <c r="K2898" s="4">
        <v>519.75</v>
      </c>
      <c r="L2898" s="5">
        <v>0.35</v>
      </c>
      <c r="M2898" t="s">
        <v>24</v>
      </c>
      <c r="N2898" t="s">
        <v>361</v>
      </c>
    </row>
    <row r="2899" spans="1:14">
      <c r="A2899" t="s">
        <v>29</v>
      </c>
      <c r="B2899">
        <v>1185732</v>
      </c>
      <c r="C2899" s="2">
        <v>44263</v>
      </c>
      <c r="D2899" t="s">
        <v>140</v>
      </c>
      <c r="E2899" t="s">
        <v>255</v>
      </c>
      <c r="F2899" t="s">
        <v>263</v>
      </c>
      <c r="G2899" t="s">
        <v>145</v>
      </c>
      <c r="H2899" s="3">
        <v>0.30000000000000004</v>
      </c>
      <c r="I2899">
        <v>2000</v>
      </c>
      <c r="J2899" s="4">
        <v>600.00000000000011</v>
      </c>
      <c r="K2899" s="4">
        <v>180.00000000000003</v>
      </c>
      <c r="L2899" s="5">
        <v>0.3</v>
      </c>
      <c r="M2899" t="s">
        <v>24</v>
      </c>
      <c r="N2899" t="s">
        <v>361</v>
      </c>
    </row>
    <row r="2900" spans="1:14">
      <c r="A2900" t="s">
        <v>29</v>
      </c>
      <c r="B2900">
        <v>1185732</v>
      </c>
      <c r="C2900" s="2">
        <v>44263</v>
      </c>
      <c r="D2900" t="s">
        <v>140</v>
      </c>
      <c r="E2900" t="s">
        <v>255</v>
      </c>
      <c r="F2900" t="s">
        <v>263</v>
      </c>
      <c r="G2900" t="s">
        <v>146</v>
      </c>
      <c r="H2900" s="3">
        <v>0.20000000000000004</v>
      </c>
      <c r="I2900">
        <v>2250</v>
      </c>
      <c r="J2900" s="4">
        <v>450.00000000000011</v>
      </c>
      <c r="K2900" s="4">
        <v>135.00000000000003</v>
      </c>
      <c r="L2900" s="5">
        <v>0.3</v>
      </c>
      <c r="M2900" t="s">
        <v>24</v>
      </c>
      <c r="N2900" t="s">
        <v>361</v>
      </c>
    </row>
    <row r="2901" spans="1:14">
      <c r="A2901" t="s">
        <v>29</v>
      </c>
      <c r="B2901">
        <v>1185732</v>
      </c>
      <c r="C2901" s="2">
        <v>44263</v>
      </c>
      <c r="D2901" t="s">
        <v>140</v>
      </c>
      <c r="E2901" t="s">
        <v>255</v>
      </c>
      <c r="F2901" t="s">
        <v>263</v>
      </c>
      <c r="G2901" t="s">
        <v>148</v>
      </c>
      <c r="H2901" s="3">
        <v>0.24999999999999997</v>
      </c>
      <c r="I2901">
        <v>750</v>
      </c>
      <c r="J2901" s="4">
        <v>187.49999999999997</v>
      </c>
      <c r="K2901" s="4">
        <v>56.249999999999993</v>
      </c>
      <c r="L2901" s="5">
        <v>0.3</v>
      </c>
      <c r="M2901" t="s">
        <v>24</v>
      </c>
      <c r="N2901" t="s">
        <v>361</v>
      </c>
    </row>
    <row r="2902" spans="1:14">
      <c r="A2902" t="s">
        <v>29</v>
      </c>
      <c r="B2902">
        <v>1185732</v>
      </c>
      <c r="C2902" s="2">
        <v>44263</v>
      </c>
      <c r="D2902" t="s">
        <v>140</v>
      </c>
      <c r="E2902" t="s">
        <v>255</v>
      </c>
      <c r="F2902" t="s">
        <v>263</v>
      </c>
      <c r="G2902" t="s">
        <v>147</v>
      </c>
      <c r="H2902" s="3">
        <v>0.4</v>
      </c>
      <c r="I2902">
        <v>1250</v>
      </c>
      <c r="J2902" s="4">
        <v>500</v>
      </c>
      <c r="K2902" s="4">
        <v>175</v>
      </c>
      <c r="L2902" s="5">
        <v>0.35</v>
      </c>
      <c r="M2902" t="s">
        <v>24</v>
      </c>
      <c r="N2902" t="s">
        <v>361</v>
      </c>
    </row>
    <row r="2903" spans="1:14">
      <c r="A2903" t="s">
        <v>29</v>
      </c>
      <c r="B2903">
        <v>1185732</v>
      </c>
      <c r="C2903" s="2">
        <v>44263</v>
      </c>
      <c r="D2903" t="s">
        <v>140</v>
      </c>
      <c r="E2903" t="s">
        <v>255</v>
      </c>
      <c r="F2903" t="s">
        <v>263</v>
      </c>
      <c r="G2903" t="s">
        <v>144</v>
      </c>
      <c r="H2903" s="3">
        <v>0.30000000000000004</v>
      </c>
      <c r="I2903">
        <v>2250</v>
      </c>
      <c r="J2903" s="4">
        <v>675.00000000000011</v>
      </c>
      <c r="K2903" s="4">
        <v>270.00000000000006</v>
      </c>
      <c r="L2903" s="5">
        <v>0.4</v>
      </c>
      <c r="M2903" t="s">
        <v>24</v>
      </c>
      <c r="N2903" t="s">
        <v>361</v>
      </c>
    </row>
    <row r="2904" spans="1:14">
      <c r="A2904" t="s">
        <v>29</v>
      </c>
      <c r="B2904">
        <v>1185732</v>
      </c>
      <c r="C2904" s="2">
        <v>44295</v>
      </c>
      <c r="D2904" t="s">
        <v>140</v>
      </c>
      <c r="E2904" t="s">
        <v>255</v>
      </c>
      <c r="F2904" t="s">
        <v>263</v>
      </c>
      <c r="G2904" t="s">
        <v>27</v>
      </c>
      <c r="H2904" s="3">
        <v>0.30000000000000004</v>
      </c>
      <c r="I2904">
        <v>4500</v>
      </c>
      <c r="J2904" s="4">
        <v>1350.0000000000002</v>
      </c>
      <c r="K2904" s="4">
        <v>472.50000000000006</v>
      </c>
      <c r="L2904" s="5">
        <v>0.35</v>
      </c>
      <c r="M2904" t="s">
        <v>127</v>
      </c>
      <c r="N2904" t="s">
        <v>362</v>
      </c>
    </row>
    <row r="2905" spans="1:14">
      <c r="A2905" t="s">
        <v>29</v>
      </c>
      <c r="B2905">
        <v>1185732</v>
      </c>
      <c r="C2905" s="2">
        <v>44295</v>
      </c>
      <c r="D2905" t="s">
        <v>140</v>
      </c>
      <c r="E2905" t="s">
        <v>255</v>
      </c>
      <c r="F2905" t="s">
        <v>263</v>
      </c>
      <c r="G2905" t="s">
        <v>145</v>
      </c>
      <c r="H2905" s="3">
        <v>0.30000000000000004</v>
      </c>
      <c r="I2905">
        <v>1500</v>
      </c>
      <c r="J2905" s="4">
        <v>450.00000000000006</v>
      </c>
      <c r="K2905" s="4">
        <v>135</v>
      </c>
      <c r="L2905" s="5">
        <v>0.3</v>
      </c>
      <c r="M2905" t="s">
        <v>127</v>
      </c>
      <c r="N2905" t="s">
        <v>362</v>
      </c>
    </row>
    <row r="2906" spans="1:14">
      <c r="A2906" t="s">
        <v>29</v>
      </c>
      <c r="B2906">
        <v>1185732</v>
      </c>
      <c r="C2906" s="2">
        <v>44295</v>
      </c>
      <c r="D2906" t="s">
        <v>140</v>
      </c>
      <c r="E2906" t="s">
        <v>255</v>
      </c>
      <c r="F2906" t="s">
        <v>263</v>
      </c>
      <c r="G2906" t="s">
        <v>146</v>
      </c>
      <c r="H2906" s="3">
        <v>0.20000000000000004</v>
      </c>
      <c r="I2906">
        <v>1500</v>
      </c>
      <c r="J2906" s="4">
        <v>300.00000000000006</v>
      </c>
      <c r="K2906" s="4">
        <v>90.000000000000014</v>
      </c>
      <c r="L2906" s="5">
        <v>0.3</v>
      </c>
      <c r="M2906" t="s">
        <v>127</v>
      </c>
      <c r="N2906" t="s">
        <v>362</v>
      </c>
    </row>
    <row r="2907" spans="1:14">
      <c r="A2907" t="s">
        <v>29</v>
      </c>
      <c r="B2907">
        <v>1185732</v>
      </c>
      <c r="C2907" s="2">
        <v>44295</v>
      </c>
      <c r="D2907" t="s">
        <v>140</v>
      </c>
      <c r="E2907" t="s">
        <v>255</v>
      </c>
      <c r="F2907" t="s">
        <v>263</v>
      </c>
      <c r="G2907" t="s">
        <v>148</v>
      </c>
      <c r="H2907" s="3">
        <v>0.24999999999999997</v>
      </c>
      <c r="I2907">
        <v>750</v>
      </c>
      <c r="J2907" s="4">
        <v>187.49999999999997</v>
      </c>
      <c r="K2907" s="4">
        <v>56.249999999999993</v>
      </c>
      <c r="L2907" s="5">
        <v>0.3</v>
      </c>
      <c r="M2907" t="s">
        <v>127</v>
      </c>
      <c r="N2907" t="s">
        <v>362</v>
      </c>
    </row>
    <row r="2908" spans="1:14">
      <c r="A2908" t="s">
        <v>29</v>
      </c>
      <c r="B2908">
        <v>1185732</v>
      </c>
      <c r="C2908" s="2">
        <v>44295</v>
      </c>
      <c r="D2908" t="s">
        <v>140</v>
      </c>
      <c r="E2908" t="s">
        <v>255</v>
      </c>
      <c r="F2908" t="s">
        <v>263</v>
      </c>
      <c r="G2908" t="s">
        <v>147</v>
      </c>
      <c r="H2908" s="3">
        <v>0.6</v>
      </c>
      <c r="I2908">
        <v>1000</v>
      </c>
      <c r="J2908" s="4">
        <v>600</v>
      </c>
      <c r="K2908" s="4">
        <v>210</v>
      </c>
      <c r="L2908" s="5">
        <v>0.35</v>
      </c>
      <c r="M2908" t="s">
        <v>127</v>
      </c>
      <c r="N2908" t="s">
        <v>362</v>
      </c>
    </row>
    <row r="2909" spans="1:14">
      <c r="A2909" t="s">
        <v>29</v>
      </c>
      <c r="B2909">
        <v>1185732</v>
      </c>
      <c r="C2909" s="2">
        <v>44295</v>
      </c>
      <c r="D2909" t="s">
        <v>140</v>
      </c>
      <c r="E2909" t="s">
        <v>255</v>
      </c>
      <c r="F2909" t="s">
        <v>263</v>
      </c>
      <c r="G2909" t="s">
        <v>144</v>
      </c>
      <c r="H2909" s="3">
        <v>0.5</v>
      </c>
      <c r="I2909">
        <v>2250</v>
      </c>
      <c r="J2909" s="4">
        <v>1125</v>
      </c>
      <c r="K2909" s="4">
        <v>450</v>
      </c>
      <c r="L2909" s="5">
        <v>0.4</v>
      </c>
      <c r="M2909" t="s">
        <v>127</v>
      </c>
      <c r="N2909" t="s">
        <v>362</v>
      </c>
    </row>
    <row r="2910" spans="1:14">
      <c r="A2910" t="s">
        <v>29</v>
      </c>
      <c r="B2910">
        <v>1185732</v>
      </c>
      <c r="C2910" s="2">
        <v>44326</v>
      </c>
      <c r="D2910" t="s">
        <v>140</v>
      </c>
      <c r="E2910" t="s">
        <v>255</v>
      </c>
      <c r="F2910" t="s">
        <v>263</v>
      </c>
      <c r="G2910" t="s">
        <v>27</v>
      </c>
      <c r="H2910" s="3">
        <v>0.6</v>
      </c>
      <c r="I2910">
        <v>4950</v>
      </c>
      <c r="J2910" s="4">
        <v>2970</v>
      </c>
      <c r="K2910" s="4">
        <v>1039.5</v>
      </c>
      <c r="L2910" s="5">
        <v>0.35</v>
      </c>
      <c r="M2910" t="s">
        <v>128</v>
      </c>
      <c r="N2910" t="s">
        <v>362</v>
      </c>
    </row>
    <row r="2911" spans="1:14">
      <c r="A2911" t="s">
        <v>29</v>
      </c>
      <c r="B2911">
        <v>1185732</v>
      </c>
      <c r="C2911" s="2">
        <v>44326</v>
      </c>
      <c r="D2911" t="s">
        <v>140</v>
      </c>
      <c r="E2911" t="s">
        <v>255</v>
      </c>
      <c r="F2911" t="s">
        <v>263</v>
      </c>
      <c r="G2911" t="s">
        <v>145</v>
      </c>
      <c r="H2911" s="3">
        <v>0.45</v>
      </c>
      <c r="I2911">
        <v>2000</v>
      </c>
      <c r="J2911" s="4">
        <v>900</v>
      </c>
      <c r="K2911" s="4">
        <v>270</v>
      </c>
      <c r="L2911" s="5">
        <v>0.3</v>
      </c>
      <c r="M2911" t="s">
        <v>128</v>
      </c>
      <c r="N2911" t="s">
        <v>362</v>
      </c>
    </row>
    <row r="2912" spans="1:14">
      <c r="A2912" t="s">
        <v>29</v>
      </c>
      <c r="B2912">
        <v>1185732</v>
      </c>
      <c r="C2912" s="2">
        <v>44326</v>
      </c>
      <c r="D2912" t="s">
        <v>140</v>
      </c>
      <c r="E2912" t="s">
        <v>255</v>
      </c>
      <c r="F2912" t="s">
        <v>263</v>
      </c>
      <c r="G2912" t="s">
        <v>146</v>
      </c>
      <c r="H2912" s="3">
        <v>0.4</v>
      </c>
      <c r="I2912">
        <v>1750</v>
      </c>
      <c r="J2912" s="4">
        <v>700</v>
      </c>
      <c r="K2912" s="4">
        <v>210</v>
      </c>
      <c r="L2912" s="5">
        <v>0.3</v>
      </c>
      <c r="M2912" t="s">
        <v>128</v>
      </c>
      <c r="N2912" t="s">
        <v>362</v>
      </c>
    </row>
    <row r="2913" spans="1:14">
      <c r="A2913" t="s">
        <v>29</v>
      </c>
      <c r="B2913">
        <v>1185732</v>
      </c>
      <c r="C2913" s="2">
        <v>44326</v>
      </c>
      <c r="D2913" t="s">
        <v>140</v>
      </c>
      <c r="E2913" t="s">
        <v>255</v>
      </c>
      <c r="F2913" t="s">
        <v>263</v>
      </c>
      <c r="G2913" t="s">
        <v>148</v>
      </c>
      <c r="H2913" s="3">
        <v>0.4</v>
      </c>
      <c r="I2913">
        <v>1000</v>
      </c>
      <c r="J2913" s="4">
        <v>400</v>
      </c>
      <c r="K2913" s="4">
        <v>120</v>
      </c>
      <c r="L2913" s="5">
        <v>0.3</v>
      </c>
      <c r="M2913" t="s">
        <v>128</v>
      </c>
      <c r="N2913" t="s">
        <v>362</v>
      </c>
    </row>
    <row r="2914" spans="1:14">
      <c r="A2914" t="s">
        <v>29</v>
      </c>
      <c r="B2914">
        <v>1185732</v>
      </c>
      <c r="C2914" s="2">
        <v>44326</v>
      </c>
      <c r="D2914" t="s">
        <v>140</v>
      </c>
      <c r="E2914" t="s">
        <v>255</v>
      </c>
      <c r="F2914" t="s">
        <v>263</v>
      </c>
      <c r="G2914" t="s">
        <v>147</v>
      </c>
      <c r="H2914" s="3">
        <v>0.49999999999999994</v>
      </c>
      <c r="I2914">
        <v>1250</v>
      </c>
      <c r="J2914" s="4">
        <v>624.99999999999989</v>
      </c>
      <c r="K2914" s="4">
        <v>218.74999999999994</v>
      </c>
      <c r="L2914" s="5">
        <v>0.35</v>
      </c>
      <c r="M2914" t="s">
        <v>128</v>
      </c>
      <c r="N2914" t="s">
        <v>362</v>
      </c>
    </row>
    <row r="2915" spans="1:14">
      <c r="A2915" t="s">
        <v>29</v>
      </c>
      <c r="B2915">
        <v>1185732</v>
      </c>
      <c r="C2915" s="2">
        <v>44326</v>
      </c>
      <c r="D2915" t="s">
        <v>140</v>
      </c>
      <c r="E2915" t="s">
        <v>255</v>
      </c>
      <c r="F2915" t="s">
        <v>263</v>
      </c>
      <c r="G2915" t="s">
        <v>144</v>
      </c>
      <c r="H2915" s="3">
        <v>0.54999999999999993</v>
      </c>
      <c r="I2915">
        <v>2500</v>
      </c>
      <c r="J2915" s="4">
        <v>1374.9999999999998</v>
      </c>
      <c r="K2915" s="4">
        <v>549.99999999999989</v>
      </c>
      <c r="L2915" s="5">
        <v>0.4</v>
      </c>
      <c r="M2915" t="s">
        <v>128</v>
      </c>
      <c r="N2915" t="s">
        <v>362</v>
      </c>
    </row>
    <row r="2916" spans="1:14">
      <c r="A2916" t="s">
        <v>29</v>
      </c>
      <c r="B2916">
        <v>1185732</v>
      </c>
      <c r="C2916" s="2">
        <v>44356</v>
      </c>
      <c r="D2916" t="s">
        <v>140</v>
      </c>
      <c r="E2916" t="s">
        <v>255</v>
      </c>
      <c r="F2916" t="s">
        <v>263</v>
      </c>
      <c r="G2916" t="s">
        <v>27</v>
      </c>
      <c r="H2916" s="3">
        <v>0.4</v>
      </c>
      <c r="I2916">
        <v>5000</v>
      </c>
      <c r="J2916" s="4">
        <v>2000</v>
      </c>
      <c r="K2916" s="4">
        <v>700</v>
      </c>
      <c r="L2916" s="5">
        <v>0.35</v>
      </c>
      <c r="M2916" t="s">
        <v>129</v>
      </c>
      <c r="N2916" t="s">
        <v>362</v>
      </c>
    </row>
    <row r="2917" spans="1:14">
      <c r="A2917" t="s">
        <v>29</v>
      </c>
      <c r="B2917">
        <v>1185732</v>
      </c>
      <c r="C2917" s="2">
        <v>44356</v>
      </c>
      <c r="D2917" t="s">
        <v>140</v>
      </c>
      <c r="E2917" t="s">
        <v>255</v>
      </c>
      <c r="F2917" t="s">
        <v>263</v>
      </c>
      <c r="G2917" t="s">
        <v>145</v>
      </c>
      <c r="H2917" s="3">
        <v>0.35000000000000009</v>
      </c>
      <c r="I2917">
        <v>2500</v>
      </c>
      <c r="J2917" s="4">
        <v>875.00000000000023</v>
      </c>
      <c r="K2917" s="4">
        <v>262.50000000000006</v>
      </c>
      <c r="L2917" s="5">
        <v>0.3</v>
      </c>
      <c r="M2917" t="s">
        <v>129</v>
      </c>
      <c r="N2917" t="s">
        <v>362</v>
      </c>
    </row>
    <row r="2918" spans="1:14">
      <c r="A2918" t="s">
        <v>29</v>
      </c>
      <c r="B2918">
        <v>1185732</v>
      </c>
      <c r="C2918" s="2">
        <v>44356</v>
      </c>
      <c r="D2918" t="s">
        <v>140</v>
      </c>
      <c r="E2918" t="s">
        <v>255</v>
      </c>
      <c r="F2918" t="s">
        <v>263</v>
      </c>
      <c r="G2918" t="s">
        <v>146</v>
      </c>
      <c r="H2918" s="3">
        <v>0.30000000000000004</v>
      </c>
      <c r="I2918">
        <v>2000</v>
      </c>
      <c r="J2918" s="4">
        <v>600.00000000000011</v>
      </c>
      <c r="K2918" s="4">
        <v>180.00000000000003</v>
      </c>
      <c r="L2918" s="5">
        <v>0.3</v>
      </c>
      <c r="M2918" t="s">
        <v>129</v>
      </c>
      <c r="N2918" t="s">
        <v>362</v>
      </c>
    </row>
    <row r="2919" spans="1:14">
      <c r="A2919" t="s">
        <v>29</v>
      </c>
      <c r="B2919">
        <v>1185732</v>
      </c>
      <c r="C2919" s="2">
        <v>44356</v>
      </c>
      <c r="D2919" t="s">
        <v>140</v>
      </c>
      <c r="E2919" t="s">
        <v>255</v>
      </c>
      <c r="F2919" t="s">
        <v>263</v>
      </c>
      <c r="G2919" t="s">
        <v>148</v>
      </c>
      <c r="H2919" s="3">
        <v>0.30000000000000004</v>
      </c>
      <c r="I2919">
        <v>1750</v>
      </c>
      <c r="J2919" s="4">
        <v>525.00000000000011</v>
      </c>
      <c r="K2919" s="4">
        <v>157.50000000000003</v>
      </c>
      <c r="L2919" s="5">
        <v>0.3</v>
      </c>
      <c r="M2919" t="s">
        <v>129</v>
      </c>
      <c r="N2919" t="s">
        <v>362</v>
      </c>
    </row>
    <row r="2920" spans="1:14">
      <c r="A2920" t="s">
        <v>29</v>
      </c>
      <c r="B2920">
        <v>1185732</v>
      </c>
      <c r="C2920" s="2">
        <v>44356</v>
      </c>
      <c r="D2920" t="s">
        <v>140</v>
      </c>
      <c r="E2920" t="s">
        <v>255</v>
      </c>
      <c r="F2920" t="s">
        <v>263</v>
      </c>
      <c r="G2920" t="s">
        <v>147</v>
      </c>
      <c r="H2920" s="3">
        <v>0.4</v>
      </c>
      <c r="I2920">
        <v>1750</v>
      </c>
      <c r="J2920" s="4">
        <v>700</v>
      </c>
      <c r="K2920" s="4">
        <v>244.99999999999997</v>
      </c>
      <c r="L2920" s="5">
        <v>0.35</v>
      </c>
      <c r="M2920" t="s">
        <v>129</v>
      </c>
      <c r="N2920" t="s">
        <v>362</v>
      </c>
    </row>
    <row r="2921" spans="1:14">
      <c r="A2921" t="s">
        <v>29</v>
      </c>
      <c r="B2921">
        <v>1185732</v>
      </c>
      <c r="C2921" s="2">
        <v>44356</v>
      </c>
      <c r="D2921" t="s">
        <v>140</v>
      </c>
      <c r="E2921" t="s">
        <v>255</v>
      </c>
      <c r="F2921" t="s">
        <v>263</v>
      </c>
      <c r="G2921" t="s">
        <v>144</v>
      </c>
      <c r="H2921" s="3">
        <v>0.55000000000000004</v>
      </c>
      <c r="I2921">
        <v>3250</v>
      </c>
      <c r="J2921" s="4">
        <v>1787.5000000000002</v>
      </c>
      <c r="K2921" s="4">
        <v>715.00000000000011</v>
      </c>
      <c r="L2921" s="5">
        <v>0.4</v>
      </c>
      <c r="M2921" t="s">
        <v>129</v>
      </c>
      <c r="N2921" t="s">
        <v>362</v>
      </c>
    </row>
    <row r="2922" spans="1:14">
      <c r="A2922" t="s">
        <v>29</v>
      </c>
      <c r="B2922">
        <v>1185732</v>
      </c>
      <c r="C2922" s="2">
        <v>44385</v>
      </c>
      <c r="D2922" t="s">
        <v>140</v>
      </c>
      <c r="E2922" t="s">
        <v>255</v>
      </c>
      <c r="F2922" t="s">
        <v>263</v>
      </c>
      <c r="G2922" t="s">
        <v>27</v>
      </c>
      <c r="H2922" s="3">
        <v>0.5</v>
      </c>
      <c r="I2922">
        <v>5500</v>
      </c>
      <c r="J2922" s="4">
        <v>2750</v>
      </c>
      <c r="K2922" s="4">
        <v>962.49999999999989</v>
      </c>
      <c r="L2922" s="5">
        <v>0.35</v>
      </c>
      <c r="M2922" t="s">
        <v>130</v>
      </c>
      <c r="N2922" t="s">
        <v>363</v>
      </c>
    </row>
    <row r="2923" spans="1:14">
      <c r="A2923" t="s">
        <v>29</v>
      </c>
      <c r="B2923">
        <v>1185732</v>
      </c>
      <c r="C2923" s="2">
        <v>44385</v>
      </c>
      <c r="D2923" t="s">
        <v>140</v>
      </c>
      <c r="E2923" t="s">
        <v>255</v>
      </c>
      <c r="F2923" t="s">
        <v>263</v>
      </c>
      <c r="G2923" t="s">
        <v>145</v>
      </c>
      <c r="H2923" s="3">
        <v>0.45000000000000007</v>
      </c>
      <c r="I2923">
        <v>3000</v>
      </c>
      <c r="J2923" s="4">
        <v>1350.0000000000002</v>
      </c>
      <c r="K2923" s="4">
        <v>405.00000000000006</v>
      </c>
      <c r="L2923" s="5">
        <v>0.3</v>
      </c>
      <c r="M2923" t="s">
        <v>130</v>
      </c>
      <c r="N2923" t="s">
        <v>363</v>
      </c>
    </row>
    <row r="2924" spans="1:14">
      <c r="A2924" t="s">
        <v>29</v>
      </c>
      <c r="B2924">
        <v>1185732</v>
      </c>
      <c r="C2924" s="2">
        <v>44385</v>
      </c>
      <c r="D2924" t="s">
        <v>140</v>
      </c>
      <c r="E2924" t="s">
        <v>255</v>
      </c>
      <c r="F2924" t="s">
        <v>263</v>
      </c>
      <c r="G2924" t="s">
        <v>146</v>
      </c>
      <c r="H2924" s="3">
        <v>0.4</v>
      </c>
      <c r="I2924">
        <v>2250</v>
      </c>
      <c r="J2924" s="4">
        <v>900</v>
      </c>
      <c r="K2924" s="4">
        <v>270</v>
      </c>
      <c r="L2924" s="5">
        <v>0.3</v>
      </c>
      <c r="M2924" t="s">
        <v>130</v>
      </c>
      <c r="N2924" t="s">
        <v>363</v>
      </c>
    </row>
    <row r="2925" spans="1:14">
      <c r="A2925" t="s">
        <v>29</v>
      </c>
      <c r="B2925">
        <v>1185732</v>
      </c>
      <c r="C2925" s="2">
        <v>44385</v>
      </c>
      <c r="D2925" t="s">
        <v>140</v>
      </c>
      <c r="E2925" t="s">
        <v>255</v>
      </c>
      <c r="F2925" t="s">
        <v>263</v>
      </c>
      <c r="G2925" t="s">
        <v>148</v>
      </c>
      <c r="H2925" s="3">
        <v>0.4</v>
      </c>
      <c r="I2925">
        <v>1750</v>
      </c>
      <c r="J2925" s="4">
        <v>700</v>
      </c>
      <c r="K2925" s="4">
        <v>210</v>
      </c>
      <c r="L2925" s="5">
        <v>0.3</v>
      </c>
      <c r="M2925" t="s">
        <v>130</v>
      </c>
      <c r="N2925" t="s">
        <v>363</v>
      </c>
    </row>
    <row r="2926" spans="1:14">
      <c r="A2926" t="s">
        <v>29</v>
      </c>
      <c r="B2926">
        <v>1185732</v>
      </c>
      <c r="C2926" s="2">
        <v>44385</v>
      </c>
      <c r="D2926" t="s">
        <v>140</v>
      </c>
      <c r="E2926" t="s">
        <v>255</v>
      </c>
      <c r="F2926" t="s">
        <v>263</v>
      </c>
      <c r="G2926" t="s">
        <v>147</v>
      </c>
      <c r="H2926" s="3">
        <v>0.5</v>
      </c>
      <c r="I2926">
        <v>2000</v>
      </c>
      <c r="J2926" s="4">
        <v>1000</v>
      </c>
      <c r="K2926" s="4">
        <v>350</v>
      </c>
      <c r="L2926" s="5">
        <v>0.35</v>
      </c>
      <c r="M2926" t="s">
        <v>130</v>
      </c>
      <c r="N2926" t="s">
        <v>363</v>
      </c>
    </row>
    <row r="2927" spans="1:14">
      <c r="A2927" t="s">
        <v>29</v>
      </c>
      <c r="B2927">
        <v>1185732</v>
      </c>
      <c r="C2927" s="2">
        <v>44385</v>
      </c>
      <c r="D2927" t="s">
        <v>140</v>
      </c>
      <c r="E2927" t="s">
        <v>255</v>
      </c>
      <c r="F2927" t="s">
        <v>263</v>
      </c>
      <c r="G2927" t="s">
        <v>144</v>
      </c>
      <c r="H2927" s="3">
        <v>0.55000000000000004</v>
      </c>
      <c r="I2927">
        <v>3750</v>
      </c>
      <c r="J2927" s="4">
        <v>2062.5</v>
      </c>
      <c r="K2927" s="4">
        <v>825</v>
      </c>
      <c r="L2927" s="5">
        <v>0.4</v>
      </c>
      <c r="M2927" t="s">
        <v>130</v>
      </c>
      <c r="N2927" t="s">
        <v>363</v>
      </c>
    </row>
    <row r="2928" spans="1:14">
      <c r="A2928" t="s">
        <v>29</v>
      </c>
      <c r="B2928">
        <v>1185732</v>
      </c>
      <c r="C2928" s="2">
        <v>44417</v>
      </c>
      <c r="D2928" t="s">
        <v>140</v>
      </c>
      <c r="E2928" t="s">
        <v>255</v>
      </c>
      <c r="F2928" t="s">
        <v>263</v>
      </c>
      <c r="G2928" t="s">
        <v>27</v>
      </c>
      <c r="H2928" s="3">
        <v>0.5</v>
      </c>
      <c r="I2928">
        <v>5250</v>
      </c>
      <c r="J2928" s="4">
        <v>2625</v>
      </c>
      <c r="K2928" s="4">
        <v>918.74999999999989</v>
      </c>
      <c r="L2928" s="5">
        <v>0.35</v>
      </c>
      <c r="M2928" t="s">
        <v>131</v>
      </c>
      <c r="N2928" t="s">
        <v>363</v>
      </c>
    </row>
    <row r="2929" spans="1:14">
      <c r="A2929" t="s">
        <v>29</v>
      </c>
      <c r="B2929">
        <v>1185732</v>
      </c>
      <c r="C2929" s="2">
        <v>44417</v>
      </c>
      <c r="D2929" t="s">
        <v>140</v>
      </c>
      <c r="E2929" t="s">
        <v>255</v>
      </c>
      <c r="F2929" t="s">
        <v>263</v>
      </c>
      <c r="G2929" t="s">
        <v>145</v>
      </c>
      <c r="H2929" s="3">
        <v>0.45000000000000007</v>
      </c>
      <c r="I2929">
        <v>3000</v>
      </c>
      <c r="J2929" s="4">
        <v>1350.0000000000002</v>
      </c>
      <c r="K2929" s="4">
        <v>405.00000000000006</v>
      </c>
      <c r="L2929" s="5">
        <v>0.3</v>
      </c>
      <c r="M2929" t="s">
        <v>131</v>
      </c>
      <c r="N2929" t="s">
        <v>363</v>
      </c>
    </row>
    <row r="2930" spans="1:14">
      <c r="A2930" t="s">
        <v>29</v>
      </c>
      <c r="B2930">
        <v>1185732</v>
      </c>
      <c r="C2930" s="2">
        <v>44417</v>
      </c>
      <c r="D2930" t="s">
        <v>140</v>
      </c>
      <c r="E2930" t="s">
        <v>255</v>
      </c>
      <c r="F2930" t="s">
        <v>263</v>
      </c>
      <c r="G2930" t="s">
        <v>146</v>
      </c>
      <c r="H2930" s="3">
        <v>0.4</v>
      </c>
      <c r="I2930">
        <v>2250</v>
      </c>
      <c r="J2930" s="4">
        <v>900</v>
      </c>
      <c r="K2930" s="4">
        <v>270</v>
      </c>
      <c r="L2930" s="5">
        <v>0.3</v>
      </c>
      <c r="M2930" t="s">
        <v>131</v>
      </c>
      <c r="N2930" t="s">
        <v>363</v>
      </c>
    </row>
    <row r="2931" spans="1:14">
      <c r="A2931" t="s">
        <v>29</v>
      </c>
      <c r="B2931">
        <v>1185732</v>
      </c>
      <c r="C2931" s="2">
        <v>44417</v>
      </c>
      <c r="D2931" t="s">
        <v>140</v>
      </c>
      <c r="E2931" t="s">
        <v>255</v>
      </c>
      <c r="F2931" t="s">
        <v>263</v>
      </c>
      <c r="G2931" t="s">
        <v>148</v>
      </c>
      <c r="H2931" s="3">
        <v>0.4</v>
      </c>
      <c r="I2931">
        <v>2000</v>
      </c>
      <c r="J2931" s="4">
        <v>800</v>
      </c>
      <c r="K2931" s="4">
        <v>240</v>
      </c>
      <c r="L2931" s="5">
        <v>0.3</v>
      </c>
      <c r="M2931" t="s">
        <v>131</v>
      </c>
      <c r="N2931" t="s">
        <v>363</v>
      </c>
    </row>
    <row r="2932" spans="1:14">
      <c r="A2932" t="s">
        <v>29</v>
      </c>
      <c r="B2932">
        <v>1185732</v>
      </c>
      <c r="C2932" s="2">
        <v>44417</v>
      </c>
      <c r="D2932" t="s">
        <v>140</v>
      </c>
      <c r="E2932" t="s">
        <v>255</v>
      </c>
      <c r="F2932" t="s">
        <v>263</v>
      </c>
      <c r="G2932" t="s">
        <v>147</v>
      </c>
      <c r="H2932" s="3">
        <v>0.5</v>
      </c>
      <c r="I2932">
        <v>1750</v>
      </c>
      <c r="J2932" s="4">
        <v>875</v>
      </c>
      <c r="K2932" s="4">
        <v>306.25</v>
      </c>
      <c r="L2932" s="5">
        <v>0.35</v>
      </c>
      <c r="M2932" t="s">
        <v>131</v>
      </c>
      <c r="N2932" t="s">
        <v>363</v>
      </c>
    </row>
    <row r="2933" spans="1:14">
      <c r="A2933" t="s">
        <v>29</v>
      </c>
      <c r="B2933">
        <v>1185732</v>
      </c>
      <c r="C2933" s="2">
        <v>44417</v>
      </c>
      <c r="D2933" t="s">
        <v>140</v>
      </c>
      <c r="E2933" t="s">
        <v>255</v>
      </c>
      <c r="F2933" t="s">
        <v>263</v>
      </c>
      <c r="G2933" t="s">
        <v>144</v>
      </c>
      <c r="H2933" s="3">
        <v>0.55000000000000004</v>
      </c>
      <c r="I2933">
        <v>3500</v>
      </c>
      <c r="J2933" s="4">
        <v>1925.0000000000002</v>
      </c>
      <c r="K2933" s="4">
        <v>770.00000000000011</v>
      </c>
      <c r="L2933" s="5">
        <v>0.4</v>
      </c>
      <c r="M2933" t="s">
        <v>131</v>
      </c>
      <c r="N2933" t="s">
        <v>363</v>
      </c>
    </row>
    <row r="2934" spans="1:14">
      <c r="A2934" t="s">
        <v>29</v>
      </c>
      <c r="B2934">
        <v>1185732</v>
      </c>
      <c r="C2934" s="2">
        <v>44449</v>
      </c>
      <c r="D2934" t="s">
        <v>140</v>
      </c>
      <c r="E2934" t="s">
        <v>255</v>
      </c>
      <c r="F2934" t="s">
        <v>263</v>
      </c>
      <c r="G2934" t="s">
        <v>27</v>
      </c>
      <c r="H2934" s="3">
        <v>0.4</v>
      </c>
      <c r="I2934">
        <v>4750</v>
      </c>
      <c r="J2934" s="4">
        <v>1900</v>
      </c>
      <c r="K2934" s="4">
        <v>665</v>
      </c>
      <c r="L2934" s="5">
        <v>0.35</v>
      </c>
      <c r="M2934" t="s">
        <v>132</v>
      </c>
      <c r="N2934" t="s">
        <v>363</v>
      </c>
    </row>
    <row r="2935" spans="1:14">
      <c r="A2935" t="s">
        <v>29</v>
      </c>
      <c r="B2935">
        <v>1185732</v>
      </c>
      <c r="C2935" s="2">
        <v>44449</v>
      </c>
      <c r="D2935" t="s">
        <v>140</v>
      </c>
      <c r="E2935" t="s">
        <v>255</v>
      </c>
      <c r="F2935" t="s">
        <v>263</v>
      </c>
      <c r="G2935" t="s">
        <v>145</v>
      </c>
      <c r="H2935" s="3">
        <v>0.35000000000000009</v>
      </c>
      <c r="I2935">
        <v>2750</v>
      </c>
      <c r="J2935" s="4">
        <v>962.50000000000023</v>
      </c>
      <c r="K2935" s="4">
        <v>288.75000000000006</v>
      </c>
      <c r="L2935" s="5">
        <v>0.3</v>
      </c>
      <c r="M2935" t="s">
        <v>132</v>
      </c>
      <c r="N2935" t="s">
        <v>363</v>
      </c>
    </row>
    <row r="2936" spans="1:14">
      <c r="A2936" t="s">
        <v>29</v>
      </c>
      <c r="B2936">
        <v>1185732</v>
      </c>
      <c r="C2936" s="2">
        <v>44449</v>
      </c>
      <c r="D2936" t="s">
        <v>140</v>
      </c>
      <c r="E2936" t="s">
        <v>255</v>
      </c>
      <c r="F2936" t="s">
        <v>263</v>
      </c>
      <c r="G2936" t="s">
        <v>146</v>
      </c>
      <c r="H2936" s="3">
        <v>0.30000000000000004</v>
      </c>
      <c r="I2936">
        <v>1750</v>
      </c>
      <c r="J2936" s="4">
        <v>525.00000000000011</v>
      </c>
      <c r="K2936" s="4">
        <v>157.50000000000003</v>
      </c>
      <c r="L2936" s="5">
        <v>0.3</v>
      </c>
      <c r="M2936" t="s">
        <v>132</v>
      </c>
      <c r="N2936" t="s">
        <v>363</v>
      </c>
    </row>
    <row r="2937" spans="1:14">
      <c r="A2937" t="s">
        <v>29</v>
      </c>
      <c r="B2937">
        <v>1185732</v>
      </c>
      <c r="C2937" s="2">
        <v>44449</v>
      </c>
      <c r="D2937" t="s">
        <v>140</v>
      </c>
      <c r="E2937" t="s">
        <v>255</v>
      </c>
      <c r="F2937" t="s">
        <v>263</v>
      </c>
      <c r="G2937" t="s">
        <v>148</v>
      </c>
      <c r="H2937" s="3">
        <v>0.30000000000000004</v>
      </c>
      <c r="I2937">
        <v>1500</v>
      </c>
      <c r="J2937" s="4">
        <v>450.00000000000006</v>
      </c>
      <c r="K2937" s="4">
        <v>135</v>
      </c>
      <c r="L2937" s="5">
        <v>0.3</v>
      </c>
      <c r="M2937" t="s">
        <v>132</v>
      </c>
      <c r="N2937" t="s">
        <v>363</v>
      </c>
    </row>
    <row r="2938" spans="1:14">
      <c r="A2938" t="s">
        <v>29</v>
      </c>
      <c r="B2938">
        <v>1185732</v>
      </c>
      <c r="C2938" s="2">
        <v>44449</v>
      </c>
      <c r="D2938" t="s">
        <v>140</v>
      </c>
      <c r="E2938" t="s">
        <v>255</v>
      </c>
      <c r="F2938" t="s">
        <v>263</v>
      </c>
      <c r="G2938" t="s">
        <v>147</v>
      </c>
      <c r="H2938" s="3">
        <v>0.4</v>
      </c>
      <c r="I2938">
        <v>1500</v>
      </c>
      <c r="J2938" s="4">
        <v>600</v>
      </c>
      <c r="K2938" s="4">
        <v>210</v>
      </c>
      <c r="L2938" s="5">
        <v>0.35</v>
      </c>
      <c r="M2938" t="s">
        <v>132</v>
      </c>
      <c r="N2938" t="s">
        <v>363</v>
      </c>
    </row>
    <row r="2939" spans="1:14">
      <c r="A2939" t="s">
        <v>29</v>
      </c>
      <c r="B2939">
        <v>1185732</v>
      </c>
      <c r="C2939" s="2">
        <v>44449</v>
      </c>
      <c r="D2939" t="s">
        <v>140</v>
      </c>
      <c r="E2939" t="s">
        <v>255</v>
      </c>
      <c r="F2939" t="s">
        <v>263</v>
      </c>
      <c r="G2939" t="s">
        <v>144</v>
      </c>
      <c r="H2939" s="3">
        <v>0.45</v>
      </c>
      <c r="I2939">
        <v>2250</v>
      </c>
      <c r="J2939" s="4">
        <v>1012.5</v>
      </c>
      <c r="K2939" s="4">
        <v>405</v>
      </c>
      <c r="L2939" s="5">
        <v>0.4</v>
      </c>
      <c r="M2939" t="s">
        <v>132</v>
      </c>
      <c r="N2939" t="s">
        <v>363</v>
      </c>
    </row>
    <row r="2940" spans="1:14">
      <c r="A2940" t="s">
        <v>29</v>
      </c>
      <c r="B2940">
        <v>1185732</v>
      </c>
      <c r="C2940" s="2">
        <v>44478</v>
      </c>
      <c r="D2940" t="s">
        <v>140</v>
      </c>
      <c r="E2940" t="s">
        <v>255</v>
      </c>
      <c r="F2940" t="s">
        <v>263</v>
      </c>
      <c r="G2940" t="s">
        <v>27</v>
      </c>
      <c r="H2940" s="3">
        <v>0.49999999999999994</v>
      </c>
      <c r="I2940">
        <v>4000</v>
      </c>
      <c r="J2940" s="4">
        <v>1999.9999999999998</v>
      </c>
      <c r="K2940" s="4">
        <v>699.99999999999989</v>
      </c>
      <c r="L2940" s="5">
        <v>0.35</v>
      </c>
      <c r="M2940" t="s">
        <v>133</v>
      </c>
      <c r="N2940" t="s">
        <v>364</v>
      </c>
    </row>
    <row r="2941" spans="1:14">
      <c r="A2941" t="s">
        <v>29</v>
      </c>
      <c r="B2941">
        <v>1185732</v>
      </c>
      <c r="C2941" s="2">
        <v>44478</v>
      </c>
      <c r="D2941" t="s">
        <v>140</v>
      </c>
      <c r="E2941" t="s">
        <v>255</v>
      </c>
      <c r="F2941" t="s">
        <v>263</v>
      </c>
      <c r="G2941" t="s">
        <v>145</v>
      </c>
      <c r="H2941" s="3">
        <v>0.4</v>
      </c>
      <c r="I2941">
        <v>2500</v>
      </c>
      <c r="J2941" s="4">
        <v>1000</v>
      </c>
      <c r="K2941" s="4">
        <v>300</v>
      </c>
      <c r="L2941" s="5">
        <v>0.3</v>
      </c>
      <c r="M2941" t="s">
        <v>133</v>
      </c>
      <c r="N2941" t="s">
        <v>364</v>
      </c>
    </row>
    <row r="2942" spans="1:14">
      <c r="A2942" t="s">
        <v>29</v>
      </c>
      <c r="B2942">
        <v>1185732</v>
      </c>
      <c r="C2942" s="2">
        <v>44478</v>
      </c>
      <c r="D2942" t="s">
        <v>140</v>
      </c>
      <c r="E2942" t="s">
        <v>255</v>
      </c>
      <c r="F2942" t="s">
        <v>263</v>
      </c>
      <c r="G2942" t="s">
        <v>146</v>
      </c>
      <c r="H2942" s="3">
        <v>0.4</v>
      </c>
      <c r="I2942">
        <v>1500</v>
      </c>
      <c r="J2942" s="4">
        <v>600</v>
      </c>
      <c r="K2942" s="4">
        <v>180</v>
      </c>
      <c r="L2942" s="5">
        <v>0.3</v>
      </c>
      <c r="M2942" t="s">
        <v>133</v>
      </c>
      <c r="N2942" t="s">
        <v>364</v>
      </c>
    </row>
    <row r="2943" spans="1:14">
      <c r="A2943" t="s">
        <v>29</v>
      </c>
      <c r="B2943">
        <v>1185732</v>
      </c>
      <c r="C2943" s="2">
        <v>44478</v>
      </c>
      <c r="D2943" t="s">
        <v>140</v>
      </c>
      <c r="E2943" t="s">
        <v>255</v>
      </c>
      <c r="F2943" t="s">
        <v>263</v>
      </c>
      <c r="G2943" t="s">
        <v>148</v>
      </c>
      <c r="H2943" s="3">
        <v>0.4</v>
      </c>
      <c r="I2943">
        <v>1250</v>
      </c>
      <c r="J2943" s="4">
        <v>500</v>
      </c>
      <c r="K2943" s="4">
        <v>150</v>
      </c>
      <c r="L2943" s="5">
        <v>0.3</v>
      </c>
      <c r="M2943" t="s">
        <v>133</v>
      </c>
      <c r="N2943" t="s">
        <v>364</v>
      </c>
    </row>
    <row r="2944" spans="1:14">
      <c r="A2944" t="s">
        <v>29</v>
      </c>
      <c r="B2944">
        <v>1185732</v>
      </c>
      <c r="C2944" s="2">
        <v>44478</v>
      </c>
      <c r="D2944" t="s">
        <v>140</v>
      </c>
      <c r="E2944" t="s">
        <v>255</v>
      </c>
      <c r="F2944" t="s">
        <v>263</v>
      </c>
      <c r="G2944" t="s">
        <v>147</v>
      </c>
      <c r="H2944" s="3">
        <v>0.49999999999999994</v>
      </c>
      <c r="I2944">
        <v>1250</v>
      </c>
      <c r="J2944" s="4">
        <v>624.99999999999989</v>
      </c>
      <c r="K2944" s="4">
        <v>218.74999999999994</v>
      </c>
      <c r="L2944" s="5">
        <v>0.35</v>
      </c>
      <c r="M2944" t="s">
        <v>133</v>
      </c>
      <c r="N2944" t="s">
        <v>364</v>
      </c>
    </row>
    <row r="2945" spans="1:14">
      <c r="A2945" t="s">
        <v>29</v>
      </c>
      <c r="B2945">
        <v>1185732</v>
      </c>
      <c r="C2945" s="2">
        <v>44478</v>
      </c>
      <c r="D2945" t="s">
        <v>140</v>
      </c>
      <c r="E2945" t="s">
        <v>255</v>
      </c>
      <c r="F2945" t="s">
        <v>263</v>
      </c>
      <c r="G2945" t="s">
        <v>144</v>
      </c>
      <c r="H2945" s="3">
        <v>0.54999999999999982</v>
      </c>
      <c r="I2945">
        <v>2500</v>
      </c>
      <c r="J2945" s="4">
        <v>1374.9999999999995</v>
      </c>
      <c r="K2945" s="4">
        <v>549.99999999999989</v>
      </c>
      <c r="L2945" s="5">
        <v>0.4</v>
      </c>
      <c r="M2945" t="s">
        <v>133</v>
      </c>
      <c r="N2945" t="s">
        <v>364</v>
      </c>
    </row>
    <row r="2946" spans="1:14">
      <c r="A2946" t="s">
        <v>29</v>
      </c>
      <c r="B2946">
        <v>1185732</v>
      </c>
      <c r="C2946" s="2">
        <v>44509</v>
      </c>
      <c r="D2946" t="s">
        <v>140</v>
      </c>
      <c r="E2946" t="s">
        <v>255</v>
      </c>
      <c r="F2946" t="s">
        <v>263</v>
      </c>
      <c r="G2946" t="s">
        <v>27</v>
      </c>
      <c r="H2946" s="3">
        <v>0.49999999999999994</v>
      </c>
      <c r="I2946">
        <v>4000</v>
      </c>
      <c r="J2946" s="4">
        <v>1999.9999999999998</v>
      </c>
      <c r="K2946" s="4">
        <v>699.99999999999989</v>
      </c>
      <c r="L2946" s="5">
        <v>0.35</v>
      </c>
      <c r="M2946" t="s">
        <v>134</v>
      </c>
      <c r="N2946" t="s">
        <v>364</v>
      </c>
    </row>
    <row r="2947" spans="1:14">
      <c r="A2947" t="s">
        <v>29</v>
      </c>
      <c r="B2947">
        <v>1185732</v>
      </c>
      <c r="C2947" s="2">
        <v>44509</v>
      </c>
      <c r="D2947" t="s">
        <v>140</v>
      </c>
      <c r="E2947" t="s">
        <v>255</v>
      </c>
      <c r="F2947" t="s">
        <v>263</v>
      </c>
      <c r="G2947" t="s">
        <v>145</v>
      </c>
      <c r="H2947" s="3">
        <v>0.4</v>
      </c>
      <c r="I2947">
        <v>2500</v>
      </c>
      <c r="J2947" s="4">
        <v>1000</v>
      </c>
      <c r="K2947" s="4">
        <v>300</v>
      </c>
      <c r="L2947" s="5">
        <v>0.3</v>
      </c>
      <c r="M2947" t="s">
        <v>134</v>
      </c>
      <c r="N2947" t="s">
        <v>364</v>
      </c>
    </row>
    <row r="2948" spans="1:14">
      <c r="A2948" t="s">
        <v>29</v>
      </c>
      <c r="B2948">
        <v>1185732</v>
      </c>
      <c r="C2948" s="2">
        <v>44509</v>
      </c>
      <c r="D2948" t="s">
        <v>140</v>
      </c>
      <c r="E2948" t="s">
        <v>255</v>
      </c>
      <c r="F2948" t="s">
        <v>263</v>
      </c>
      <c r="G2948" t="s">
        <v>146</v>
      </c>
      <c r="H2948" s="3">
        <v>0.4</v>
      </c>
      <c r="I2948">
        <v>1950</v>
      </c>
      <c r="J2948" s="4">
        <v>780</v>
      </c>
      <c r="K2948" s="4">
        <v>234</v>
      </c>
      <c r="L2948" s="5">
        <v>0.3</v>
      </c>
      <c r="M2948" t="s">
        <v>134</v>
      </c>
      <c r="N2948" t="s">
        <v>364</v>
      </c>
    </row>
    <row r="2949" spans="1:14">
      <c r="A2949" t="s">
        <v>29</v>
      </c>
      <c r="B2949">
        <v>1185732</v>
      </c>
      <c r="C2949" s="2">
        <v>44509</v>
      </c>
      <c r="D2949" t="s">
        <v>140</v>
      </c>
      <c r="E2949" t="s">
        <v>255</v>
      </c>
      <c r="F2949" t="s">
        <v>263</v>
      </c>
      <c r="G2949" t="s">
        <v>148</v>
      </c>
      <c r="H2949" s="3">
        <v>0.4</v>
      </c>
      <c r="I2949">
        <v>1750</v>
      </c>
      <c r="J2949" s="4">
        <v>700</v>
      </c>
      <c r="K2949" s="4">
        <v>210</v>
      </c>
      <c r="L2949" s="5">
        <v>0.3</v>
      </c>
      <c r="M2949" t="s">
        <v>134</v>
      </c>
      <c r="N2949" t="s">
        <v>364</v>
      </c>
    </row>
    <row r="2950" spans="1:14">
      <c r="A2950" t="s">
        <v>29</v>
      </c>
      <c r="B2950">
        <v>1185732</v>
      </c>
      <c r="C2950" s="2">
        <v>44509</v>
      </c>
      <c r="D2950" t="s">
        <v>140</v>
      </c>
      <c r="E2950" t="s">
        <v>255</v>
      </c>
      <c r="F2950" t="s">
        <v>263</v>
      </c>
      <c r="G2950" t="s">
        <v>147</v>
      </c>
      <c r="H2950" s="3">
        <v>0.6</v>
      </c>
      <c r="I2950">
        <v>1500</v>
      </c>
      <c r="J2950" s="4">
        <v>900</v>
      </c>
      <c r="K2950" s="4">
        <v>315</v>
      </c>
      <c r="L2950" s="5">
        <v>0.35</v>
      </c>
      <c r="M2950" t="s">
        <v>134</v>
      </c>
      <c r="N2950" t="s">
        <v>364</v>
      </c>
    </row>
    <row r="2951" spans="1:14">
      <c r="A2951" t="s">
        <v>29</v>
      </c>
      <c r="B2951">
        <v>1185732</v>
      </c>
      <c r="C2951" s="2">
        <v>44509</v>
      </c>
      <c r="D2951" t="s">
        <v>140</v>
      </c>
      <c r="E2951" t="s">
        <v>255</v>
      </c>
      <c r="F2951" t="s">
        <v>263</v>
      </c>
      <c r="G2951" t="s">
        <v>144</v>
      </c>
      <c r="H2951" s="3">
        <v>0.64999999999999991</v>
      </c>
      <c r="I2951">
        <v>2500</v>
      </c>
      <c r="J2951" s="4">
        <v>1624.9999999999998</v>
      </c>
      <c r="K2951" s="4">
        <v>650</v>
      </c>
      <c r="L2951" s="5">
        <v>0.4</v>
      </c>
      <c r="M2951" t="s">
        <v>134</v>
      </c>
      <c r="N2951" t="s">
        <v>364</v>
      </c>
    </row>
    <row r="2952" spans="1:14">
      <c r="A2952" t="s">
        <v>29</v>
      </c>
      <c r="B2952">
        <v>1185732</v>
      </c>
      <c r="C2952" s="2">
        <v>44538</v>
      </c>
      <c r="D2952" t="s">
        <v>140</v>
      </c>
      <c r="E2952" t="s">
        <v>255</v>
      </c>
      <c r="F2952" t="s">
        <v>263</v>
      </c>
      <c r="G2952" t="s">
        <v>27</v>
      </c>
      <c r="H2952" s="3">
        <v>0.6</v>
      </c>
      <c r="I2952">
        <v>5000</v>
      </c>
      <c r="J2952" s="4">
        <v>3000</v>
      </c>
      <c r="K2952" s="4">
        <v>1050</v>
      </c>
      <c r="L2952" s="5">
        <v>0.35</v>
      </c>
      <c r="M2952" t="s">
        <v>23</v>
      </c>
      <c r="N2952" t="s">
        <v>364</v>
      </c>
    </row>
    <row r="2953" spans="1:14">
      <c r="A2953" t="s">
        <v>29</v>
      </c>
      <c r="B2953">
        <v>1185732</v>
      </c>
      <c r="C2953" s="2">
        <v>44538</v>
      </c>
      <c r="D2953" t="s">
        <v>140</v>
      </c>
      <c r="E2953" t="s">
        <v>255</v>
      </c>
      <c r="F2953" t="s">
        <v>263</v>
      </c>
      <c r="G2953" t="s">
        <v>145</v>
      </c>
      <c r="H2953" s="3">
        <v>0.5</v>
      </c>
      <c r="I2953">
        <v>3000</v>
      </c>
      <c r="J2953" s="4">
        <v>1500</v>
      </c>
      <c r="K2953" s="4">
        <v>450</v>
      </c>
      <c r="L2953" s="5">
        <v>0.3</v>
      </c>
      <c r="M2953" t="s">
        <v>23</v>
      </c>
      <c r="N2953" t="s">
        <v>364</v>
      </c>
    </row>
    <row r="2954" spans="1:14">
      <c r="A2954" t="s">
        <v>29</v>
      </c>
      <c r="B2954">
        <v>1185732</v>
      </c>
      <c r="C2954" s="2">
        <v>44538</v>
      </c>
      <c r="D2954" t="s">
        <v>140</v>
      </c>
      <c r="E2954" t="s">
        <v>255</v>
      </c>
      <c r="F2954" t="s">
        <v>263</v>
      </c>
      <c r="G2954" t="s">
        <v>146</v>
      </c>
      <c r="H2954" s="3">
        <v>0.5</v>
      </c>
      <c r="I2954">
        <v>2500</v>
      </c>
      <c r="J2954" s="4">
        <v>1250</v>
      </c>
      <c r="K2954" s="4">
        <v>375</v>
      </c>
      <c r="L2954" s="5">
        <v>0.3</v>
      </c>
      <c r="M2954" t="s">
        <v>23</v>
      </c>
      <c r="N2954" t="s">
        <v>364</v>
      </c>
    </row>
    <row r="2955" spans="1:14">
      <c r="A2955" t="s">
        <v>29</v>
      </c>
      <c r="B2955">
        <v>1185732</v>
      </c>
      <c r="C2955" s="2">
        <v>44538</v>
      </c>
      <c r="D2955" t="s">
        <v>140</v>
      </c>
      <c r="E2955" t="s">
        <v>255</v>
      </c>
      <c r="F2955" t="s">
        <v>263</v>
      </c>
      <c r="G2955" t="s">
        <v>148</v>
      </c>
      <c r="H2955" s="3">
        <v>0.5</v>
      </c>
      <c r="I2955">
        <v>2000</v>
      </c>
      <c r="J2955" s="4">
        <v>1000</v>
      </c>
      <c r="K2955" s="4">
        <v>300</v>
      </c>
      <c r="L2955" s="5">
        <v>0.3</v>
      </c>
      <c r="M2955" t="s">
        <v>23</v>
      </c>
      <c r="N2955" t="s">
        <v>364</v>
      </c>
    </row>
    <row r="2956" spans="1:14">
      <c r="A2956" t="s">
        <v>29</v>
      </c>
      <c r="B2956">
        <v>1185732</v>
      </c>
      <c r="C2956" s="2">
        <v>44538</v>
      </c>
      <c r="D2956" t="s">
        <v>140</v>
      </c>
      <c r="E2956" t="s">
        <v>255</v>
      </c>
      <c r="F2956" t="s">
        <v>263</v>
      </c>
      <c r="G2956" t="s">
        <v>147</v>
      </c>
      <c r="H2956" s="3">
        <v>0.6</v>
      </c>
      <c r="I2956">
        <v>2000</v>
      </c>
      <c r="J2956" s="4">
        <v>1200</v>
      </c>
      <c r="K2956" s="4">
        <v>420</v>
      </c>
      <c r="L2956" s="5">
        <v>0.35</v>
      </c>
      <c r="M2956" t="s">
        <v>23</v>
      </c>
      <c r="N2956" t="s">
        <v>364</v>
      </c>
    </row>
    <row r="2957" spans="1:14">
      <c r="A2957" t="s">
        <v>29</v>
      </c>
      <c r="B2957">
        <v>1185732</v>
      </c>
      <c r="C2957" s="2">
        <v>44538</v>
      </c>
      <c r="D2957" t="s">
        <v>140</v>
      </c>
      <c r="E2957" t="s">
        <v>255</v>
      </c>
      <c r="F2957" t="s">
        <v>263</v>
      </c>
      <c r="G2957" t="s">
        <v>144</v>
      </c>
      <c r="H2957" s="3">
        <v>0.64999999999999991</v>
      </c>
      <c r="I2957">
        <v>3000</v>
      </c>
      <c r="J2957" s="4">
        <v>1949.9999999999998</v>
      </c>
      <c r="K2957" s="4">
        <v>780</v>
      </c>
      <c r="L2957" s="5">
        <v>0.4</v>
      </c>
      <c r="M2957" t="s">
        <v>23</v>
      </c>
      <c r="N2957" t="s">
        <v>364</v>
      </c>
    </row>
    <row r="2958" spans="1:14">
      <c r="A2958" t="s">
        <v>29</v>
      </c>
      <c r="B2958">
        <v>1185732</v>
      </c>
      <c r="C2958" s="2">
        <v>44202</v>
      </c>
      <c r="D2958" t="s">
        <v>140</v>
      </c>
      <c r="E2958" t="s">
        <v>258</v>
      </c>
      <c r="F2958" t="s">
        <v>266</v>
      </c>
      <c r="G2958" t="s">
        <v>27</v>
      </c>
      <c r="H2958" s="3">
        <v>0.30000000000000004</v>
      </c>
      <c r="I2958">
        <v>4500</v>
      </c>
      <c r="J2958" s="4">
        <v>1350.0000000000002</v>
      </c>
      <c r="K2958" s="4">
        <v>405.00000000000006</v>
      </c>
      <c r="L2958" s="5">
        <v>0.3</v>
      </c>
      <c r="M2958" t="s">
        <v>125</v>
      </c>
      <c r="N2958" t="s">
        <v>361</v>
      </c>
    </row>
    <row r="2959" spans="1:14">
      <c r="A2959" t="s">
        <v>29</v>
      </c>
      <c r="B2959">
        <v>1185732</v>
      </c>
      <c r="C2959" s="2">
        <v>44202</v>
      </c>
      <c r="D2959" t="s">
        <v>140</v>
      </c>
      <c r="E2959" t="s">
        <v>258</v>
      </c>
      <c r="F2959" t="s">
        <v>266</v>
      </c>
      <c r="G2959" t="s">
        <v>145</v>
      </c>
      <c r="H2959" s="3">
        <v>0.30000000000000004</v>
      </c>
      <c r="I2959">
        <v>2500</v>
      </c>
      <c r="J2959" s="4">
        <v>750.00000000000011</v>
      </c>
      <c r="K2959" s="4">
        <v>262.5</v>
      </c>
      <c r="L2959" s="5">
        <v>0.35</v>
      </c>
      <c r="M2959" t="s">
        <v>125</v>
      </c>
      <c r="N2959" t="s">
        <v>361</v>
      </c>
    </row>
    <row r="2960" spans="1:14">
      <c r="A2960" t="s">
        <v>29</v>
      </c>
      <c r="B2960">
        <v>1185732</v>
      </c>
      <c r="C2960" s="2">
        <v>44202</v>
      </c>
      <c r="D2960" t="s">
        <v>140</v>
      </c>
      <c r="E2960" t="s">
        <v>258</v>
      </c>
      <c r="F2960" t="s">
        <v>266</v>
      </c>
      <c r="G2960" t="s">
        <v>146</v>
      </c>
      <c r="H2960" s="3">
        <v>0.20000000000000007</v>
      </c>
      <c r="I2960">
        <v>2500</v>
      </c>
      <c r="J2960" s="4">
        <v>500.00000000000017</v>
      </c>
      <c r="K2960" s="4">
        <v>150.00000000000006</v>
      </c>
      <c r="L2960" s="5">
        <v>0.3</v>
      </c>
      <c r="M2960" t="s">
        <v>125</v>
      </c>
      <c r="N2960" t="s">
        <v>361</v>
      </c>
    </row>
    <row r="2961" spans="1:14">
      <c r="A2961" t="s">
        <v>29</v>
      </c>
      <c r="B2961">
        <v>1185732</v>
      </c>
      <c r="C2961" s="2">
        <v>44202</v>
      </c>
      <c r="D2961" t="s">
        <v>140</v>
      </c>
      <c r="E2961" t="s">
        <v>258</v>
      </c>
      <c r="F2961" t="s">
        <v>266</v>
      </c>
      <c r="G2961" t="s">
        <v>148</v>
      </c>
      <c r="H2961" s="3">
        <v>0.25000000000000006</v>
      </c>
      <c r="I2961">
        <v>1000</v>
      </c>
      <c r="J2961" s="4">
        <v>250.00000000000006</v>
      </c>
      <c r="K2961" s="4">
        <v>75.000000000000014</v>
      </c>
      <c r="L2961" s="5">
        <v>0.3</v>
      </c>
      <c r="M2961" t="s">
        <v>125</v>
      </c>
      <c r="N2961" t="s">
        <v>361</v>
      </c>
    </row>
    <row r="2962" spans="1:14">
      <c r="A2962" t="s">
        <v>29</v>
      </c>
      <c r="B2962">
        <v>1185732</v>
      </c>
      <c r="C2962" s="2">
        <v>44202</v>
      </c>
      <c r="D2962" t="s">
        <v>140</v>
      </c>
      <c r="E2962" t="s">
        <v>258</v>
      </c>
      <c r="F2962" t="s">
        <v>266</v>
      </c>
      <c r="G2962" t="s">
        <v>147</v>
      </c>
      <c r="H2962" s="3">
        <v>0.39999999999999997</v>
      </c>
      <c r="I2962">
        <v>1500</v>
      </c>
      <c r="J2962" s="4">
        <v>600</v>
      </c>
      <c r="K2962" s="4">
        <v>300</v>
      </c>
      <c r="L2962" s="5">
        <v>0.5</v>
      </c>
      <c r="M2962" t="s">
        <v>125</v>
      </c>
      <c r="N2962" t="s">
        <v>361</v>
      </c>
    </row>
    <row r="2963" spans="1:14">
      <c r="A2963" t="s">
        <v>29</v>
      </c>
      <c r="B2963">
        <v>1185732</v>
      </c>
      <c r="C2963" s="2">
        <v>44202</v>
      </c>
      <c r="D2963" t="s">
        <v>140</v>
      </c>
      <c r="E2963" t="s">
        <v>258</v>
      </c>
      <c r="F2963" t="s">
        <v>266</v>
      </c>
      <c r="G2963" t="s">
        <v>144</v>
      </c>
      <c r="H2963" s="3">
        <v>0.30000000000000004</v>
      </c>
      <c r="I2963">
        <v>2500</v>
      </c>
      <c r="J2963" s="4">
        <v>750.00000000000011</v>
      </c>
      <c r="K2963" s="4">
        <v>300.00000000000006</v>
      </c>
      <c r="L2963" s="5">
        <v>0.4</v>
      </c>
      <c r="M2963" t="s">
        <v>125</v>
      </c>
      <c r="N2963" t="s">
        <v>361</v>
      </c>
    </row>
    <row r="2964" spans="1:14">
      <c r="A2964" t="s">
        <v>29</v>
      </c>
      <c r="B2964">
        <v>1185732</v>
      </c>
      <c r="C2964" s="2">
        <v>44233</v>
      </c>
      <c r="D2964" t="s">
        <v>140</v>
      </c>
      <c r="E2964" t="s">
        <v>258</v>
      </c>
      <c r="F2964" t="s">
        <v>266</v>
      </c>
      <c r="G2964" t="s">
        <v>27</v>
      </c>
      <c r="H2964" s="3">
        <v>0.30000000000000004</v>
      </c>
      <c r="I2964">
        <v>5000</v>
      </c>
      <c r="J2964" s="4">
        <v>1500.0000000000002</v>
      </c>
      <c r="K2964" s="4">
        <v>450.00000000000006</v>
      </c>
      <c r="L2964" s="5">
        <v>0.3</v>
      </c>
      <c r="M2964" t="s">
        <v>126</v>
      </c>
      <c r="N2964" t="s">
        <v>361</v>
      </c>
    </row>
    <row r="2965" spans="1:14">
      <c r="A2965" t="s">
        <v>29</v>
      </c>
      <c r="B2965">
        <v>1185732</v>
      </c>
      <c r="C2965" s="2">
        <v>44233</v>
      </c>
      <c r="D2965" t="s">
        <v>140</v>
      </c>
      <c r="E2965" t="s">
        <v>258</v>
      </c>
      <c r="F2965" t="s">
        <v>266</v>
      </c>
      <c r="G2965" t="s">
        <v>145</v>
      </c>
      <c r="H2965" s="3">
        <v>0.30000000000000004</v>
      </c>
      <c r="I2965">
        <v>1500</v>
      </c>
      <c r="J2965" s="4">
        <v>450.00000000000006</v>
      </c>
      <c r="K2965" s="4">
        <v>157.5</v>
      </c>
      <c r="L2965" s="5">
        <v>0.35</v>
      </c>
      <c r="M2965" t="s">
        <v>126</v>
      </c>
      <c r="N2965" t="s">
        <v>361</v>
      </c>
    </row>
    <row r="2966" spans="1:14">
      <c r="A2966" t="s">
        <v>29</v>
      </c>
      <c r="B2966">
        <v>1185732</v>
      </c>
      <c r="C2966" s="2">
        <v>44233</v>
      </c>
      <c r="D2966" t="s">
        <v>140</v>
      </c>
      <c r="E2966" t="s">
        <v>258</v>
      </c>
      <c r="F2966" t="s">
        <v>266</v>
      </c>
      <c r="G2966" t="s">
        <v>146</v>
      </c>
      <c r="H2966" s="3">
        <v>0.20000000000000007</v>
      </c>
      <c r="I2966">
        <v>2000</v>
      </c>
      <c r="J2966" s="4">
        <v>400.00000000000011</v>
      </c>
      <c r="K2966" s="4">
        <v>120.00000000000003</v>
      </c>
      <c r="L2966" s="5">
        <v>0.3</v>
      </c>
      <c r="M2966" t="s">
        <v>126</v>
      </c>
      <c r="N2966" t="s">
        <v>361</v>
      </c>
    </row>
    <row r="2967" spans="1:14">
      <c r="A2967" t="s">
        <v>29</v>
      </c>
      <c r="B2967">
        <v>1185732</v>
      </c>
      <c r="C2967" s="2">
        <v>44233</v>
      </c>
      <c r="D2967" t="s">
        <v>140</v>
      </c>
      <c r="E2967" t="s">
        <v>258</v>
      </c>
      <c r="F2967" t="s">
        <v>266</v>
      </c>
      <c r="G2967" t="s">
        <v>148</v>
      </c>
      <c r="H2967" s="3">
        <v>0.25000000000000006</v>
      </c>
      <c r="I2967">
        <v>750</v>
      </c>
      <c r="J2967" s="4">
        <v>187.50000000000003</v>
      </c>
      <c r="K2967" s="4">
        <v>56.250000000000007</v>
      </c>
      <c r="L2967" s="5">
        <v>0.3</v>
      </c>
      <c r="M2967" t="s">
        <v>126</v>
      </c>
      <c r="N2967" t="s">
        <v>361</v>
      </c>
    </row>
    <row r="2968" spans="1:14">
      <c r="A2968" t="s">
        <v>29</v>
      </c>
      <c r="B2968">
        <v>1185732</v>
      </c>
      <c r="C2968" s="2">
        <v>44233</v>
      </c>
      <c r="D2968" t="s">
        <v>140</v>
      </c>
      <c r="E2968" t="s">
        <v>258</v>
      </c>
      <c r="F2968" t="s">
        <v>266</v>
      </c>
      <c r="G2968" t="s">
        <v>147</v>
      </c>
      <c r="H2968" s="3">
        <v>0.39999999999999997</v>
      </c>
      <c r="I2968">
        <v>1500</v>
      </c>
      <c r="J2968" s="4">
        <v>600</v>
      </c>
      <c r="K2968" s="4">
        <v>300</v>
      </c>
      <c r="L2968" s="5">
        <v>0.5</v>
      </c>
      <c r="M2968" t="s">
        <v>126</v>
      </c>
      <c r="N2968" t="s">
        <v>361</v>
      </c>
    </row>
    <row r="2969" spans="1:14">
      <c r="A2969" t="s">
        <v>29</v>
      </c>
      <c r="B2969">
        <v>1185732</v>
      </c>
      <c r="C2969" s="2">
        <v>44233</v>
      </c>
      <c r="D2969" t="s">
        <v>140</v>
      </c>
      <c r="E2969" t="s">
        <v>258</v>
      </c>
      <c r="F2969" t="s">
        <v>266</v>
      </c>
      <c r="G2969" t="s">
        <v>144</v>
      </c>
      <c r="H2969" s="3">
        <v>0.14999999999999997</v>
      </c>
      <c r="I2969">
        <v>2500</v>
      </c>
      <c r="J2969" s="4">
        <v>374.99999999999994</v>
      </c>
      <c r="K2969" s="4">
        <v>149.99999999999997</v>
      </c>
      <c r="L2969" s="5">
        <v>0.4</v>
      </c>
      <c r="M2969" t="s">
        <v>126</v>
      </c>
      <c r="N2969" t="s">
        <v>361</v>
      </c>
    </row>
    <row r="2970" spans="1:14">
      <c r="A2970" t="s">
        <v>29</v>
      </c>
      <c r="B2970">
        <v>1185732</v>
      </c>
      <c r="C2970" s="2">
        <v>44260</v>
      </c>
      <c r="D2970" t="s">
        <v>140</v>
      </c>
      <c r="E2970" t="s">
        <v>258</v>
      </c>
      <c r="F2970" t="s">
        <v>266</v>
      </c>
      <c r="G2970" t="s">
        <v>27</v>
      </c>
      <c r="H2970" s="3">
        <v>0.20000000000000004</v>
      </c>
      <c r="I2970">
        <v>4700</v>
      </c>
      <c r="J2970" s="4">
        <v>940.00000000000023</v>
      </c>
      <c r="K2970" s="4">
        <v>282.00000000000006</v>
      </c>
      <c r="L2970" s="5">
        <v>0.3</v>
      </c>
      <c r="M2970" t="s">
        <v>24</v>
      </c>
      <c r="N2970" t="s">
        <v>361</v>
      </c>
    </row>
    <row r="2971" spans="1:14">
      <c r="A2971" t="s">
        <v>29</v>
      </c>
      <c r="B2971">
        <v>1185732</v>
      </c>
      <c r="C2971" s="2">
        <v>44260</v>
      </c>
      <c r="D2971" t="s">
        <v>140</v>
      </c>
      <c r="E2971" t="s">
        <v>258</v>
      </c>
      <c r="F2971" t="s">
        <v>266</v>
      </c>
      <c r="G2971" t="s">
        <v>145</v>
      </c>
      <c r="H2971" s="3">
        <v>0.20000000000000004</v>
      </c>
      <c r="I2971">
        <v>1750</v>
      </c>
      <c r="J2971" s="4">
        <v>350.00000000000006</v>
      </c>
      <c r="K2971" s="4">
        <v>122.50000000000001</v>
      </c>
      <c r="L2971" s="5">
        <v>0.35</v>
      </c>
      <c r="M2971" t="s">
        <v>24</v>
      </c>
      <c r="N2971" t="s">
        <v>361</v>
      </c>
    </row>
    <row r="2972" spans="1:14">
      <c r="A2972" t="s">
        <v>29</v>
      </c>
      <c r="B2972">
        <v>1185732</v>
      </c>
      <c r="C2972" s="2">
        <v>44260</v>
      </c>
      <c r="D2972" t="s">
        <v>140</v>
      </c>
      <c r="E2972" t="s">
        <v>258</v>
      </c>
      <c r="F2972" t="s">
        <v>266</v>
      </c>
      <c r="G2972" t="s">
        <v>146</v>
      </c>
      <c r="H2972" s="3">
        <v>0.10000000000000003</v>
      </c>
      <c r="I2972">
        <v>2250</v>
      </c>
      <c r="J2972" s="4">
        <v>225.00000000000009</v>
      </c>
      <c r="K2972" s="4">
        <v>67.500000000000028</v>
      </c>
      <c r="L2972" s="5">
        <v>0.3</v>
      </c>
      <c r="M2972" t="s">
        <v>24</v>
      </c>
      <c r="N2972" t="s">
        <v>361</v>
      </c>
    </row>
    <row r="2973" spans="1:14">
      <c r="A2973" t="s">
        <v>29</v>
      </c>
      <c r="B2973">
        <v>1185732</v>
      </c>
      <c r="C2973" s="2">
        <v>44260</v>
      </c>
      <c r="D2973" t="s">
        <v>140</v>
      </c>
      <c r="E2973" t="s">
        <v>258</v>
      </c>
      <c r="F2973" t="s">
        <v>266</v>
      </c>
      <c r="G2973" t="s">
        <v>148</v>
      </c>
      <c r="H2973" s="3">
        <v>0.14999999999999997</v>
      </c>
      <c r="I2973">
        <v>1000</v>
      </c>
      <c r="J2973" s="4">
        <v>149.99999999999997</v>
      </c>
      <c r="K2973" s="4">
        <v>44.999999999999993</v>
      </c>
      <c r="L2973" s="5">
        <v>0.3</v>
      </c>
      <c r="M2973" t="s">
        <v>24</v>
      </c>
      <c r="N2973" t="s">
        <v>361</v>
      </c>
    </row>
    <row r="2974" spans="1:14">
      <c r="A2974" t="s">
        <v>29</v>
      </c>
      <c r="B2974">
        <v>1185732</v>
      </c>
      <c r="C2974" s="2">
        <v>44260</v>
      </c>
      <c r="D2974" t="s">
        <v>140</v>
      </c>
      <c r="E2974" t="s">
        <v>258</v>
      </c>
      <c r="F2974" t="s">
        <v>266</v>
      </c>
      <c r="G2974" t="s">
        <v>147</v>
      </c>
      <c r="H2974" s="3">
        <v>0.30000000000000004</v>
      </c>
      <c r="I2974">
        <v>1500</v>
      </c>
      <c r="J2974" s="4">
        <v>450.00000000000006</v>
      </c>
      <c r="K2974" s="4">
        <v>225.00000000000003</v>
      </c>
      <c r="L2974" s="5">
        <v>0.5</v>
      </c>
      <c r="M2974" t="s">
        <v>24</v>
      </c>
      <c r="N2974" t="s">
        <v>361</v>
      </c>
    </row>
    <row r="2975" spans="1:14">
      <c r="A2975" t="s">
        <v>29</v>
      </c>
      <c r="B2975">
        <v>1185732</v>
      </c>
      <c r="C2975" s="2">
        <v>44260</v>
      </c>
      <c r="D2975" t="s">
        <v>140</v>
      </c>
      <c r="E2975" t="s">
        <v>258</v>
      </c>
      <c r="F2975" t="s">
        <v>266</v>
      </c>
      <c r="G2975" t="s">
        <v>144</v>
      </c>
      <c r="H2975" s="3">
        <v>0.20000000000000004</v>
      </c>
      <c r="I2975">
        <v>2500</v>
      </c>
      <c r="J2975" s="4">
        <v>500.00000000000011</v>
      </c>
      <c r="K2975" s="4">
        <v>200.00000000000006</v>
      </c>
      <c r="L2975" s="5">
        <v>0.4</v>
      </c>
      <c r="M2975" t="s">
        <v>24</v>
      </c>
      <c r="N2975" t="s">
        <v>361</v>
      </c>
    </row>
    <row r="2976" spans="1:14">
      <c r="A2976" t="s">
        <v>29</v>
      </c>
      <c r="B2976">
        <v>1185732</v>
      </c>
      <c r="C2976" s="2">
        <v>44292</v>
      </c>
      <c r="D2976" t="s">
        <v>140</v>
      </c>
      <c r="E2976" t="s">
        <v>258</v>
      </c>
      <c r="F2976" t="s">
        <v>266</v>
      </c>
      <c r="G2976" t="s">
        <v>27</v>
      </c>
      <c r="H2976" s="3">
        <v>0.20000000000000004</v>
      </c>
      <c r="I2976">
        <v>4750</v>
      </c>
      <c r="J2976" s="4">
        <v>950.00000000000023</v>
      </c>
      <c r="K2976" s="4">
        <v>285.00000000000006</v>
      </c>
      <c r="L2976" s="5">
        <v>0.3</v>
      </c>
      <c r="M2976" t="s">
        <v>127</v>
      </c>
      <c r="N2976" t="s">
        <v>362</v>
      </c>
    </row>
    <row r="2977" spans="1:14">
      <c r="A2977" t="s">
        <v>29</v>
      </c>
      <c r="B2977">
        <v>1185732</v>
      </c>
      <c r="C2977" s="2">
        <v>44292</v>
      </c>
      <c r="D2977" t="s">
        <v>140</v>
      </c>
      <c r="E2977" t="s">
        <v>258</v>
      </c>
      <c r="F2977" t="s">
        <v>266</v>
      </c>
      <c r="G2977" t="s">
        <v>145</v>
      </c>
      <c r="H2977" s="3">
        <v>0.20000000000000004</v>
      </c>
      <c r="I2977">
        <v>1750</v>
      </c>
      <c r="J2977" s="4">
        <v>350.00000000000006</v>
      </c>
      <c r="K2977" s="4">
        <v>122.50000000000001</v>
      </c>
      <c r="L2977" s="5">
        <v>0.35</v>
      </c>
      <c r="M2977" t="s">
        <v>127</v>
      </c>
      <c r="N2977" t="s">
        <v>362</v>
      </c>
    </row>
    <row r="2978" spans="1:14">
      <c r="A2978" t="s">
        <v>29</v>
      </c>
      <c r="B2978">
        <v>1185732</v>
      </c>
      <c r="C2978" s="2">
        <v>44292</v>
      </c>
      <c r="D2978" t="s">
        <v>140</v>
      </c>
      <c r="E2978" t="s">
        <v>258</v>
      </c>
      <c r="F2978" t="s">
        <v>266</v>
      </c>
      <c r="G2978" t="s">
        <v>146</v>
      </c>
      <c r="H2978" s="3">
        <v>0.10000000000000003</v>
      </c>
      <c r="I2978">
        <v>1750</v>
      </c>
      <c r="J2978" s="4">
        <v>175.00000000000006</v>
      </c>
      <c r="K2978" s="4">
        <v>52.500000000000014</v>
      </c>
      <c r="L2978" s="5">
        <v>0.3</v>
      </c>
      <c r="M2978" t="s">
        <v>127</v>
      </c>
      <c r="N2978" t="s">
        <v>362</v>
      </c>
    </row>
    <row r="2979" spans="1:14">
      <c r="A2979" t="s">
        <v>29</v>
      </c>
      <c r="B2979">
        <v>1185732</v>
      </c>
      <c r="C2979" s="2">
        <v>44292</v>
      </c>
      <c r="D2979" t="s">
        <v>140</v>
      </c>
      <c r="E2979" t="s">
        <v>258</v>
      </c>
      <c r="F2979" t="s">
        <v>266</v>
      </c>
      <c r="G2979" t="s">
        <v>148</v>
      </c>
      <c r="H2979" s="3">
        <v>0.14999999999999997</v>
      </c>
      <c r="I2979">
        <v>1000</v>
      </c>
      <c r="J2979" s="4">
        <v>149.99999999999997</v>
      </c>
      <c r="K2979" s="4">
        <v>44.999999999999993</v>
      </c>
      <c r="L2979" s="5">
        <v>0.3</v>
      </c>
      <c r="M2979" t="s">
        <v>127</v>
      </c>
      <c r="N2979" t="s">
        <v>362</v>
      </c>
    </row>
    <row r="2980" spans="1:14">
      <c r="A2980" t="s">
        <v>29</v>
      </c>
      <c r="B2980">
        <v>1185732</v>
      </c>
      <c r="C2980" s="2">
        <v>44292</v>
      </c>
      <c r="D2980" t="s">
        <v>140</v>
      </c>
      <c r="E2980" t="s">
        <v>258</v>
      </c>
      <c r="F2980" t="s">
        <v>266</v>
      </c>
      <c r="G2980" t="s">
        <v>147</v>
      </c>
      <c r="H2980" s="3">
        <v>0.6</v>
      </c>
      <c r="I2980">
        <v>1250</v>
      </c>
      <c r="J2980" s="4">
        <v>750</v>
      </c>
      <c r="K2980" s="4">
        <v>375</v>
      </c>
      <c r="L2980" s="5">
        <v>0.5</v>
      </c>
      <c r="M2980" t="s">
        <v>127</v>
      </c>
      <c r="N2980" t="s">
        <v>362</v>
      </c>
    </row>
    <row r="2981" spans="1:14">
      <c r="A2981" t="s">
        <v>29</v>
      </c>
      <c r="B2981">
        <v>1185732</v>
      </c>
      <c r="C2981" s="2">
        <v>44292</v>
      </c>
      <c r="D2981" t="s">
        <v>140</v>
      </c>
      <c r="E2981" t="s">
        <v>258</v>
      </c>
      <c r="F2981" t="s">
        <v>266</v>
      </c>
      <c r="G2981" t="s">
        <v>144</v>
      </c>
      <c r="H2981" s="3">
        <v>0.5</v>
      </c>
      <c r="I2981">
        <v>2500</v>
      </c>
      <c r="J2981" s="4">
        <v>1250</v>
      </c>
      <c r="K2981" s="4">
        <v>500</v>
      </c>
      <c r="L2981" s="5">
        <v>0.4</v>
      </c>
      <c r="M2981" t="s">
        <v>127</v>
      </c>
      <c r="N2981" t="s">
        <v>362</v>
      </c>
    </row>
    <row r="2982" spans="1:14">
      <c r="A2982" t="s">
        <v>29</v>
      </c>
      <c r="B2982">
        <v>1185732</v>
      </c>
      <c r="C2982" s="2">
        <v>44323</v>
      </c>
      <c r="D2982" t="s">
        <v>140</v>
      </c>
      <c r="E2982" t="s">
        <v>258</v>
      </c>
      <c r="F2982" t="s">
        <v>266</v>
      </c>
      <c r="G2982" t="s">
        <v>27</v>
      </c>
      <c r="H2982" s="3">
        <v>0.6</v>
      </c>
      <c r="I2982">
        <v>5200</v>
      </c>
      <c r="J2982" s="4">
        <v>3120</v>
      </c>
      <c r="K2982" s="4">
        <v>936</v>
      </c>
      <c r="L2982" s="5">
        <v>0.3</v>
      </c>
      <c r="M2982" t="s">
        <v>128</v>
      </c>
      <c r="N2982" t="s">
        <v>362</v>
      </c>
    </row>
    <row r="2983" spans="1:14">
      <c r="A2983" t="s">
        <v>29</v>
      </c>
      <c r="B2983">
        <v>1185732</v>
      </c>
      <c r="C2983" s="2">
        <v>44323</v>
      </c>
      <c r="D2983" t="s">
        <v>140</v>
      </c>
      <c r="E2983" t="s">
        <v>258</v>
      </c>
      <c r="F2983" t="s">
        <v>266</v>
      </c>
      <c r="G2983" t="s">
        <v>145</v>
      </c>
      <c r="H2983" s="3">
        <v>0.4</v>
      </c>
      <c r="I2983">
        <v>2250</v>
      </c>
      <c r="J2983" s="4">
        <v>900</v>
      </c>
      <c r="K2983" s="4">
        <v>315</v>
      </c>
      <c r="L2983" s="5">
        <v>0.35</v>
      </c>
      <c r="M2983" t="s">
        <v>128</v>
      </c>
      <c r="N2983" t="s">
        <v>362</v>
      </c>
    </row>
    <row r="2984" spans="1:14">
      <c r="A2984" t="s">
        <v>29</v>
      </c>
      <c r="B2984">
        <v>1185732</v>
      </c>
      <c r="C2984" s="2">
        <v>44323</v>
      </c>
      <c r="D2984" t="s">
        <v>140</v>
      </c>
      <c r="E2984" t="s">
        <v>258</v>
      </c>
      <c r="F2984" t="s">
        <v>266</v>
      </c>
      <c r="G2984" t="s">
        <v>146</v>
      </c>
      <c r="H2984" s="3">
        <v>0.35000000000000003</v>
      </c>
      <c r="I2984">
        <v>2000</v>
      </c>
      <c r="J2984" s="4">
        <v>700.00000000000011</v>
      </c>
      <c r="K2984" s="4">
        <v>210.00000000000003</v>
      </c>
      <c r="L2984" s="5">
        <v>0.3</v>
      </c>
      <c r="M2984" t="s">
        <v>128</v>
      </c>
      <c r="N2984" t="s">
        <v>362</v>
      </c>
    </row>
    <row r="2985" spans="1:14">
      <c r="A2985" t="s">
        <v>29</v>
      </c>
      <c r="B2985">
        <v>1185732</v>
      </c>
      <c r="C2985" s="2">
        <v>44323</v>
      </c>
      <c r="D2985" t="s">
        <v>140</v>
      </c>
      <c r="E2985" t="s">
        <v>258</v>
      </c>
      <c r="F2985" t="s">
        <v>266</v>
      </c>
      <c r="G2985" t="s">
        <v>148</v>
      </c>
      <c r="H2985" s="3">
        <v>0.35000000000000003</v>
      </c>
      <c r="I2985">
        <v>1250</v>
      </c>
      <c r="J2985" s="4">
        <v>437.50000000000006</v>
      </c>
      <c r="K2985" s="4">
        <v>131.25</v>
      </c>
      <c r="L2985" s="5">
        <v>0.3</v>
      </c>
      <c r="M2985" t="s">
        <v>128</v>
      </c>
      <c r="N2985" t="s">
        <v>362</v>
      </c>
    </row>
    <row r="2986" spans="1:14">
      <c r="A2986" t="s">
        <v>29</v>
      </c>
      <c r="B2986">
        <v>1185732</v>
      </c>
      <c r="C2986" s="2">
        <v>44323</v>
      </c>
      <c r="D2986" t="s">
        <v>140</v>
      </c>
      <c r="E2986" t="s">
        <v>258</v>
      </c>
      <c r="F2986" t="s">
        <v>266</v>
      </c>
      <c r="G2986" t="s">
        <v>147</v>
      </c>
      <c r="H2986" s="3">
        <v>0.44999999999999996</v>
      </c>
      <c r="I2986">
        <v>1500</v>
      </c>
      <c r="J2986" s="4">
        <v>674.99999999999989</v>
      </c>
      <c r="K2986" s="4">
        <v>337.49999999999994</v>
      </c>
      <c r="L2986" s="5">
        <v>0.5</v>
      </c>
      <c r="M2986" t="s">
        <v>128</v>
      </c>
      <c r="N2986" t="s">
        <v>362</v>
      </c>
    </row>
    <row r="2987" spans="1:14">
      <c r="A2987" t="s">
        <v>29</v>
      </c>
      <c r="B2987">
        <v>1185732</v>
      </c>
      <c r="C2987" s="2">
        <v>44323</v>
      </c>
      <c r="D2987" t="s">
        <v>140</v>
      </c>
      <c r="E2987" t="s">
        <v>258</v>
      </c>
      <c r="F2987" t="s">
        <v>266</v>
      </c>
      <c r="G2987" t="s">
        <v>144</v>
      </c>
      <c r="H2987" s="3">
        <v>0.49999999999999994</v>
      </c>
      <c r="I2987">
        <v>2750</v>
      </c>
      <c r="J2987" s="4">
        <v>1374.9999999999998</v>
      </c>
      <c r="K2987" s="4">
        <v>549.99999999999989</v>
      </c>
      <c r="L2987" s="5">
        <v>0.4</v>
      </c>
      <c r="M2987" t="s">
        <v>128</v>
      </c>
      <c r="N2987" t="s">
        <v>362</v>
      </c>
    </row>
    <row r="2988" spans="1:14">
      <c r="A2988" t="s">
        <v>29</v>
      </c>
      <c r="B2988">
        <v>1185732</v>
      </c>
      <c r="C2988" s="2">
        <v>44353</v>
      </c>
      <c r="D2988" t="s">
        <v>140</v>
      </c>
      <c r="E2988" t="s">
        <v>258</v>
      </c>
      <c r="F2988" t="s">
        <v>266</v>
      </c>
      <c r="G2988" t="s">
        <v>27</v>
      </c>
      <c r="H2988" s="3">
        <v>0.35000000000000003</v>
      </c>
      <c r="I2988">
        <v>5250</v>
      </c>
      <c r="J2988" s="4">
        <v>1837.5000000000002</v>
      </c>
      <c r="K2988" s="4">
        <v>551.25</v>
      </c>
      <c r="L2988" s="5">
        <v>0.3</v>
      </c>
      <c r="M2988" t="s">
        <v>129</v>
      </c>
      <c r="N2988" t="s">
        <v>362</v>
      </c>
    </row>
    <row r="2989" spans="1:14">
      <c r="A2989" t="s">
        <v>29</v>
      </c>
      <c r="B2989">
        <v>1185732</v>
      </c>
      <c r="C2989" s="2">
        <v>44353</v>
      </c>
      <c r="D2989" t="s">
        <v>140</v>
      </c>
      <c r="E2989" t="s">
        <v>258</v>
      </c>
      <c r="F2989" t="s">
        <v>266</v>
      </c>
      <c r="G2989" t="s">
        <v>145</v>
      </c>
      <c r="H2989" s="3">
        <v>0.3000000000000001</v>
      </c>
      <c r="I2989">
        <v>2750</v>
      </c>
      <c r="J2989" s="4">
        <v>825.00000000000023</v>
      </c>
      <c r="K2989" s="4">
        <v>288.75000000000006</v>
      </c>
      <c r="L2989" s="5">
        <v>0.35</v>
      </c>
      <c r="M2989" t="s">
        <v>129</v>
      </c>
      <c r="N2989" t="s">
        <v>362</v>
      </c>
    </row>
    <row r="2990" spans="1:14">
      <c r="A2990" t="s">
        <v>29</v>
      </c>
      <c r="B2990">
        <v>1185732</v>
      </c>
      <c r="C2990" s="2">
        <v>44353</v>
      </c>
      <c r="D2990" t="s">
        <v>140</v>
      </c>
      <c r="E2990" t="s">
        <v>258</v>
      </c>
      <c r="F2990" t="s">
        <v>266</v>
      </c>
      <c r="G2990" t="s">
        <v>146</v>
      </c>
      <c r="H2990" s="3">
        <v>0.25000000000000006</v>
      </c>
      <c r="I2990">
        <v>2000</v>
      </c>
      <c r="J2990" s="4">
        <v>500.00000000000011</v>
      </c>
      <c r="K2990" s="4">
        <v>150.00000000000003</v>
      </c>
      <c r="L2990" s="5">
        <v>0.3</v>
      </c>
      <c r="M2990" t="s">
        <v>129</v>
      </c>
      <c r="N2990" t="s">
        <v>362</v>
      </c>
    </row>
    <row r="2991" spans="1:14">
      <c r="A2991" t="s">
        <v>29</v>
      </c>
      <c r="B2991">
        <v>1185732</v>
      </c>
      <c r="C2991" s="2">
        <v>44353</v>
      </c>
      <c r="D2991" t="s">
        <v>140</v>
      </c>
      <c r="E2991" t="s">
        <v>258</v>
      </c>
      <c r="F2991" t="s">
        <v>266</v>
      </c>
      <c r="G2991" t="s">
        <v>148</v>
      </c>
      <c r="H2991" s="3">
        <v>0.25000000000000006</v>
      </c>
      <c r="I2991">
        <v>1750</v>
      </c>
      <c r="J2991" s="4">
        <v>437.50000000000011</v>
      </c>
      <c r="K2991" s="4">
        <v>131.25000000000003</v>
      </c>
      <c r="L2991" s="5">
        <v>0.3</v>
      </c>
      <c r="M2991" t="s">
        <v>129</v>
      </c>
      <c r="N2991" t="s">
        <v>362</v>
      </c>
    </row>
    <row r="2992" spans="1:14">
      <c r="A2992" t="s">
        <v>29</v>
      </c>
      <c r="B2992">
        <v>1185732</v>
      </c>
      <c r="C2992" s="2">
        <v>44353</v>
      </c>
      <c r="D2992" t="s">
        <v>140</v>
      </c>
      <c r="E2992" t="s">
        <v>258</v>
      </c>
      <c r="F2992" t="s">
        <v>266</v>
      </c>
      <c r="G2992" t="s">
        <v>147</v>
      </c>
      <c r="H2992" s="3">
        <v>0.35000000000000003</v>
      </c>
      <c r="I2992">
        <v>1750</v>
      </c>
      <c r="J2992" s="4">
        <v>612.50000000000011</v>
      </c>
      <c r="K2992" s="4">
        <v>306.25000000000006</v>
      </c>
      <c r="L2992" s="5">
        <v>0.5</v>
      </c>
      <c r="M2992" t="s">
        <v>129</v>
      </c>
      <c r="N2992" t="s">
        <v>362</v>
      </c>
    </row>
    <row r="2993" spans="1:14">
      <c r="A2993" t="s">
        <v>29</v>
      </c>
      <c r="B2993">
        <v>1185732</v>
      </c>
      <c r="C2993" s="2">
        <v>44353</v>
      </c>
      <c r="D2993" t="s">
        <v>140</v>
      </c>
      <c r="E2993" t="s">
        <v>258</v>
      </c>
      <c r="F2993" t="s">
        <v>266</v>
      </c>
      <c r="G2993" t="s">
        <v>144</v>
      </c>
      <c r="H2993" s="3">
        <v>0.55000000000000004</v>
      </c>
      <c r="I2993">
        <v>3250</v>
      </c>
      <c r="J2993" s="4">
        <v>1787.5000000000002</v>
      </c>
      <c r="K2993" s="4">
        <v>715.00000000000011</v>
      </c>
      <c r="L2993" s="5">
        <v>0.4</v>
      </c>
      <c r="M2993" t="s">
        <v>129</v>
      </c>
      <c r="N2993" t="s">
        <v>362</v>
      </c>
    </row>
    <row r="2994" spans="1:14">
      <c r="A2994" t="s">
        <v>29</v>
      </c>
      <c r="B2994">
        <v>1185732</v>
      </c>
      <c r="C2994" s="2">
        <v>44382</v>
      </c>
      <c r="D2994" t="s">
        <v>140</v>
      </c>
      <c r="E2994" t="s">
        <v>258</v>
      </c>
      <c r="F2994" t="s">
        <v>266</v>
      </c>
      <c r="G2994" t="s">
        <v>27</v>
      </c>
      <c r="H2994" s="3">
        <v>0.5</v>
      </c>
      <c r="I2994">
        <v>5500</v>
      </c>
      <c r="J2994" s="4">
        <v>2750</v>
      </c>
      <c r="K2994" s="4">
        <v>825</v>
      </c>
      <c r="L2994" s="5">
        <v>0.3</v>
      </c>
      <c r="M2994" t="s">
        <v>130</v>
      </c>
      <c r="N2994" t="s">
        <v>363</v>
      </c>
    </row>
    <row r="2995" spans="1:14">
      <c r="A2995" t="s">
        <v>29</v>
      </c>
      <c r="B2995">
        <v>1185732</v>
      </c>
      <c r="C2995" s="2">
        <v>44382</v>
      </c>
      <c r="D2995" t="s">
        <v>140</v>
      </c>
      <c r="E2995" t="s">
        <v>258</v>
      </c>
      <c r="F2995" t="s">
        <v>266</v>
      </c>
      <c r="G2995" t="s">
        <v>145</v>
      </c>
      <c r="H2995" s="3">
        <v>0.45000000000000007</v>
      </c>
      <c r="I2995">
        <v>3000</v>
      </c>
      <c r="J2995" s="4">
        <v>1350.0000000000002</v>
      </c>
      <c r="K2995" s="4">
        <v>472.50000000000006</v>
      </c>
      <c r="L2995" s="5">
        <v>0.35</v>
      </c>
      <c r="M2995" t="s">
        <v>130</v>
      </c>
      <c r="N2995" t="s">
        <v>363</v>
      </c>
    </row>
    <row r="2996" spans="1:14">
      <c r="A2996" t="s">
        <v>29</v>
      </c>
      <c r="B2996">
        <v>1185732</v>
      </c>
      <c r="C2996" s="2">
        <v>44382</v>
      </c>
      <c r="D2996" t="s">
        <v>140</v>
      </c>
      <c r="E2996" t="s">
        <v>258</v>
      </c>
      <c r="F2996" t="s">
        <v>266</v>
      </c>
      <c r="G2996" t="s">
        <v>146</v>
      </c>
      <c r="H2996" s="3">
        <v>0.4</v>
      </c>
      <c r="I2996">
        <v>2250</v>
      </c>
      <c r="J2996" s="4">
        <v>900</v>
      </c>
      <c r="K2996" s="4">
        <v>270</v>
      </c>
      <c r="L2996" s="5">
        <v>0.3</v>
      </c>
      <c r="M2996" t="s">
        <v>130</v>
      </c>
      <c r="N2996" t="s">
        <v>363</v>
      </c>
    </row>
    <row r="2997" spans="1:14">
      <c r="A2997" t="s">
        <v>29</v>
      </c>
      <c r="B2997">
        <v>1185732</v>
      </c>
      <c r="C2997" s="2">
        <v>44382</v>
      </c>
      <c r="D2997" t="s">
        <v>140</v>
      </c>
      <c r="E2997" t="s">
        <v>258</v>
      </c>
      <c r="F2997" t="s">
        <v>266</v>
      </c>
      <c r="G2997" t="s">
        <v>148</v>
      </c>
      <c r="H2997" s="3">
        <v>0.4</v>
      </c>
      <c r="I2997">
        <v>1750</v>
      </c>
      <c r="J2997" s="4">
        <v>700</v>
      </c>
      <c r="K2997" s="4">
        <v>210</v>
      </c>
      <c r="L2997" s="5">
        <v>0.3</v>
      </c>
      <c r="M2997" t="s">
        <v>130</v>
      </c>
      <c r="N2997" t="s">
        <v>363</v>
      </c>
    </row>
    <row r="2998" spans="1:14">
      <c r="A2998" t="s">
        <v>29</v>
      </c>
      <c r="B2998">
        <v>1185732</v>
      </c>
      <c r="C2998" s="2">
        <v>44382</v>
      </c>
      <c r="D2998" t="s">
        <v>140</v>
      </c>
      <c r="E2998" t="s">
        <v>258</v>
      </c>
      <c r="F2998" t="s">
        <v>266</v>
      </c>
      <c r="G2998" t="s">
        <v>147</v>
      </c>
      <c r="H2998" s="3">
        <v>0.5</v>
      </c>
      <c r="I2998">
        <v>2000</v>
      </c>
      <c r="J2998" s="4">
        <v>1000</v>
      </c>
      <c r="K2998" s="4">
        <v>500</v>
      </c>
      <c r="L2998" s="5">
        <v>0.5</v>
      </c>
      <c r="M2998" t="s">
        <v>130</v>
      </c>
      <c r="N2998" t="s">
        <v>363</v>
      </c>
    </row>
    <row r="2999" spans="1:14">
      <c r="A2999" t="s">
        <v>29</v>
      </c>
      <c r="B2999">
        <v>1185732</v>
      </c>
      <c r="C2999" s="2">
        <v>44382</v>
      </c>
      <c r="D2999" t="s">
        <v>140</v>
      </c>
      <c r="E2999" t="s">
        <v>258</v>
      </c>
      <c r="F2999" t="s">
        <v>266</v>
      </c>
      <c r="G2999" t="s">
        <v>144</v>
      </c>
      <c r="H2999" s="3">
        <v>0.55000000000000004</v>
      </c>
      <c r="I2999">
        <v>3750</v>
      </c>
      <c r="J2999" s="4">
        <v>2062.5</v>
      </c>
      <c r="K2999" s="4">
        <v>825</v>
      </c>
      <c r="L2999" s="5">
        <v>0.4</v>
      </c>
      <c r="M2999" t="s">
        <v>130</v>
      </c>
      <c r="N2999" t="s">
        <v>363</v>
      </c>
    </row>
    <row r="3000" spans="1:14">
      <c r="A3000" t="s">
        <v>29</v>
      </c>
      <c r="B3000">
        <v>1185732</v>
      </c>
      <c r="C3000" s="2">
        <v>44414</v>
      </c>
      <c r="D3000" t="s">
        <v>140</v>
      </c>
      <c r="E3000" t="s">
        <v>258</v>
      </c>
      <c r="F3000" t="s">
        <v>266</v>
      </c>
      <c r="G3000" t="s">
        <v>27</v>
      </c>
      <c r="H3000" s="3">
        <v>0.5</v>
      </c>
      <c r="I3000">
        <v>5250</v>
      </c>
      <c r="J3000" s="4">
        <v>2625</v>
      </c>
      <c r="K3000" s="4">
        <v>787.5</v>
      </c>
      <c r="L3000" s="5">
        <v>0.3</v>
      </c>
      <c r="M3000" t="s">
        <v>131</v>
      </c>
      <c r="N3000" t="s">
        <v>363</v>
      </c>
    </row>
    <row r="3001" spans="1:14">
      <c r="A3001" t="s">
        <v>29</v>
      </c>
      <c r="B3001">
        <v>1185732</v>
      </c>
      <c r="C3001" s="2">
        <v>44414</v>
      </c>
      <c r="D3001" t="s">
        <v>140</v>
      </c>
      <c r="E3001" t="s">
        <v>258</v>
      </c>
      <c r="F3001" t="s">
        <v>266</v>
      </c>
      <c r="G3001" t="s">
        <v>145</v>
      </c>
      <c r="H3001" s="3">
        <v>0.45000000000000007</v>
      </c>
      <c r="I3001">
        <v>3000</v>
      </c>
      <c r="J3001" s="4">
        <v>1350.0000000000002</v>
      </c>
      <c r="K3001" s="4">
        <v>472.50000000000006</v>
      </c>
      <c r="L3001" s="5">
        <v>0.35</v>
      </c>
      <c r="M3001" t="s">
        <v>131</v>
      </c>
      <c r="N3001" t="s">
        <v>363</v>
      </c>
    </row>
    <row r="3002" spans="1:14">
      <c r="A3002" t="s">
        <v>29</v>
      </c>
      <c r="B3002">
        <v>1185732</v>
      </c>
      <c r="C3002" s="2">
        <v>44414</v>
      </c>
      <c r="D3002" t="s">
        <v>140</v>
      </c>
      <c r="E3002" t="s">
        <v>258</v>
      </c>
      <c r="F3002" t="s">
        <v>266</v>
      </c>
      <c r="G3002" t="s">
        <v>146</v>
      </c>
      <c r="H3002" s="3">
        <v>0.4</v>
      </c>
      <c r="I3002">
        <v>2250</v>
      </c>
      <c r="J3002" s="4">
        <v>900</v>
      </c>
      <c r="K3002" s="4">
        <v>270</v>
      </c>
      <c r="L3002" s="5">
        <v>0.3</v>
      </c>
      <c r="M3002" t="s">
        <v>131</v>
      </c>
      <c r="N3002" t="s">
        <v>363</v>
      </c>
    </row>
    <row r="3003" spans="1:14">
      <c r="A3003" t="s">
        <v>29</v>
      </c>
      <c r="B3003">
        <v>1185732</v>
      </c>
      <c r="C3003" s="2">
        <v>44414</v>
      </c>
      <c r="D3003" t="s">
        <v>140</v>
      </c>
      <c r="E3003" t="s">
        <v>258</v>
      </c>
      <c r="F3003" t="s">
        <v>266</v>
      </c>
      <c r="G3003" t="s">
        <v>148</v>
      </c>
      <c r="H3003" s="3">
        <v>0.4</v>
      </c>
      <c r="I3003">
        <v>2000</v>
      </c>
      <c r="J3003" s="4">
        <v>800</v>
      </c>
      <c r="K3003" s="4">
        <v>240</v>
      </c>
      <c r="L3003" s="5">
        <v>0.3</v>
      </c>
      <c r="M3003" t="s">
        <v>131</v>
      </c>
      <c r="N3003" t="s">
        <v>363</v>
      </c>
    </row>
    <row r="3004" spans="1:14">
      <c r="A3004" t="s">
        <v>29</v>
      </c>
      <c r="B3004">
        <v>1185732</v>
      </c>
      <c r="C3004" s="2">
        <v>44414</v>
      </c>
      <c r="D3004" t="s">
        <v>140</v>
      </c>
      <c r="E3004" t="s">
        <v>258</v>
      </c>
      <c r="F3004" t="s">
        <v>266</v>
      </c>
      <c r="G3004" t="s">
        <v>147</v>
      </c>
      <c r="H3004" s="3">
        <v>0.5</v>
      </c>
      <c r="I3004">
        <v>1750</v>
      </c>
      <c r="J3004" s="4">
        <v>875</v>
      </c>
      <c r="K3004" s="4">
        <v>437.5</v>
      </c>
      <c r="L3004" s="5">
        <v>0.5</v>
      </c>
      <c r="M3004" t="s">
        <v>131</v>
      </c>
      <c r="N3004" t="s">
        <v>363</v>
      </c>
    </row>
    <row r="3005" spans="1:14">
      <c r="A3005" t="s">
        <v>29</v>
      </c>
      <c r="B3005">
        <v>1185732</v>
      </c>
      <c r="C3005" s="2">
        <v>44414</v>
      </c>
      <c r="D3005" t="s">
        <v>140</v>
      </c>
      <c r="E3005" t="s">
        <v>258</v>
      </c>
      <c r="F3005" t="s">
        <v>266</v>
      </c>
      <c r="G3005" t="s">
        <v>144</v>
      </c>
      <c r="H3005" s="3">
        <v>0.55000000000000004</v>
      </c>
      <c r="I3005">
        <v>3500</v>
      </c>
      <c r="J3005" s="4">
        <v>1925.0000000000002</v>
      </c>
      <c r="K3005" s="4">
        <v>770.00000000000011</v>
      </c>
      <c r="L3005" s="5">
        <v>0.4</v>
      </c>
      <c r="M3005" t="s">
        <v>131</v>
      </c>
      <c r="N3005" t="s">
        <v>363</v>
      </c>
    </row>
    <row r="3006" spans="1:14">
      <c r="A3006" t="s">
        <v>29</v>
      </c>
      <c r="B3006">
        <v>1185732</v>
      </c>
      <c r="C3006" s="2">
        <v>44446</v>
      </c>
      <c r="D3006" t="s">
        <v>140</v>
      </c>
      <c r="E3006" t="s">
        <v>258</v>
      </c>
      <c r="F3006" t="s">
        <v>266</v>
      </c>
      <c r="G3006" t="s">
        <v>27</v>
      </c>
      <c r="H3006" s="3">
        <v>0.35000000000000003</v>
      </c>
      <c r="I3006">
        <v>4750</v>
      </c>
      <c r="J3006" s="4">
        <v>1662.5000000000002</v>
      </c>
      <c r="K3006" s="4">
        <v>498.75000000000006</v>
      </c>
      <c r="L3006" s="5">
        <v>0.3</v>
      </c>
      <c r="M3006" t="s">
        <v>132</v>
      </c>
      <c r="N3006" t="s">
        <v>363</v>
      </c>
    </row>
    <row r="3007" spans="1:14">
      <c r="A3007" t="s">
        <v>29</v>
      </c>
      <c r="B3007">
        <v>1185732</v>
      </c>
      <c r="C3007" s="2">
        <v>44446</v>
      </c>
      <c r="D3007" t="s">
        <v>140</v>
      </c>
      <c r="E3007" t="s">
        <v>258</v>
      </c>
      <c r="F3007" t="s">
        <v>266</v>
      </c>
      <c r="G3007" t="s">
        <v>145</v>
      </c>
      <c r="H3007" s="3">
        <v>0.3000000000000001</v>
      </c>
      <c r="I3007">
        <v>2750</v>
      </c>
      <c r="J3007" s="4">
        <v>825.00000000000023</v>
      </c>
      <c r="K3007" s="4">
        <v>288.75000000000006</v>
      </c>
      <c r="L3007" s="5">
        <v>0.35</v>
      </c>
      <c r="M3007" t="s">
        <v>132</v>
      </c>
      <c r="N3007" t="s">
        <v>363</v>
      </c>
    </row>
    <row r="3008" spans="1:14">
      <c r="A3008" t="s">
        <v>29</v>
      </c>
      <c r="B3008">
        <v>1185732</v>
      </c>
      <c r="C3008" s="2">
        <v>44446</v>
      </c>
      <c r="D3008" t="s">
        <v>140</v>
      </c>
      <c r="E3008" t="s">
        <v>258</v>
      </c>
      <c r="F3008" t="s">
        <v>266</v>
      </c>
      <c r="G3008" t="s">
        <v>146</v>
      </c>
      <c r="H3008" s="3">
        <v>0.25000000000000006</v>
      </c>
      <c r="I3008">
        <v>1750</v>
      </c>
      <c r="J3008" s="4">
        <v>437.50000000000011</v>
      </c>
      <c r="K3008" s="4">
        <v>131.25000000000003</v>
      </c>
      <c r="L3008" s="5">
        <v>0.3</v>
      </c>
      <c r="M3008" t="s">
        <v>132</v>
      </c>
      <c r="N3008" t="s">
        <v>363</v>
      </c>
    </row>
    <row r="3009" spans="1:14">
      <c r="A3009" t="s">
        <v>29</v>
      </c>
      <c r="B3009">
        <v>1185732</v>
      </c>
      <c r="C3009" s="2">
        <v>44446</v>
      </c>
      <c r="D3009" t="s">
        <v>140</v>
      </c>
      <c r="E3009" t="s">
        <v>258</v>
      </c>
      <c r="F3009" t="s">
        <v>266</v>
      </c>
      <c r="G3009" t="s">
        <v>148</v>
      </c>
      <c r="H3009" s="3">
        <v>0.25000000000000006</v>
      </c>
      <c r="I3009">
        <v>1500</v>
      </c>
      <c r="J3009" s="4">
        <v>375.00000000000006</v>
      </c>
      <c r="K3009" s="4">
        <v>112.50000000000001</v>
      </c>
      <c r="L3009" s="5">
        <v>0.3</v>
      </c>
      <c r="M3009" t="s">
        <v>132</v>
      </c>
      <c r="N3009" t="s">
        <v>363</v>
      </c>
    </row>
    <row r="3010" spans="1:14">
      <c r="A3010" t="s">
        <v>29</v>
      </c>
      <c r="B3010">
        <v>1185732</v>
      </c>
      <c r="C3010" s="2">
        <v>44446</v>
      </c>
      <c r="D3010" t="s">
        <v>140</v>
      </c>
      <c r="E3010" t="s">
        <v>258</v>
      </c>
      <c r="F3010" t="s">
        <v>266</v>
      </c>
      <c r="G3010" t="s">
        <v>147</v>
      </c>
      <c r="H3010" s="3">
        <v>0.35000000000000003</v>
      </c>
      <c r="I3010">
        <v>1500</v>
      </c>
      <c r="J3010" s="4">
        <v>525</v>
      </c>
      <c r="K3010" s="4">
        <v>262.5</v>
      </c>
      <c r="L3010" s="5">
        <v>0.5</v>
      </c>
      <c r="M3010" t="s">
        <v>132</v>
      </c>
      <c r="N3010" t="s">
        <v>363</v>
      </c>
    </row>
    <row r="3011" spans="1:14">
      <c r="A3011" t="s">
        <v>29</v>
      </c>
      <c r="B3011">
        <v>1185732</v>
      </c>
      <c r="C3011" s="2">
        <v>44446</v>
      </c>
      <c r="D3011" t="s">
        <v>140</v>
      </c>
      <c r="E3011" t="s">
        <v>258</v>
      </c>
      <c r="F3011" t="s">
        <v>266</v>
      </c>
      <c r="G3011" t="s">
        <v>144</v>
      </c>
      <c r="H3011" s="3">
        <v>0.4</v>
      </c>
      <c r="I3011">
        <v>2250</v>
      </c>
      <c r="J3011" s="4">
        <v>900</v>
      </c>
      <c r="K3011" s="4">
        <v>360</v>
      </c>
      <c r="L3011" s="5">
        <v>0.4</v>
      </c>
      <c r="M3011" t="s">
        <v>132</v>
      </c>
      <c r="N3011" t="s">
        <v>363</v>
      </c>
    </row>
    <row r="3012" spans="1:14">
      <c r="A3012" t="s">
        <v>29</v>
      </c>
      <c r="B3012">
        <v>1185732</v>
      </c>
      <c r="C3012" s="2">
        <v>44475</v>
      </c>
      <c r="D3012" t="s">
        <v>140</v>
      </c>
      <c r="E3012" t="s">
        <v>258</v>
      </c>
      <c r="F3012" t="s">
        <v>266</v>
      </c>
      <c r="G3012" t="s">
        <v>27</v>
      </c>
      <c r="H3012" s="3">
        <v>0.44999999999999996</v>
      </c>
      <c r="I3012">
        <v>4000</v>
      </c>
      <c r="J3012" s="4">
        <v>1799.9999999999998</v>
      </c>
      <c r="K3012" s="4">
        <v>539.99999999999989</v>
      </c>
      <c r="L3012" s="5">
        <v>0.3</v>
      </c>
      <c r="M3012" t="s">
        <v>133</v>
      </c>
      <c r="N3012" t="s">
        <v>364</v>
      </c>
    </row>
    <row r="3013" spans="1:14">
      <c r="A3013" t="s">
        <v>29</v>
      </c>
      <c r="B3013">
        <v>1185732</v>
      </c>
      <c r="C3013" s="2">
        <v>44475</v>
      </c>
      <c r="D3013" t="s">
        <v>140</v>
      </c>
      <c r="E3013" t="s">
        <v>258</v>
      </c>
      <c r="F3013" t="s">
        <v>266</v>
      </c>
      <c r="G3013" t="s">
        <v>145</v>
      </c>
      <c r="H3013" s="3">
        <v>0.35000000000000003</v>
      </c>
      <c r="I3013">
        <v>2500</v>
      </c>
      <c r="J3013" s="4">
        <v>875.00000000000011</v>
      </c>
      <c r="K3013" s="4">
        <v>306.25</v>
      </c>
      <c r="L3013" s="5">
        <v>0.35</v>
      </c>
      <c r="M3013" t="s">
        <v>133</v>
      </c>
      <c r="N3013" t="s">
        <v>364</v>
      </c>
    </row>
    <row r="3014" spans="1:14">
      <c r="A3014" t="s">
        <v>29</v>
      </c>
      <c r="B3014">
        <v>1185732</v>
      </c>
      <c r="C3014" s="2">
        <v>44475</v>
      </c>
      <c r="D3014" t="s">
        <v>140</v>
      </c>
      <c r="E3014" t="s">
        <v>258</v>
      </c>
      <c r="F3014" t="s">
        <v>266</v>
      </c>
      <c r="G3014" t="s">
        <v>146</v>
      </c>
      <c r="H3014" s="3">
        <v>0.35000000000000003</v>
      </c>
      <c r="I3014">
        <v>1500</v>
      </c>
      <c r="J3014" s="4">
        <v>525</v>
      </c>
      <c r="K3014" s="4">
        <v>157.5</v>
      </c>
      <c r="L3014" s="5">
        <v>0.3</v>
      </c>
      <c r="M3014" t="s">
        <v>133</v>
      </c>
      <c r="N3014" t="s">
        <v>364</v>
      </c>
    </row>
    <row r="3015" spans="1:14">
      <c r="A3015" t="s">
        <v>29</v>
      </c>
      <c r="B3015">
        <v>1185732</v>
      </c>
      <c r="C3015" s="2">
        <v>44475</v>
      </c>
      <c r="D3015" t="s">
        <v>140</v>
      </c>
      <c r="E3015" t="s">
        <v>258</v>
      </c>
      <c r="F3015" t="s">
        <v>266</v>
      </c>
      <c r="G3015" t="s">
        <v>148</v>
      </c>
      <c r="H3015" s="3">
        <v>0.35000000000000003</v>
      </c>
      <c r="I3015">
        <v>1250</v>
      </c>
      <c r="J3015" s="4">
        <v>437.50000000000006</v>
      </c>
      <c r="K3015" s="4">
        <v>131.25</v>
      </c>
      <c r="L3015" s="5">
        <v>0.3</v>
      </c>
      <c r="M3015" t="s">
        <v>133</v>
      </c>
      <c r="N3015" t="s">
        <v>364</v>
      </c>
    </row>
    <row r="3016" spans="1:14">
      <c r="A3016" t="s">
        <v>29</v>
      </c>
      <c r="B3016">
        <v>1185732</v>
      </c>
      <c r="C3016" s="2">
        <v>44475</v>
      </c>
      <c r="D3016" t="s">
        <v>140</v>
      </c>
      <c r="E3016" t="s">
        <v>258</v>
      </c>
      <c r="F3016" t="s">
        <v>266</v>
      </c>
      <c r="G3016" t="s">
        <v>147</v>
      </c>
      <c r="H3016" s="3">
        <v>0.44999999999999996</v>
      </c>
      <c r="I3016">
        <v>1250</v>
      </c>
      <c r="J3016" s="4">
        <v>562.5</v>
      </c>
      <c r="K3016" s="4">
        <v>281.25</v>
      </c>
      <c r="L3016" s="5">
        <v>0.5</v>
      </c>
      <c r="M3016" t="s">
        <v>133</v>
      </c>
      <c r="N3016" t="s">
        <v>364</v>
      </c>
    </row>
    <row r="3017" spans="1:14">
      <c r="A3017" t="s">
        <v>29</v>
      </c>
      <c r="B3017">
        <v>1185732</v>
      </c>
      <c r="C3017" s="2">
        <v>44475</v>
      </c>
      <c r="D3017" t="s">
        <v>140</v>
      </c>
      <c r="E3017" t="s">
        <v>258</v>
      </c>
      <c r="F3017" t="s">
        <v>266</v>
      </c>
      <c r="G3017" t="s">
        <v>144</v>
      </c>
      <c r="H3017" s="3">
        <v>0.49999999999999983</v>
      </c>
      <c r="I3017">
        <v>2500</v>
      </c>
      <c r="J3017" s="4">
        <v>1249.9999999999995</v>
      </c>
      <c r="K3017" s="4">
        <v>499.99999999999983</v>
      </c>
      <c r="L3017" s="5">
        <v>0.4</v>
      </c>
      <c r="M3017" t="s">
        <v>133</v>
      </c>
      <c r="N3017" t="s">
        <v>364</v>
      </c>
    </row>
    <row r="3018" spans="1:14">
      <c r="A3018" t="s">
        <v>29</v>
      </c>
      <c r="B3018">
        <v>1185732</v>
      </c>
      <c r="C3018" s="2">
        <v>44506</v>
      </c>
      <c r="D3018" t="s">
        <v>140</v>
      </c>
      <c r="E3018" t="s">
        <v>258</v>
      </c>
      <c r="F3018" t="s">
        <v>266</v>
      </c>
      <c r="G3018" t="s">
        <v>27</v>
      </c>
      <c r="H3018" s="3">
        <v>0.44999999999999996</v>
      </c>
      <c r="I3018">
        <v>4000</v>
      </c>
      <c r="J3018" s="4">
        <v>1799.9999999999998</v>
      </c>
      <c r="K3018" s="4">
        <v>539.99999999999989</v>
      </c>
      <c r="L3018" s="5">
        <v>0.3</v>
      </c>
      <c r="M3018" t="s">
        <v>134</v>
      </c>
      <c r="N3018" t="s">
        <v>364</v>
      </c>
    </row>
    <row r="3019" spans="1:14">
      <c r="A3019" t="s">
        <v>29</v>
      </c>
      <c r="B3019">
        <v>1185732</v>
      </c>
      <c r="C3019" s="2">
        <v>44506</v>
      </c>
      <c r="D3019" t="s">
        <v>140</v>
      </c>
      <c r="E3019" t="s">
        <v>258</v>
      </c>
      <c r="F3019" t="s">
        <v>266</v>
      </c>
      <c r="G3019" t="s">
        <v>145</v>
      </c>
      <c r="H3019" s="3">
        <v>0.35000000000000003</v>
      </c>
      <c r="I3019">
        <v>2750</v>
      </c>
      <c r="J3019" s="4">
        <v>962.50000000000011</v>
      </c>
      <c r="K3019" s="4">
        <v>336.875</v>
      </c>
      <c r="L3019" s="5">
        <v>0.35</v>
      </c>
      <c r="M3019" t="s">
        <v>134</v>
      </c>
      <c r="N3019" t="s">
        <v>364</v>
      </c>
    </row>
    <row r="3020" spans="1:14">
      <c r="A3020" t="s">
        <v>29</v>
      </c>
      <c r="B3020">
        <v>1185732</v>
      </c>
      <c r="C3020" s="2">
        <v>44506</v>
      </c>
      <c r="D3020" t="s">
        <v>140</v>
      </c>
      <c r="E3020" t="s">
        <v>258</v>
      </c>
      <c r="F3020" t="s">
        <v>266</v>
      </c>
      <c r="G3020" t="s">
        <v>146</v>
      </c>
      <c r="H3020" s="3">
        <v>0.35000000000000003</v>
      </c>
      <c r="I3020">
        <v>2200</v>
      </c>
      <c r="J3020" s="4">
        <v>770.00000000000011</v>
      </c>
      <c r="K3020" s="4">
        <v>231.00000000000003</v>
      </c>
      <c r="L3020" s="5">
        <v>0.3</v>
      </c>
      <c r="M3020" t="s">
        <v>134</v>
      </c>
      <c r="N3020" t="s">
        <v>364</v>
      </c>
    </row>
    <row r="3021" spans="1:14">
      <c r="A3021" t="s">
        <v>29</v>
      </c>
      <c r="B3021">
        <v>1185732</v>
      </c>
      <c r="C3021" s="2">
        <v>44506</v>
      </c>
      <c r="D3021" t="s">
        <v>140</v>
      </c>
      <c r="E3021" t="s">
        <v>258</v>
      </c>
      <c r="F3021" t="s">
        <v>266</v>
      </c>
      <c r="G3021" t="s">
        <v>148</v>
      </c>
      <c r="H3021" s="3">
        <v>0.35000000000000003</v>
      </c>
      <c r="I3021">
        <v>2000</v>
      </c>
      <c r="J3021" s="4">
        <v>700.00000000000011</v>
      </c>
      <c r="K3021" s="4">
        <v>210.00000000000003</v>
      </c>
      <c r="L3021" s="5">
        <v>0.3</v>
      </c>
      <c r="M3021" t="s">
        <v>134</v>
      </c>
      <c r="N3021" t="s">
        <v>364</v>
      </c>
    </row>
    <row r="3022" spans="1:14">
      <c r="A3022" t="s">
        <v>29</v>
      </c>
      <c r="B3022">
        <v>1185732</v>
      </c>
      <c r="C3022" s="2">
        <v>44506</v>
      </c>
      <c r="D3022" t="s">
        <v>140</v>
      </c>
      <c r="E3022" t="s">
        <v>258</v>
      </c>
      <c r="F3022" t="s">
        <v>266</v>
      </c>
      <c r="G3022" t="s">
        <v>147</v>
      </c>
      <c r="H3022" s="3">
        <v>0.6</v>
      </c>
      <c r="I3022">
        <v>1750</v>
      </c>
      <c r="J3022" s="4">
        <v>1050</v>
      </c>
      <c r="K3022" s="4">
        <v>525</v>
      </c>
      <c r="L3022" s="5">
        <v>0.5</v>
      </c>
      <c r="M3022" t="s">
        <v>134</v>
      </c>
      <c r="N3022" t="s">
        <v>364</v>
      </c>
    </row>
    <row r="3023" spans="1:14">
      <c r="A3023" t="s">
        <v>29</v>
      </c>
      <c r="B3023">
        <v>1185732</v>
      </c>
      <c r="C3023" s="2">
        <v>44506</v>
      </c>
      <c r="D3023" t="s">
        <v>140</v>
      </c>
      <c r="E3023" t="s">
        <v>258</v>
      </c>
      <c r="F3023" t="s">
        <v>266</v>
      </c>
      <c r="G3023" t="s">
        <v>144</v>
      </c>
      <c r="H3023" s="3">
        <v>0.64999999999999991</v>
      </c>
      <c r="I3023">
        <v>2750</v>
      </c>
      <c r="J3023" s="4">
        <v>1787.4999999999998</v>
      </c>
      <c r="K3023" s="4">
        <v>715</v>
      </c>
      <c r="L3023" s="5">
        <v>0.4</v>
      </c>
      <c r="M3023" t="s">
        <v>134</v>
      </c>
      <c r="N3023" t="s">
        <v>364</v>
      </c>
    </row>
    <row r="3024" spans="1:14">
      <c r="A3024" t="s">
        <v>29</v>
      </c>
      <c r="B3024">
        <v>1185732</v>
      </c>
      <c r="C3024" s="2">
        <v>44535</v>
      </c>
      <c r="D3024" t="s">
        <v>140</v>
      </c>
      <c r="E3024" t="s">
        <v>258</v>
      </c>
      <c r="F3024" t="s">
        <v>266</v>
      </c>
      <c r="G3024" t="s">
        <v>27</v>
      </c>
      <c r="H3024" s="3">
        <v>0.6</v>
      </c>
      <c r="I3024">
        <v>5250</v>
      </c>
      <c r="J3024" s="4">
        <v>3150</v>
      </c>
      <c r="K3024" s="4">
        <v>945</v>
      </c>
      <c r="L3024" s="5">
        <v>0.3</v>
      </c>
      <c r="M3024" t="s">
        <v>23</v>
      </c>
      <c r="N3024" t="s">
        <v>364</v>
      </c>
    </row>
    <row r="3025" spans="1:14">
      <c r="A3025" t="s">
        <v>29</v>
      </c>
      <c r="B3025">
        <v>1185732</v>
      </c>
      <c r="C3025" s="2">
        <v>44535</v>
      </c>
      <c r="D3025" t="s">
        <v>140</v>
      </c>
      <c r="E3025" t="s">
        <v>258</v>
      </c>
      <c r="F3025" t="s">
        <v>266</v>
      </c>
      <c r="G3025" t="s">
        <v>145</v>
      </c>
      <c r="H3025" s="3">
        <v>0.5</v>
      </c>
      <c r="I3025">
        <v>3250</v>
      </c>
      <c r="J3025" s="4">
        <v>1625</v>
      </c>
      <c r="K3025" s="4">
        <v>568.75</v>
      </c>
      <c r="L3025" s="5">
        <v>0.35</v>
      </c>
      <c r="M3025" t="s">
        <v>23</v>
      </c>
      <c r="N3025" t="s">
        <v>364</v>
      </c>
    </row>
    <row r="3026" spans="1:14">
      <c r="A3026" t="s">
        <v>29</v>
      </c>
      <c r="B3026">
        <v>1185732</v>
      </c>
      <c r="C3026" s="2">
        <v>44535</v>
      </c>
      <c r="D3026" t="s">
        <v>140</v>
      </c>
      <c r="E3026" t="s">
        <v>258</v>
      </c>
      <c r="F3026" t="s">
        <v>266</v>
      </c>
      <c r="G3026" t="s">
        <v>146</v>
      </c>
      <c r="H3026" s="3">
        <v>0.5</v>
      </c>
      <c r="I3026">
        <v>2750</v>
      </c>
      <c r="J3026" s="4">
        <v>1375</v>
      </c>
      <c r="K3026" s="4">
        <v>412.5</v>
      </c>
      <c r="L3026" s="5">
        <v>0.3</v>
      </c>
      <c r="M3026" t="s">
        <v>23</v>
      </c>
      <c r="N3026" t="s">
        <v>364</v>
      </c>
    </row>
    <row r="3027" spans="1:14">
      <c r="A3027" t="s">
        <v>29</v>
      </c>
      <c r="B3027">
        <v>1185732</v>
      </c>
      <c r="C3027" s="2">
        <v>44535</v>
      </c>
      <c r="D3027" t="s">
        <v>140</v>
      </c>
      <c r="E3027" t="s">
        <v>258</v>
      </c>
      <c r="F3027" t="s">
        <v>266</v>
      </c>
      <c r="G3027" t="s">
        <v>148</v>
      </c>
      <c r="H3027" s="3">
        <v>0.5</v>
      </c>
      <c r="I3027">
        <v>2250</v>
      </c>
      <c r="J3027" s="4">
        <v>1125</v>
      </c>
      <c r="K3027" s="4">
        <v>337.5</v>
      </c>
      <c r="L3027" s="5">
        <v>0.3</v>
      </c>
      <c r="M3027" t="s">
        <v>23</v>
      </c>
      <c r="N3027" t="s">
        <v>364</v>
      </c>
    </row>
    <row r="3028" spans="1:14">
      <c r="A3028" t="s">
        <v>29</v>
      </c>
      <c r="B3028">
        <v>1185732</v>
      </c>
      <c r="C3028" s="2">
        <v>44535</v>
      </c>
      <c r="D3028" t="s">
        <v>140</v>
      </c>
      <c r="E3028" t="s">
        <v>258</v>
      </c>
      <c r="F3028" t="s">
        <v>266</v>
      </c>
      <c r="G3028" t="s">
        <v>147</v>
      </c>
      <c r="H3028" s="3">
        <v>0.6</v>
      </c>
      <c r="I3028">
        <v>2250</v>
      </c>
      <c r="J3028" s="4">
        <v>1350</v>
      </c>
      <c r="K3028" s="4">
        <v>675</v>
      </c>
      <c r="L3028" s="5">
        <v>0.5</v>
      </c>
      <c r="M3028" t="s">
        <v>23</v>
      </c>
      <c r="N3028" t="s">
        <v>364</v>
      </c>
    </row>
    <row r="3029" spans="1:14">
      <c r="A3029" t="s">
        <v>29</v>
      </c>
      <c r="B3029">
        <v>1185732</v>
      </c>
      <c r="C3029" s="2">
        <v>44535</v>
      </c>
      <c r="D3029" t="s">
        <v>140</v>
      </c>
      <c r="E3029" t="s">
        <v>258</v>
      </c>
      <c r="F3029" t="s">
        <v>266</v>
      </c>
      <c r="G3029" t="s">
        <v>144</v>
      </c>
      <c r="H3029" s="3">
        <v>0.64999999999999991</v>
      </c>
      <c r="I3029">
        <v>3250</v>
      </c>
      <c r="J3029" s="4">
        <v>2112.4999999999995</v>
      </c>
      <c r="K3029" s="4">
        <v>844.99999999999989</v>
      </c>
      <c r="L3029" s="5">
        <v>0.4</v>
      </c>
      <c r="M3029" t="s">
        <v>23</v>
      </c>
      <c r="N3029" t="s">
        <v>364</v>
      </c>
    </row>
    <row r="3030" spans="1:14">
      <c r="A3030" t="s">
        <v>29</v>
      </c>
      <c r="B3030">
        <v>1185732</v>
      </c>
      <c r="C3030" s="2">
        <v>44199</v>
      </c>
      <c r="D3030" t="s">
        <v>140</v>
      </c>
      <c r="E3030" t="s">
        <v>256</v>
      </c>
      <c r="F3030" t="s">
        <v>265</v>
      </c>
      <c r="G3030" t="s">
        <v>27</v>
      </c>
      <c r="H3030" s="3">
        <v>0.30000000000000004</v>
      </c>
      <c r="I3030">
        <v>4500</v>
      </c>
      <c r="J3030" s="4">
        <v>1350.0000000000002</v>
      </c>
      <c r="K3030" s="4">
        <v>405.00000000000006</v>
      </c>
      <c r="L3030" s="5">
        <v>0.3</v>
      </c>
      <c r="M3030" t="s">
        <v>125</v>
      </c>
      <c r="N3030" t="s">
        <v>361</v>
      </c>
    </row>
    <row r="3031" spans="1:14">
      <c r="A3031" t="s">
        <v>29</v>
      </c>
      <c r="B3031">
        <v>1185732</v>
      </c>
      <c r="C3031" s="2">
        <v>44199</v>
      </c>
      <c r="D3031" t="s">
        <v>140</v>
      </c>
      <c r="E3031" t="s">
        <v>256</v>
      </c>
      <c r="F3031" t="s">
        <v>265</v>
      </c>
      <c r="G3031" t="s">
        <v>145</v>
      </c>
      <c r="H3031" s="3">
        <v>0.30000000000000004</v>
      </c>
      <c r="I3031">
        <v>2500</v>
      </c>
      <c r="J3031" s="4">
        <v>750.00000000000011</v>
      </c>
      <c r="K3031" s="4">
        <v>262.5</v>
      </c>
      <c r="L3031" s="5">
        <v>0.35</v>
      </c>
      <c r="M3031" t="s">
        <v>125</v>
      </c>
      <c r="N3031" t="s">
        <v>361</v>
      </c>
    </row>
    <row r="3032" spans="1:14">
      <c r="A3032" t="s">
        <v>29</v>
      </c>
      <c r="B3032">
        <v>1185732</v>
      </c>
      <c r="C3032" s="2">
        <v>44199</v>
      </c>
      <c r="D3032" t="s">
        <v>140</v>
      </c>
      <c r="E3032" t="s">
        <v>256</v>
      </c>
      <c r="F3032" t="s">
        <v>265</v>
      </c>
      <c r="G3032" t="s">
        <v>146</v>
      </c>
      <c r="H3032" s="3">
        <v>0.20000000000000007</v>
      </c>
      <c r="I3032">
        <v>2500</v>
      </c>
      <c r="J3032" s="4">
        <v>500.00000000000017</v>
      </c>
      <c r="K3032" s="4">
        <v>150.00000000000006</v>
      </c>
      <c r="L3032" s="5">
        <v>0.3</v>
      </c>
      <c r="M3032" t="s">
        <v>125</v>
      </c>
      <c r="N3032" t="s">
        <v>361</v>
      </c>
    </row>
    <row r="3033" spans="1:14">
      <c r="A3033" t="s">
        <v>29</v>
      </c>
      <c r="B3033">
        <v>1185732</v>
      </c>
      <c r="C3033" s="2">
        <v>44199</v>
      </c>
      <c r="D3033" t="s">
        <v>140</v>
      </c>
      <c r="E3033" t="s">
        <v>256</v>
      </c>
      <c r="F3033" t="s">
        <v>265</v>
      </c>
      <c r="G3033" t="s">
        <v>148</v>
      </c>
      <c r="H3033" s="3">
        <v>0.25000000000000006</v>
      </c>
      <c r="I3033">
        <v>1000</v>
      </c>
      <c r="J3033" s="4">
        <v>250.00000000000006</v>
      </c>
      <c r="K3033" s="4">
        <v>75.000000000000014</v>
      </c>
      <c r="L3033" s="5">
        <v>0.3</v>
      </c>
      <c r="M3033" t="s">
        <v>125</v>
      </c>
      <c r="N3033" t="s">
        <v>361</v>
      </c>
    </row>
    <row r="3034" spans="1:14">
      <c r="A3034" t="s">
        <v>29</v>
      </c>
      <c r="B3034">
        <v>1185732</v>
      </c>
      <c r="C3034" s="2">
        <v>44199</v>
      </c>
      <c r="D3034" t="s">
        <v>140</v>
      </c>
      <c r="E3034" t="s">
        <v>256</v>
      </c>
      <c r="F3034" t="s">
        <v>265</v>
      </c>
      <c r="G3034" t="s">
        <v>147</v>
      </c>
      <c r="H3034" s="3">
        <v>0.39999999999999997</v>
      </c>
      <c r="I3034">
        <v>1500</v>
      </c>
      <c r="J3034" s="4">
        <v>600</v>
      </c>
      <c r="K3034" s="4">
        <v>300</v>
      </c>
      <c r="L3034" s="5">
        <v>0.5</v>
      </c>
      <c r="M3034" t="s">
        <v>125</v>
      </c>
      <c r="N3034" t="s">
        <v>361</v>
      </c>
    </row>
    <row r="3035" spans="1:14">
      <c r="A3035" t="s">
        <v>29</v>
      </c>
      <c r="B3035">
        <v>1185732</v>
      </c>
      <c r="C3035" s="2">
        <v>44199</v>
      </c>
      <c r="D3035" t="s">
        <v>140</v>
      </c>
      <c r="E3035" t="s">
        <v>256</v>
      </c>
      <c r="F3035" t="s">
        <v>265</v>
      </c>
      <c r="G3035" t="s">
        <v>144</v>
      </c>
      <c r="H3035" s="3">
        <v>0.30000000000000004</v>
      </c>
      <c r="I3035">
        <v>2500</v>
      </c>
      <c r="J3035" s="4">
        <v>750.00000000000011</v>
      </c>
      <c r="K3035" s="4">
        <v>300.00000000000006</v>
      </c>
      <c r="L3035" s="5">
        <v>0.4</v>
      </c>
      <c r="M3035" t="s">
        <v>125</v>
      </c>
      <c r="N3035" t="s">
        <v>361</v>
      </c>
    </row>
    <row r="3036" spans="1:14">
      <c r="A3036" t="s">
        <v>29</v>
      </c>
      <c r="B3036">
        <v>1185732</v>
      </c>
      <c r="C3036" s="2">
        <v>44230</v>
      </c>
      <c r="D3036" t="s">
        <v>140</v>
      </c>
      <c r="E3036" t="s">
        <v>256</v>
      </c>
      <c r="F3036" t="s">
        <v>265</v>
      </c>
      <c r="G3036" t="s">
        <v>27</v>
      </c>
      <c r="H3036" s="3">
        <v>0.30000000000000004</v>
      </c>
      <c r="I3036">
        <v>5000</v>
      </c>
      <c r="J3036" s="4">
        <v>1500.0000000000002</v>
      </c>
      <c r="K3036" s="4">
        <v>450.00000000000006</v>
      </c>
      <c r="L3036" s="5">
        <v>0.3</v>
      </c>
      <c r="M3036" t="s">
        <v>126</v>
      </c>
      <c r="N3036" t="s">
        <v>361</v>
      </c>
    </row>
    <row r="3037" spans="1:14">
      <c r="A3037" t="s">
        <v>29</v>
      </c>
      <c r="B3037">
        <v>1185732</v>
      </c>
      <c r="C3037" s="2">
        <v>44230</v>
      </c>
      <c r="D3037" t="s">
        <v>140</v>
      </c>
      <c r="E3037" t="s">
        <v>256</v>
      </c>
      <c r="F3037" t="s">
        <v>265</v>
      </c>
      <c r="G3037" t="s">
        <v>145</v>
      </c>
      <c r="H3037" s="3">
        <v>0.30000000000000004</v>
      </c>
      <c r="I3037">
        <v>1500</v>
      </c>
      <c r="J3037" s="4">
        <v>450.00000000000006</v>
      </c>
      <c r="K3037" s="4">
        <v>157.5</v>
      </c>
      <c r="L3037" s="5">
        <v>0.35</v>
      </c>
      <c r="M3037" t="s">
        <v>126</v>
      </c>
      <c r="N3037" t="s">
        <v>361</v>
      </c>
    </row>
    <row r="3038" spans="1:14">
      <c r="A3038" t="s">
        <v>29</v>
      </c>
      <c r="B3038">
        <v>1185732</v>
      </c>
      <c r="C3038" s="2">
        <v>44230</v>
      </c>
      <c r="D3038" t="s">
        <v>140</v>
      </c>
      <c r="E3038" t="s">
        <v>256</v>
      </c>
      <c r="F3038" t="s">
        <v>265</v>
      </c>
      <c r="G3038" t="s">
        <v>146</v>
      </c>
      <c r="H3038" s="3">
        <v>0.20000000000000007</v>
      </c>
      <c r="I3038">
        <v>2000</v>
      </c>
      <c r="J3038" s="4">
        <v>400.00000000000011</v>
      </c>
      <c r="K3038" s="4">
        <v>120.00000000000003</v>
      </c>
      <c r="L3038" s="5">
        <v>0.3</v>
      </c>
      <c r="M3038" t="s">
        <v>126</v>
      </c>
      <c r="N3038" t="s">
        <v>361</v>
      </c>
    </row>
    <row r="3039" spans="1:14">
      <c r="A3039" t="s">
        <v>29</v>
      </c>
      <c r="B3039">
        <v>1185732</v>
      </c>
      <c r="C3039" s="2">
        <v>44230</v>
      </c>
      <c r="D3039" t="s">
        <v>140</v>
      </c>
      <c r="E3039" t="s">
        <v>256</v>
      </c>
      <c r="F3039" t="s">
        <v>265</v>
      </c>
      <c r="G3039" t="s">
        <v>148</v>
      </c>
      <c r="H3039" s="3">
        <v>0.25000000000000006</v>
      </c>
      <c r="I3039">
        <v>750</v>
      </c>
      <c r="J3039" s="4">
        <v>187.50000000000003</v>
      </c>
      <c r="K3039" s="4">
        <v>56.250000000000007</v>
      </c>
      <c r="L3039" s="5">
        <v>0.3</v>
      </c>
      <c r="M3039" t="s">
        <v>126</v>
      </c>
      <c r="N3039" t="s">
        <v>361</v>
      </c>
    </row>
    <row r="3040" spans="1:14">
      <c r="A3040" t="s">
        <v>29</v>
      </c>
      <c r="B3040">
        <v>1185732</v>
      </c>
      <c r="C3040" s="2">
        <v>44230</v>
      </c>
      <c r="D3040" t="s">
        <v>140</v>
      </c>
      <c r="E3040" t="s">
        <v>256</v>
      </c>
      <c r="F3040" t="s">
        <v>265</v>
      </c>
      <c r="G3040" t="s">
        <v>147</v>
      </c>
      <c r="H3040" s="3">
        <v>0.39999999999999997</v>
      </c>
      <c r="I3040">
        <v>1500</v>
      </c>
      <c r="J3040" s="4">
        <v>600</v>
      </c>
      <c r="K3040" s="4">
        <v>300</v>
      </c>
      <c r="L3040" s="5">
        <v>0.5</v>
      </c>
      <c r="M3040" t="s">
        <v>126</v>
      </c>
      <c r="N3040" t="s">
        <v>361</v>
      </c>
    </row>
    <row r="3041" spans="1:14">
      <c r="A3041" t="s">
        <v>29</v>
      </c>
      <c r="B3041">
        <v>1185732</v>
      </c>
      <c r="C3041" s="2">
        <v>44230</v>
      </c>
      <c r="D3041" t="s">
        <v>140</v>
      </c>
      <c r="E3041" t="s">
        <v>256</v>
      </c>
      <c r="F3041" t="s">
        <v>265</v>
      </c>
      <c r="G3041" t="s">
        <v>144</v>
      </c>
      <c r="H3041" s="3">
        <v>0.14999999999999997</v>
      </c>
      <c r="I3041">
        <v>2500</v>
      </c>
      <c r="J3041" s="4">
        <v>374.99999999999994</v>
      </c>
      <c r="K3041" s="4">
        <v>149.99999999999997</v>
      </c>
      <c r="L3041" s="5">
        <v>0.4</v>
      </c>
      <c r="M3041" t="s">
        <v>126</v>
      </c>
      <c r="N3041" t="s">
        <v>361</v>
      </c>
    </row>
    <row r="3042" spans="1:14">
      <c r="A3042" t="s">
        <v>29</v>
      </c>
      <c r="B3042">
        <v>1185732</v>
      </c>
      <c r="C3042" s="2">
        <v>44257</v>
      </c>
      <c r="D3042" t="s">
        <v>140</v>
      </c>
      <c r="E3042" t="s">
        <v>256</v>
      </c>
      <c r="F3042" t="s">
        <v>265</v>
      </c>
      <c r="G3042" t="s">
        <v>27</v>
      </c>
      <c r="H3042" s="3">
        <v>0.20000000000000004</v>
      </c>
      <c r="I3042">
        <v>4700</v>
      </c>
      <c r="J3042" s="4">
        <v>940.00000000000023</v>
      </c>
      <c r="K3042" s="4">
        <v>282.00000000000006</v>
      </c>
      <c r="L3042" s="5">
        <v>0.3</v>
      </c>
      <c r="M3042" t="s">
        <v>24</v>
      </c>
      <c r="N3042" t="s">
        <v>361</v>
      </c>
    </row>
    <row r="3043" spans="1:14">
      <c r="A3043" t="s">
        <v>29</v>
      </c>
      <c r="B3043">
        <v>1185732</v>
      </c>
      <c r="C3043" s="2">
        <v>44257</v>
      </c>
      <c r="D3043" t="s">
        <v>140</v>
      </c>
      <c r="E3043" t="s">
        <v>256</v>
      </c>
      <c r="F3043" t="s">
        <v>265</v>
      </c>
      <c r="G3043" t="s">
        <v>145</v>
      </c>
      <c r="H3043" s="3">
        <v>0.20000000000000004</v>
      </c>
      <c r="I3043">
        <v>1750</v>
      </c>
      <c r="J3043" s="4">
        <v>350.00000000000006</v>
      </c>
      <c r="K3043" s="4">
        <v>122.50000000000001</v>
      </c>
      <c r="L3043" s="5">
        <v>0.35</v>
      </c>
      <c r="M3043" t="s">
        <v>24</v>
      </c>
      <c r="N3043" t="s">
        <v>361</v>
      </c>
    </row>
    <row r="3044" spans="1:14">
      <c r="A3044" t="s">
        <v>29</v>
      </c>
      <c r="B3044">
        <v>1185732</v>
      </c>
      <c r="C3044" s="2">
        <v>44257</v>
      </c>
      <c r="D3044" t="s">
        <v>140</v>
      </c>
      <c r="E3044" t="s">
        <v>256</v>
      </c>
      <c r="F3044" t="s">
        <v>265</v>
      </c>
      <c r="G3044" t="s">
        <v>146</v>
      </c>
      <c r="H3044" s="3">
        <v>0.10000000000000003</v>
      </c>
      <c r="I3044">
        <v>2250</v>
      </c>
      <c r="J3044" s="4">
        <v>225.00000000000009</v>
      </c>
      <c r="K3044" s="4">
        <v>67.500000000000028</v>
      </c>
      <c r="L3044" s="5">
        <v>0.3</v>
      </c>
      <c r="M3044" t="s">
        <v>24</v>
      </c>
      <c r="N3044" t="s">
        <v>361</v>
      </c>
    </row>
    <row r="3045" spans="1:14">
      <c r="A3045" t="s">
        <v>29</v>
      </c>
      <c r="B3045">
        <v>1185732</v>
      </c>
      <c r="C3045" s="2">
        <v>44257</v>
      </c>
      <c r="D3045" t="s">
        <v>140</v>
      </c>
      <c r="E3045" t="s">
        <v>256</v>
      </c>
      <c r="F3045" t="s">
        <v>265</v>
      </c>
      <c r="G3045" t="s">
        <v>148</v>
      </c>
      <c r="H3045" s="3">
        <v>0.14999999999999997</v>
      </c>
      <c r="I3045">
        <v>750</v>
      </c>
      <c r="J3045" s="4">
        <v>112.49999999999997</v>
      </c>
      <c r="K3045" s="4">
        <v>33.749999999999993</v>
      </c>
      <c r="L3045" s="5">
        <v>0.3</v>
      </c>
      <c r="M3045" t="s">
        <v>24</v>
      </c>
      <c r="N3045" t="s">
        <v>361</v>
      </c>
    </row>
    <row r="3046" spans="1:14">
      <c r="A3046" t="s">
        <v>29</v>
      </c>
      <c r="B3046">
        <v>1185732</v>
      </c>
      <c r="C3046" s="2">
        <v>44257</v>
      </c>
      <c r="D3046" t="s">
        <v>140</v>
      </c>
      <c r="E3046" t="s">
        <v>256</v>
      </c>
      <c r="F3046" t="s">
        <v>265</v>
      </c>
      <c r="G3046" t="s">
        <v>147</v>
      </c>
      <c r="H3046" s="3">
        <v>0.30000000000000004</v>
      </c>
      <c r="I3046">
        <v>1250</v>
      </c>
      <c r="J3046" s="4">
        <v>375.00000000000006</v>
      </c>
      <c r="K3046" s="4">
        <v>187.50000000000003</v>
      </c>
      <c r="L3046" s="5">
        <v>0.5</v>
      </c>
      <c r="M3046" t="s">
        <v>24</v>
      </c>
      <c r="N3046" t="s">
        <v>361</v>
      </c>
    </row>
    <row r="3047" spans="1:14">
      <c r="A3047" t="s">
        <v>29</v>
      </c>
      <c r="B3047">
        <v>1185732</v>
      </c>
      <c r="C3047" s="2">
        <v>44257</v>
      </c>
      <c r="D3047" t="s">
        <v>140</v>
      </c>
      <c r="E3047" t="s">
        <v>256</v>
      </c>
      <c r="F3047" t="s">
        <v>265</v>
      </c>
      <c r="G3047" t="s">
        <v>144</v>
      </c>
      <c r="H3047" s="3">
        <v>0.20000000000000004</v>
      </c>
      <c r="I3047">
        <v>2250</v>
      </c>
      <c r="J3047" s="4">
        <v>450.00000000000011</v>
      </c>
      <c r="K3047" s="4">
        <v>180.00000000000006</v>
      </c>
      <c r="L3047" s="5">
        <v>0.4</v>
      </c>
      <c r="M3047" t="s">
        <v>24</v>
      </c>
      <c r="N3047" t="s">
        <v>361</v>
      </c>
    </row>
    <row r="3048" spans="1:14">
      <c r="A3048" t="s">
        <v>29</v>
      </c>
      <c r="B3048">
        <v>1185732</v>
      </c>
      <c r="C3048" s="2">
        <v>44289</v>
      </c>
      <c r="D3048" t="s">
        <v>140</v>
      </c>
      <c r="E3048" t="s">
        <v>256</v>
      </c>
      <c r="F3048" t="s">
        <v>265</v>
      </c>
      <c r="G3048" t="s">
        <v>27</v>
      </c>
      <c r="H3048" s="3">
        <v>0.20000000000000004</v>
      </c>
      <c r="I3048">
        <v>4500</v>
      </c>
      <c r="J3048" s="4">
        <v>900.00000000000023</v>
      </c>
      <c r="K3048" s="4">
        <v>270.00000000000006</v>
      </c>
      <c r="L3048" s="5">
        <v>0.3</v>
      </c>
      <c r="M3048" t="s">
        <v>127</v>
      </c>
      <c r="N3048" t="s">
        <v>362</v>
      </c>
    </row>
    <row r="3049" spans="1:14">
      <c r="A3049" t="s">
        <v>29</v>
      </c>
      <c r="B3049">
        <v>1185732</v>
      </c>
      <c r="C3049" s="2">
        <v>44289</v>
      </c>
      <c r="D3049" t="s">
        <v>140</v>
      </c>
      <c r="E3049" t="s">
        <v>256</v>
      </c>
      <c r="F3049" t="s">
        <v>265</v>
      </c>
      <c r="G3049" t="s">
        <v>145</v>
      </c>
      <c r="H3049" s="3">
        <v>0.20000000000000004</v>
      </c>
      <c r="I3049">
        <v>1500</v>
      </c>
      <c r="J3049" s="4">
        <v>300.00000000000006</v>
      </c>
      <c r="K3049" s="4">
        <v>105.00000000000001</v>
      </c>
      <c r="L3049" s="5">
        <v>0.35</v>
      </c>
      <c r="M3049" t="s">
        <v>127</v>
      </c>
      <c r="N3049" t="s">
        <v>362</v>
      </c>
    </row>
    <row r="3050" spans="1:14">
      <c r="A3050" t="s">
        <v>29</v>
      </c>
      <c r="B3050">
        <v>1185732</v>
      </c>
      <c r="C3050" s="2">
        <v>44289</v>
      </c>
      <c r="D3050" t="s">
        <v>140</v>
      </c>
      <c r="E3050" t="s">
        <v>256</v>
      </c>
      <c r="F3050" t="s">
        <v>265</v>
      </c>
      <c r="G3050" t="s">
        <v>146</v>
      </c>
      <c r="H3050" s="3">
        <v>0.10000000000000003</v>
      </c>
      <c r="I3050">
        <v>1500</v>
      </c>
      <c r="J3050" s="4">
        <v>150.00000000000006</v>
      </c>
      <c r="K3050" s="4">
        <v>45.000000000000014</v>
      </c>
      <c r="L3050" s="5">
        <v>0.3</v>
      </c>
      <c r="M3050" t="s">
        <v>127</v>
      </c>
      <c r="N3050" t="s">
        <v>362</v>
      </c>
    </row>
    <row r="3051" spans="1:14">
      <c r="A3051" t="s">
        <v>29</v>
      </c>
      <c r="B3051">
        <v>1185732</v>
      </c>
      <c r="C3051" s="2">
        <v>44289</v>
      </c>
      <c r="D3051" t="s">
        <v>140</v>
      </c>
      <c r="E3051" t="s">
        <v>256</v>
      </c>
      <c r="F3051" t="s">
        <v>265</v>
      </c>
      <c r="G3051" t="s">
        <v>148</v>
      </c>
      <c r="H3051" s="3">
        <v>0.14999999999999997</v>
      </c>
      <c r="I3051">
        <v>750</v>
      </c>
      <c r="J3051" s="4">
        <v>112.49999999999997</v>
      </c>
      <c r="K3051" s="4">
        <v>33.749999999999993</v>
      </c>
      <c r="L3051" s="5">
        <v>0.3</v>
      </c>
      <c r="M3051" t="s">
        <v>127</v>
      </c>
      <c r="N3051" t="s">
        <v>362</v>
      </c>
    </row>
    <row r="3052" spans="1:14">
      <c r="A3052" t="s">
        <v>29</v>
      </c>
      <c r="B3052">
        <v>1185732</v>
      </c>
      <c r="C3052" s="2">
        <v>44289</v>
      </c>
      <c r="D3052" t="s">
        <v>140</v>
      </c>
      <c r="E3052" t="s">
        <v>256</v>
      </c>
      <c r="F3052" t="s">
        <v>265</v>
      </c>
      <c r="G3052" t="s">
        <v>147</v>
      </c>
      <c r="H3052" s="3">
        <v>0.6</v>
      </c>
      <c r="I3052">
        <v>1000</v>
      </c>
      <c r="J3052" s="4">
        <v>600</v>
      </c>
      <c r="K3052" s="4">
        <v>300</v>
      </c>
      <c r="L3052" s="5">
        <v>0.5</v>
      </c>
      <c r="M3052" t="s">
        <v>127</v>
      </c>
      <c r="N3052" t="s">
        <v>362</v>
      </c>
    </row>
    <row r="3053" spans="1:14">
      <c r="A3053" t="s">
        <v>29</v>
      </c>
      <c r="B3053">
        <v>1185732</v>
      </c>
      <c r="C3053" s="2">
        <v>44289</v>
      </c>
      <c r="D3053" t="s">
        <v>140</v>
      </c>
      <c r="E3053" t="s">
        <v>256</v>
      </c>
      <c r="F3053" t="s">
        <v>265</v>
      </c>
      <c r="G3053" t="s">
        <v>144</v>
      </c>
      <c r="H3053" s="3">
        <v>0.5</v>
      </c>
      <c r="I3053">
        <v>2250</v>
      </c>
      <c r="J3053" s="4">
        <v>1125</v>
      </c>
      <c r="K3053" s="4">
        <v>450</v>
      </c>
      <c r="L3053" s="5">
        <v>0.4</v>
      </c>
      <c r="M3053" t="s">
        <v>127</v>
      </c>
      <c r="N3053" t="s">
        <v>362</v>
      </c>
    </row>
    <row r="3054" spans="1:14">
      <c r="A3054" t="s">
        <v>29</v>
      </c>
      <c r="B3054">
        <v>1185732</v>
      </c>
      <c r="C3054" s="2">
        <v>44320</v>
      </c>
      <c r="D3054" t="s">
        <v>140</v>
      </c>
      <c r="E3054" t="s">
        <v>256</v>
      </c>
      <c r="F3054" t="s">
        <v>265</v>
      </c>
      <c r="G3054" t="s">
        <v>27</v>
      </c>
      <c r="H3054" s="3">
        <v>0.6</v>
      </c>
      <c r="I3054">
        <v>4950</v>
      </c>
      <c r="J3054" s="4">
        <v>2970</v>
      </c>
      <c r="K3054" s="4">
        <v>891</v>
      </c>
      <c r="L3054" s="5">
        <v>0.3</v>
      </c>
      <c r="M3054" t="s">
        <v>128</v>
      </c>
      <c r="N3054" t="s">
        <v>362</v>
      </c>
    </row>
    <row r="3055" spans="1:14">
      <c r="A3055" t="s">
        <v>29</v>
      </c>
      <c r="B3055">
        <v>1185732</v>
      </c>
      <c r="C3055" s="2">
        <v>44320</v>
      </c>
      <c r="D3055" t="s">
        <v>140</v>
      </c>
      <c r="E3055" t="s">
        <v>256</v>
      </c>
      <c r="F3055" t="s">
        <v>265</v>
      </c>
      <c r="G3055" t="s">
        <v>145</v>
      </c>
      <c r="H3055" s="3">
        <v>0.4</v>
      </c>
      <c r="I3055">
        <v>2000</v>
      </c>
      <c r="J3055" s="4">
        <v>800</v>
      </c>
      <c r="K3055" s="4">
        <v>280</v>
      </c>
      <c r="L3055" s="5">
        <v>0.35</v>
      </c>
      <c r="M3055" t="s">
        <v>128</v>
      </c>
      <c r="N3055" t="s">
        <v>362</v>
      </c>
    </row>
    <row r="3056" spans="1:14">
      <c r="A3056" t="s">
        <v>29</v>
      </c>
      <c r="B3056">
        <v>1185732</v>
      </c>
      <c r="C3056" s="2">
        <v>44320</v>
      </c>
      <c r="D3056" t="s">
        <v>140</v>
      </c>
      <c r="E3056" t="s">
        <v>256</v>
      </c>
      <c r="F3056" t="s">
        <v>265</v>
      </c>
      <c r="G3056" t="s">
        <v>146</v>
      </c>
      <c r="H3056" s="3">
        <v>0.35000000000000003</v>
      </c>
      <c r="I3056">
        <v>1750</v>
      </c>
      <c r="J3056" s="4">
        <v>612.50000000000011</v>
      </c>
      <c r="K3056" s="4">
        <v>183.75000000000003</v>
      </c>
      <c r="L3056" s="5">
        <v>0.3</v>
      </c>
      <c r="M3056" t="s">
        <v>128</v>
      </c>
      <c r="N3056" t="s">
        <v>362</v>
      </c>
    </row>
    <row r="3057" spans="1:14">
      <c r="A3057" t="s">
        <v>29</v>
      </c>
      <c r="B3057">
        <v>1185732</v>
      </c>
      <c r="C3057" s="2">
        <v>44320</v>
      </c>
      <c r="D3057" t="s">
        <v>140</v>
      </c>
      <c r="E3057" t="s">
        <v>256</v>
      </c>
      <c r="F3057" t="s">
        <v>265</v>
      </c>
      <c r="G3057" t="s">
        <v>148</v>
      </c>
      <c r="H3057" s="3">
        <v>0.35000000000000003</v>
      </c>
      <c r="I3057">
        <v>1500</v>
      </c>
      <c r="J3057" s="4">
        <v>525</v>
      </c>
      <c r="K3057" s="4">
        <v>157.5</v>
      </c>
      <c r="L3057" s="5">
        <v>0.3</v>
      </c>
      <c r="M3057" t="s">
        <v>128</v>
      </c>
      <c r="N3057" t="s">
        <v>362</v>
      </c>
    </row>
    <row r="3058" spans="1:14">
      <c r="A3058" t="s">
        <v>29</v>
      </c>
      <c r="B3058">
        <v>1185732</v>
      </c>
      <c r="C3058" s="2">
        <v>44320</v>
      </c>
      <c r="D3058" t="s">
        <v>140</v>
      </c>
      <c r="E3058" t="s">
        <v>256</v>
      </c>
      <c r="F3058" t="s">
        <v>265</v>
      </c>
      <c r="G3058" t="s">
        <v>147</v>
      </c>
      <c r="H3058" s="3">
        <v>0.44999999999999996</v>
      </c>
      <c r="I3058">
        <v>1750</v>
      </c>
      <c r="J3058" s="4">
        <v>787.49999999999989</v>
      </c>
      <c r="K3058" s="4">
        <v>393.74999999999994</v>
      </c>
      <c r="L3058" s="5">
        <v>0.5</v>
      </c>
      <c r="M3058" t="s">
        <v>128</v>
      </c>
      <c r="N3058" t="s">
        <v>362</v>
      </c>
    </row>
    <row r="3059" spans="1:14">
      <c r="A3059" t="s">
        <v>29</v>
      </c>
      <c r="B3059">
        <v>1185732</v>
      </c>
      <c r="C3059" s="2">
        <v>44320</v>
      </c>
      <c r="D3059" t="s">
        <v>140</v>
      </c>
      <c r="E3059" t="s">
        <v>256</v>
      </c>
      <c r="F3059" t="s">
        <v>265</v>
      </c>
      <c r="G3059" t="s">
        <v>144</v>
      </c>
      <c r="H3059" s="3">
        <v>0.49999999999999994</v>
      </c>
      <c r="I3059">
        <v>3000</v>
      </c>
      <c r="J3059" s="4">
        <v>1499.9999999999998</v>
      </c>
      <c r="K3059" s="4">
        <v>599.99999999999989</v>
      </c>
      <c r="L3059" s="5">
        <v>0.4</v>
      </c>
      <c r="M3059" t="s">
        <v>128</v>
      </c>
      <c r="N3059" t="s">
        <v>362</v>
      </c>
    </row>
    <row r="3060" spans="1:14">
      <c r="A3060" t="s">
        <v>29</v>
      </c>
      <c r="B3060">
        <v>1185732</v>
      </c>
      <c r="C3060" s="2">
        <v>44350</v>
      </c>
      <c r="D3060" t="s">
        <v>140</v>
      </c>
      <c r="E3060" t="s">
        <v>256</v>
      </c>
      <c r="F3060" t="s">
        <v>265</v>
      </c>
      <c r="G3060" t="s">
        <v>27</v>
      </c>
      <c r="H3060" s="3">
        <v>0.35000000000000003</v>
      </c>
      <c r="I3060">
        <v>5500</v>
      </c>
      <c r="J3060" s="4">
        <v>1925.0000000000002</v>
      </c>
      <c r="K3060" s="4">
        <v>577.5</v>
      </c>
      <c r="L3060" s="5">
        <v>0.3</v>
      </c>
      <c r="M3060" t="s">
        <v>129</v>
      </c>
      <c r="N3060" t="s">
        <v>362</v>
      </c>
    </row>
    <row r="3061" spans="1:14">
      <c r="A3061" t="s">
        <v>29</v>
      </c>
      <c r="B3061">
        <v>1185732</v>
      </c>
      <c r="C3061" s="2">
        <v>44350</v>
      </c>
      <c r="D3061" t="s">
        <v>140</v>
      </c>
      <c r="E3061" t="s">
        <v>256</v>
      </c>
      <c r="F3061" t="s">
        <v>265</v>
      </c>
      <c r="G3061" t="s">
        <v>145</v>
      </c>
      <c r="H3061" s="3">
        <v>0.3000000000000001</v>
      </c>
      <c r="I3061">
        <v>3000</v>
      </c>
      <c r="J3061" s="4">
        <v>900.00000000000034</v>
      </c>
      <c r="K3061" s="4">
        <v>315.00000000000011</v>
      </c>
      <c r="L3061" s="5">
        <v>0.35</v>
      </c>
      <c r="M3061" t="s">
        <v>129</v>
      </c>
      <c r="N3061" t="s">
        <v>362</v>
      </c>
    </row>
    <row r="3062" spans="1:14">
      <c r="A3062" t="s">
        <v>29</v>
      </c>
      <c r="B3062">
        <v>1185732</v>
      </c>
      <c r="C3062" s="2">
        <v>44350</v>
      </c>
      <c r="D3062" t="s">
        <v>140</v>
      </c>
      <c r="E3062" t="s">
        <v>256</v>
      </c>
      <c r="F3062" t="s">
        <v>265</v>
      </c>
      <c r="G3062" t="s">
        <v>146</v>
      </c>
      <c r="H3062" s="3">
        <v>0.25000000000000006</v>
      </c>
      <c r="I3062">
        <v>2000</v>
      </c>
      <c r="J3062" s="4">
        <v>500.00000000000011</v>
      </c>
      <c r="K3062" s="4">
        <v>150.00000000000003</v>
      </c>
      <c r="L3062" s="5">
        <v>0.3</v>
      </c>
      <c r="M3062" t="s">
        <v>129</v>
      </c>
      <c r="N3062" t="s">
        <v>362</v>
      </c>
    </row>
    <row r="3063" spans="1:14">
      <c r="A3063" t="s">
        <v>29</v>
      </c>
      <c r="B3063">
        <v>1185732</v>
      </c>
      <c r="C3063" s="2">
        <v>44350</v>
      </c>
      <c r="D3063" t="s">
        <v>140</v>
      </c>
      <c r="E3063" t="s">
        <v>256</v>
      </c>
      <c r="F3063" t="s">
        <v>265</v>
      </c>
      <c r="G3063" t="s">
        <v>148</v>
      </c>
      <c r="H3063" s="3">
        <v>0.25000000000000006</v>
      </c>
      <c r="I3063">
        <v>1750</v>
      </c>
      <c r="J3063" s="4">
        <v>437.50000000000011</v>
      </c>
      <c r="K3063" s="4">
        <v>131.25000000000003</v>
      </c>
      <c r="L3063" s="5">
        <v>0.3</v>
      </c>
      <c r="M3063" t="s">
        <v>129</v>
      </c>
      <c r="N3063" t="s">
        <v>362</v>
      </c>
    </row>
    <row r="3064" spans="1:14">
      <c r="A3064" t="s">
        <v>29</v>
      </c>
      <c r="B3064">
        <v>1185732</v>
      </c>
      <c r="C3064" s="2">
        <v>44350</v>
      </c>
      <c r="D3064" t="s">
        <v>140</v>
      </c>
      <c r="E3064" t="s">
        <v>256</v>
      </c>
      <c r="F3064" t="s">
        <v>265</v>
      </c>
      <c r="G3064" t="s">
        <v>147</v>
      </c>
      <c r="H3064" s="3">
        <v>0.35000000000000003</v>
      </c>
      <c r="I3064">
        <v>1750</v>
      </c>
      <c r="J3064" s="4">
        <v>612.50000000000011</v>
      </c>
      <c r="K3064" s="4">
        <v>306.25000000000006</v>
      </c>
      <c r="L3064" s="5">
        <v>0.5</v>
      </c>
      <c r="M3064" t="s">
        <v>129</v>
      </c>
      <c r="N3064" t="s">
        <v>362</v>
      </c>
    </row>
    <row r="3065" spans="1:14">
      <c r="A3065" t="s">
        <v>29</v>
      </c>
      <c r="B3065">
        <v>1185732</v>
      </c>
      <c r="C3065" s="2">
        <v>44350</v>
      </c>
      <c r="D3065" t="s">
        <v>140</v>
      </c>
      <c r="E3065" t="s">
        <v>256</v>
      </c>
      <c r="F3065" t="s">
        <v>265</v>
      </c>
      <c r="G3065" t="s">
        <v>144</v>
      </c>
      <c r="H3065" s="3">
        <v>0.55000000000000004</v>
      </c>
      <c r="I3065">
        <v>3250</v>
      </c>
      <c r="J3065" s="4">
        <v>1787.5000000000002</v>
      </c>
      <c r="K3065" s="4">
        <v>715.00000000000011</v>
      </c>
      <c r="L3065" s="5">
        <v>0.4</v>
      </c>
      <c r="M3065" t="s">
        <v>129</v>
      </c>
      <c r="N3065" t="s">
        <v>362</v>
      </c>
    </row>
    <row r="3066" spans="1:14">
      <c r="A3066" t="s">
        <v>29</v>
      </c>
      <c r="B3066">
        <v>1185732</v>
      </c>
      <c r="C3066" s="2">
        <v>44379</v>
      </c>
      <c r="D3066" t="s">
        <v>140</v>
      </c>
      <c r="E3066" t="s">
        <v>256</v>
      </c>
      <c r="F3066" t="s">
        <v>265</v>
      </c>
      <c r="G3066" t="s">
        <v>27</v>
      </c>
      <c r="H3066" s="3">
        <v>0.5</v>
      </c>
      <c r="I3066">
        <v>5500</v>
      </c>
      <c r="J3066" s="4">
        <v>2750</v>
      </c>
      <c r="K3066" s="4">
        <v>825</v>
      </c>
      <c r="L3066" s="5">
        <v>0.3</v>
      </c>
      <c r="M3066" t="s">
        <v>130</v>
      </c>
      <c r="N3066" t="s">
        <v>363</v>
      </c>
    </row>
    <row r="3067" spans="1:14">
      <c r="A3067" t="s">
        <v>29</v>
      </c>
      <c r="B3067">
        <v>1185732</v>
      </c>
      <c r="C3067" s="2">
        <v>44379</v>
      </c>
      <c r="D3067" t="s">
        <v>140</v>
      </c>
      <c r="E3067" t="s">
        <v>256</v>
      </c>
      <c r="F3067" t="s">
        <v>265</v>
      </c>
      <c r="G3067" t="s">
        <v>145</v>
      </c>
      <c r="H3067" s="3">
        <v>0.45000000000000007</v>
      </c>
      <c r="I3067">
        <v>3000</v>
      </c>
      <c r="J3067" s="4">
        <v>1350.0000000000002</v>
      </c>
      <c r="K3067" s="4">
        <v>472.50000000000006</v>
      </c>
      <c r="L3067" s="5">
        <v>0.35</v>
      </c>
      <c r="M3067" t="s">
        <v>130</v>
      </c>
      <c r="N3067" t="s">
        <v>363</v>
      </c>
    </row>
    <row r="3068" spans="1:14">
      <c r="A3068" t="s">
        <v>29</v>
      </c>
      <c r="B3068">
        <v>1185732</v>
      </c>
      <c r="C3068" s="2">
        <v>44379</v>
      </c>
      <c r="D3068" t="s">
        <v>140</v>
      </c>
      <c r="E3068" t="s">
        <v>256</v>
      </c>
      <c r="F3068" t="s">
        <v>265</v>
      </c>
      <c r="G3068" t="s">
        <v>146</v>
      </c>
      <c r="H3068" s="3">
        <v>0.4</v>
      </c>
      <c r="I3068">
        <v>2250</v>
      </c>
      <c r="J3068" s="4">
        <v>900</v>
      </c>
      <c r="K3068" s="4">
        <v>270</v>
      </c>
      <c r="L3068" s="5">
        <v>0.3</v>
      </c>
      <c r="M3068" t="s">
        <v>130</v>
      </c>
      <c r="N3068" t="s">
        <v>363</v>
      </c>
    </row>
    <row r="3069" spans="1:14">
      <c r="A3069" t="s">
        <v>29</v>
      </c>
      <c r="B3069">
        <v>1185732</v>
      </c>
      <c r="C3069" s="2">
        <v>44379</v>
      </c>
      <c r="D3069" t="s">
        <v>140</v>
      </c>
      <c r="E3069" t="s">
        <v>256</v>
      </c>
      <c r="F3069" t="s">
        <v>265</v>
      </c>
      <c r="G3069" t="s">
        <v>148</v>
      </c>
      <c r="H3069" s="3">
        <v>0.4</v>
      </c>
      <c r="I3069">
        <v>1750</v>
      </c>
      <c r="J3069" s="4">
        <v>700</v>
      </c>
      <c r="K3069" s="4">
        <v>210</v>
      </c>
      <c r="L3069" s="5">
        <v>0.3</v>
      </c>
      <c r="M3069" t="s">
        <v>130</v>
      </c>
      <c r="N3069" t="s">
        <v>363</v>
      </c>
    </row>
    <row r="3070" spans="1:14">
      <c r="A3070" t="s">
        <v>29</v>
      </c>
      <c r="B3070">
        <v>1185732</v>
      </c>
      <c r="C3070" s="2">
        <v>44379</v>
      </c>
      <c r="D3070" t="s">
        <v>140</v>
      </c>
      <c r="E3070" t="s">
        <v>256</v>
      </c>
      <c r="F3070" t="s">
        <v>265</v>
      </c>
      <c r="G3070" t="s">
        <v>147</v>
      </c>
      <c r="H3070" s="3">
        <v>0.5</v>
      </c>
      <c r="I3070">
        <v>2000</v>
      </c>
      <c r="J3070" s="4">
        <v>1000</v>
      </c>
      <c r="K3070" s="4">
        <v>500</v>
      </c>
      <c r="L3070" s="5">
        <v>0.5</v>
      </c>
      <c r="M3070" t="s">
        <v>130</v>
      </c>
      <c r="N3070" t="s">
        <v>363</v>
      </c>
    </row>
    <row r="3071" spans="1:14">
      <c r="A3071" t="s">
        <v>29</v>
      </c>
      <c r="B3071">
        <v>1185732</v>
      </c>
      <c r="C3071" s="2">
        <v>44379</v>
      </c>
      <c r="D3071" t="s">
        <v>140</v>
      </c>
      <c r="E3071" t="s">
        <v>256</v>
      </c>
      <c r="F3071" t="s">
        <v>265</v>
      </c>
      <c r="G3071" t="s">
        <v>144</v>
      </c>
      <c r="H3071" s="3">
        <v>0.55000000000000004</v>
      </c>
      <c r="I3071">
        <v>3750</v>
      </c>
      <c r="J3071" s="4">
        <v>2062.5</v>
      </c>
      <c r="K3071" s="4">
        <v>825</v>
      </c>
      <c r="L3071" s="5">
        <v>0.4</v>
      </c>
      <c r="M3071" t="s">
        <v>130</v>
      </c>
      <c r="N3071" t="s">
        <v>363</v>
      </c>
    </row>
    <row r="3072" spans="1:14">
      <c r="A3072" t="s">
        <v>29</v>
      </c>
      <c r="B3072">
        <v>1185732</v>
      </c>
      <c r="C3072" s="2">
        <v>44411</v>
      </c>
      <c r="D3072" t="s">
        <v>140</v>
      </c>
      <c r="E3072" t="s">
        <v>256</v>
      </c>
      <c r="F3072" t="s">
        <v>265</v>
      </c>
      <c r="G3072" t="s">
        <v>27</v>
      </c>
      <c r="H3072" s="3">
        <v>0.5</v>
      </c>
      <c r="I3072">
        <v>5250</v>
      </c>
      <c r="J3072" s="4">
        <v>2625</v>
      </c>
      <c r="K3072" s="4">
        <v>787.5</v>
      </c>
      <c r="L3072" s="5">
        <v>0.3</v>
      </c>
      <c r="M3072" t="s">
        <v>131</v>
      </c>
      <c r="N3072" t="s">
        <v>363</v>
      </c>
    </row>
    <row r="3073" spans="1:14">
      <c r="A3073" t="s">
        <v>29</v>
      </c>
      <c r="B3073">
        <v>1185732</v>
      </c>
      <c r="C3073" s="2">
        <v>44411</v>
      </c>
      <c r="D3073" t="s">
        <v>140</v>
      </c>
      <c r="E3073" t="s">
        <v>256</v>
      </c>
      <c r="F3073" t="s">
        <v>265</v>
      </c>
      <c r="G3073" t="s">
        <v>145</v>
      </c>
      <c r="H3073" s="3">
        <v>0.45000000000000007</v>
      </c>
      <c r="I3073">
        <v>3000</v>
      </c>
      <c r="J3073" s="4">
        <v>1350.0000000000002</v>
      </c>
      <c r="K3073" s="4">
        <v>472.50000000000006</v>
      </c>
      <c r="L3073" s="5">
        <v>0.35</v>
      </c>
      <c r="M3073" t="s">
        <v>131</v>
      </c>
      <c r="N3073" t="s">
        <v>363</v>
      </c>
    </row>
    <row r="3074" spans="1:14">
      <c r="A3074" t="s">
        <v>29</v>
      </c>
      <c r="B3074">
        <v>1185732</v>
      </c>
      <c r="C3074" s="2">
        <v>44411</v>
      </c>
      <c r="D3074" t="s">
        <v>140</v>
      </c>
      <c r="E3074" t="s">
        <v>256</v>
      </c>
      <c r="F3074" t="s">
        <v>265</v>
      </c>
      <c r="G3074" t="s">
        <v>146</v>
      </c>
      <c r="H3074" s="3">
        <v>0.4</v>
      </c>
      <c r="I3074">
        <v>2250</v>
      </c>
      <c r="J3074" s="4">
        <v>900</v>
      </c>
      <c r="K3074" s="4">
        <v>270</v>
      </c>
      <c r="L3074" s="5">
        <v>0.3</v>
      </c>
      <c r="M3074" t="s">
        <v>131</v>
      </c>
      <c r="N3074" t="s">
        <v>363</v>
      </c>
    </row>
    <row r="3075" spans="1:14">
      <c r="A3075" t="s">
        <v>29</v>
      </c>
      <c r="B3075">
        <v>1185732</v>
      </c>
      <c r="C3075" s="2">
        <v>44411</v>
      </c>
      <c r="D3075" t="s">
        <v>140</v>
      </c>
      <c r="E3075" t="s">
        <v>256</v>
      </c>
      <c r="F3075" t="s">
        <v>265</v>
      </c>
      <c r="G3075" t="s">
        <v>148</v>
      </c>
      <c r="H3075" s="3">
        <v>0.4</v>
      </c>
      <c r="I3075">
        <v>2000</v>
      </c>
      <c r="J3075" s="4">
        <v>800</v>
      </c>
      <c r="K3075" s="4">
        <v>240</v>
      </c>
      <c r="L3075" s="5">
        <v>0.3</v>
      </c>
      <c r="M3075" t="s">
        <v>131</v>
      </c>
      <c r="N3075" t="s">
        <v>363</v>
      </c>
    </row>
    <row r="3076" spans="1:14">
      <c r="A3076" t="s">
        <v>29</v>
      </c>
      <c r="B3076">
        <v>1185732</v>
      </c>
      <c r="C3076" s="2">
        <v>44411</v>
      </c>
      <c r="D3076" t="s">
        <v>140</v>
      </c>
      <c r="E3076" t="s">
        <v>256</v>
      </c>
      <c r="F3076" t="s">
        <v>265</v>
      </c>
      <c r="G3076" t="s">
        <v>147</v>
      </c>
      <c r="H3076" s="3">
        <v>0.5</v>
      </c>
      <c r="I3076">
        <v>1750</v>
      </c>
      <c r="J3076" s="4">
        <v>875</v>
      </c>
      <c r="K3076" s="4">
        <v>437.5</v>
      </c>
      <c r="L3076" s="5">
        <v>0.5</v>
      </c>
      <c r="M3076" t="s">
        <v>131</v>
      </c>
      <c r="N3076" t="s">
        <v>363</v>
      </c>
    </row>
    <row r="3077" spans="1:14">
      <c r="A3077" t="s">
        <v>29</v>
      </c>
      <c r="B3077">
        <v>1185732</v>
      </c>
      <c r="C3077" s="2">
        <v>44411</v>
      </c>
      <c r="D3077" t="s">
        <v>140</v>
      </c>
      <c r="E3077" t="s">
        <v>256</v>
      </c>
      <c r="F3077" t="s">
        <v>265</v>
      </c>
      <c r="G3077" t="s">
        <v>144</v>
      </c>
      <c r="H3077" s="3">
        <v>0.55000000000000004</v>
      </c>
      <c r="I3077">
        <v>3500</v>
      </c>
      <c r="J3077" s="4">
        <v>1925.0000000000002</v>
      </c>
      <c r="K3077" s="4">
        <v>770.00000000000011</v>
      </c>
      <c r="L3077" s="5">
        <v>0.4</v>
      </c>
      <c r="M3077" t="s">
        <v>131</v>
      </c>
      <c r="N3077" t="s">
        <v>363</v>
      </c>
    </row>
    <row r="3078" spans="1:14">
      <c r="A3078" t="s">
        <v>29</v>
      </c>
      <c r="B3078">
        <v>1185732</v>
      </c>
      <c r="C3078" s="2">
        <v>44443</v>
      </c>
      <c r="D3078" t="s">
        <v>140</v>
      </c>
      <c r="E3078" t="s">
        <v>256</v>
      </c>
      <c r="F3078" t="s">
        <v>265</v>
      </c>
      <c r="G3078" t="s">
        <v>27</v>
      </c>
      <c r="H3078" s="3">
        <v>0.35000000000000003</v>
      </c>
      <c r="I3078">
        <v>4750</v>
      </c>
      <c r="J3078" s="4">
        <v>1662.5000000000002</v>
      </c>
      <c r="K3078" s="4">
        <v>498.75000000000006</v>
      </c>
      <c r="L3078" s="5">
        <v>0.3</v>
      </c>
      <c r="M3078" t="s">
        <v>132</v>
      </c>
      <c r="N3078" t="s">
        <v>363</v>
      </c>
    </row>
    <row r="3079" spans="1:14">
      <c r="A3079" t="s">
        <v>29</v>
      </c>
      <c r="B3079">
        <v>1185732</v>
      </c>
      <c r="C3079" s="2">
        <v>44443</v>
      </c>
      <c r="D3079" t="s">
        <v>140</v>
      </c>
      <c r="E3079" t="s">
        <v>256</v>
      </c>
      <c r="F3079" t="s">
        <v>265</v>
      </c>
      <c r="G3079" t="s">
        <v>145</v>
      </c>
      <c r="H3079" s="3">
        <v>0.3000000000000001</v>
      </c>
      <c r="I3079">
        <v>2500</v>
      </c>
      <c r="J3079" s="4">
        <v>750.00000000000023</v>
      </c>
      <c r="K3079" s="4">
        <v>262.50000000000006</v>
      </c>
      <c r="L3079" s="5">
        <v>0.35</v>
      </c>
      <c r="M3079" t="s">
        <v>132</v>
      </c>
      <c r="N3079" t="s">
        <v>363</v>
      </c>
    </row>
    <row r="3080" spans="1:14">
      <c r="A3080" t="s">
        <v>29</v>
      </c>
      <c r="B3080">
        <v>1185732</v>
      </c>
      <c r="C3080" s="2">
        <v>44443</v>
      </c>
      <c r="D3080" t="s">
        <v>140</v>
      </c>
      <c r="E3080" t="s">
        <v>256</v>
      </c>
      <c r="F3080" t="s">
        <v>265</v>
      </c>
      <c r="G3080" t="s">
        <v>146</v>
      </c>
      <c r="H3080" s="3">
        <v>0.25000000000000006</v>
      </c>
      <c r="I3080">
        <v>1500</v>
      </c>
      <c r="J3080" s="4">
        <v>375.00000000000006</v>
      </c>
      <c r="K3080" s="4">
        <v>112.50000000000001</v>
      </c>
      <c r="L3080" s="5">
        <v>0.3</v>
      </c>
      <c r="M3080" t="s">
        <v>132</v>
      </c>
      <c r="N3080" t="s">
        <v>363</v>
      </c>
    </row>
    <row r="3081" spans="1:14">
      <c r="A3081" t="s">
        <v>29</v>
      </c>
      <c r="B3081">
        <v>1185732</v>
      </c>
      <c r="C3081" s="2">
        <v>44443</v>
      </c>
      <c r="D3081" t="s">
        <v>140</v>
      </c>
      <c r="E3081" t="s">
        <v>256</v>
      </c>
      <c r="F3081" t="s">
        <v>265</v>
      </c>
      <c r="G3081" t="s">
        <v>148</v>
      </c>
      <c r="H3081" s="3">
        <v>0.25000000000000006</v>
      </c>
      <c r="I3081">
        <v>1250</v>
      </c>
      <c r="J3081" s="4">
        <v>312.50000000000006</v>
      </c>
      <c r="K3081" s="4">
        <v>93.750000000000014</v>
      </c>
      <c r="L3081" s="5">
        <v>0.3</v>
      </c>
      <c r="M3081" t="s">
        <v>132</v>
      </c>
      <c r="N3081" t="s">
        <v>363</v>
      </c>
    </row>
    <row r="3082" spans="1:14">
      <c r="A3082" t="s">
        <v>29</v>
      </c>
      <c r="B3082">
        <v>1185732</v>
      </c>
      <c r="C3082" s="2">
        <v>44443</v>
      </c>
      <c r="D3082" t="s">
        <v>140</v>
      </c>
      <c r="E3082" t="s">
        <v>256</v>
      </c>
      <c r="F3082" t="s">
        <v>265</v>
      </c>
      <c r="G3082" t="s">
        <v>147</v>
      </c>
      <c r="H3082" s="3">
        <v>0.35000000000000003</v>
      </c>
      <c r="I3082">
        <v>1250</v>
      </c>
      <c r="J3082" s="4">
        <v>437.50000000000006</v>
      </c>
      <c r="K3082" s="4">
        <v>218.75000000000003</v>
      </c>
      <c r="L3082" s="5">
        <v>0.5</v>
      </c>
      <c r="M3082" t="s">
        <v>132</v>
      </c>
      <c r="N3082" t="s">
        <v>363</v>
      </c>
    </row>
    <row r="3083" spans="1:14">
      <c r="A3083" t="s">
        <v>29</v>
      </c>
      <c r="B3083">
        <v>1185732</v>
      </c>
      <c r="C3083" s="2">
        <v>44443</v>
      </c>
      <c r="D3083" t="s">
        <v>140</v>
      </c>
      <c r="E3083" t="s">
        <v>256</v>
      </c>
      <c r="F3083" t="s">
        <v>265</v>
      </c>
      <c r="G3083" t="s">
        <v>144</v>
      </c>
      <c r="H3083" s="3">
        <v>0.4</v>
      </c>
      <c r="I3083">
        <v>2000</v>
      </c>
      <c r="J3083" s="4">
        <v>800</v>
      </c>
      <c r="K3083" s="4">
        <v>320</v>
      </c>
      <c r="L3083" s="5">
        <v>0.4</v>
      </c>
      <c r="M3083" t="s">
        <v>132</v>
      </c>
      <c r="N3083" t="s">
        <v>363</v>
      </c>
    </row>
    <row r="3084" spans="1:14">
      <c r="A3084" t="s">
        <v>29</v>
      </c>
      <c r="B3084">
        <v>1185732</v>
      </c>
      <c r="C3084" s="2">
        <v>44472</v>
      </c>
      <c r="D3084" t="s">
        <v>140</v>
      </c>
      <c r="E3084" t="s">
        <v>256</v>
      </c>
      <c r="F3084" t="s">
        <v>265</v>
      </c>
      <c r="G3084" t="s">
        <v>27</v>
      </c>
      <c r="H3084" s="3">
        <v>0.44999999999999996</v>
      </c>
      <c r="I3084">
        <v>3750</v>
      </c>
      <c r="J3084" s="4">
        <v>1687.4999999999998</v>
      </c>
      <c r="K3084" s="4">
        <v>506.24999999999989</v>
      </c>
      <c r="L3084" s="5">
        <v>0.3</v>
      </c>
      <c r="M3084" t="s">
        <v>133</v>
      </c>
      <c r="N3084" t="s">
        <v>364</v>
      </c>
    </row>
    <row r="3085" spans="1:14">
      <c r="A3085" t="s">
        <v>29</v>
      </c>
      <c r="B3085">
        <v>1185732</v>
      </c>
      <c r="C3085" s="2">
        <v>44472</v>
      </c>
      <c r="D3085" t="s">
        <v>140</v>
      </c>
      <c r="E3085" t="s">
        <v>256</v>
      </c>
      <c r="F3085" t="s">
        <v>265</v>
      </c>
      <c r="G3085" t="s">
        <v>145</v>
      </c>
      <c r="H3085" s="3">
        <v>0.35000000000000003</v>
      </c>
      <c r="I3085">
        <v>2250</v>
      </c>
      <c r="J3085" s="4">
        <v>787.50000000000011</v>
      </c>
      <c r="K3085" s="4">
        <v>275.625</v>
      </c>
      <c r="L3085" s="5">
        <v>0.35</v>
      </c>
      <c r="M3085" t="s">
        <v>133</v>
      </c>
      <c r="N3085" t="s">
        <v>364</v>
      </c>
    </row>
    <row r="3086" spans="1:14">
      <c r="A3086" t="s">
        <v>29</v>
      </c>
      <c r="B3086">
        <v>1185732</v>
      </c>
      <c r="C3086" s="2">
        <v>44472</v>
      </c>
      <c r="D3086" t="s">
        <v>140</v>
      </c>
      <c r="E3086" t="s">
        <v>256</v>
      </c>
      <c r="F3086" t="s">
        <v>265</v>
      </c>
      <c r="G3086" t="s">
        <v>146</v>
      </c>
      <c r="H3086" s="3">
        <v>0.35000000000000003</v>
      </c>
      <c r="I3086">
        <v>1250</v>
      </c>
      <c r="J3086" s="4">
        <v>437.50000000000006</v>
      </c>
      <c r="K3086" s="4">
        <v>131.25</v>
      </c>
      <c r="L3086" s="5">
        <v>0.3</v>
      </c>
      <c r="M3086" t="s">
        <v>133</v>
      </c>
      <c r="N3086" t="s">
        <v>364</v>
      </c>
    </row>
    <row r="3087" spans="1:14">
      <c r="A3087" t="s">
        <v>29</v>
      </c>
      <c r="B3087">
        <v>1185732</v>
      </c>
      <c r="C3087" s="2">
        <v>44472</v>
      </c>
      <c r="D3087" t="s">
        <v>140</v>
      </c>
      <c r="E3087" t="s">
        <v>256</v>
      </c>
      <c r="F3087" t="s">
        <v>265</v>
      </c>
      <c r="G3087" t="s">
        <v>148</v>
      </c>
      <c r="H3087" s="3">
        <v>0.35000000000000003</v>
      </c>
      <c r="I3087">
        <v>1250</v>
      </c>
      <c r="J3087" s="4">
        <v>437.50000000000006</v>
      </c>
      <c r="K3087" s="4">
        <v>131.25</v>
      </c>
      <c r="L3087" s="5">
        <v>0.3</v>
      </c>
      <c r="M3087" t="s">
        <v>133</v>
      </c>
      <c r="N3087" t="s">
        <v>364</v>
      </c>
    </row>
    <row r="3088" spans="1:14">
      <c r="A3088" t="s">
        <v>29</v>
      </c>
      <c r="B3088">
        <v>1185732</v>
      </c>
      <c r="C3088" s="2">
        <v>44472</v>
      </c>
      <c r="D3088" t="s">
        <v>140</v>
      </c>
      <c r="E3088" t="s">
        <v>256</v>
      </c>
      <c r="F3088" t="s">
        <v>265</v>
      </c>
      <c r="G3088" t="s">
        <v>147</v>
      </c>
      <c r="H3088" s="3">
        <v>0.44999999999999996</v>
      </c>
      <c r="I3088">
        <v>1250</v>
      </c>
      <c r="J3088" s="4">
        <v>562.5</v>
      </c>
      <c r="K3088" s="4">
        <v>281.25</v>
      </c>
      <c r="L3088" s="5">
        <v>0.5</v>
      </c>
      <c r="M3088" t="s">
        <v>133</v>
      </c>
      <c r="N3088" t="s">
        <v>364</v>
      </c>
    </row>
    <row r="3089" spans="1:14">
      <c r="A3089" t="s">
        <v>29</v>
      </c>
      <c r="B3089">
        <v>1185732</v>
      </c>
      <c r="C3089" s="2">
        <v>44472</v>
      </c>
      <c r="D3089" t="s">
        <v>140</v>
      </c>
      <c r="E3089" t="s">
        <v>256</v>
      </c>
      <c r="F3089" t="s">
        <v>265</v>
      </c>
      <c r="G3089" t="s">
        <v>144</v>
      </c>
      <c r="H3089" s="3">
        <v>0.49999999999999983</v>
      </c>
      <c r="I3089">
        <v>2500</v>
      </c>
      <c r="J3089" s="4">
        <v>1249.9999999999995</v>
      </c>
      <c r="K3089" s="4">
        <v>499.99999999999983</v>
      </c>
      <c r="L3089" s="5">
        <v>0.4</v>
      </c>
      <c r="M3089" t="s">
        <v>133</v>
      </c>
      <c r="N3089" t="s">
        <v>364</v>
      </c>
    </row>
    <row r="3090" spans="1:14">
      <c r="A3090" t="s">
        <v>29</v>
      </c>
      <c r="B3090">
        <v>1185732</v>
      </c>
      <c r="C3090" s="2">
        <v>44503</v>
      </c>
      <c r="D3090" t="s">
        <v>140</v>
      </c>
      <c r="E3090" t="s">
        <v>256</v>
      </c>
      <c r="F3090" t="s">
        <v>265</v>
      </c>
      <c r="G3090" t="s">
        <v>27</v>
      </c>
      <c r="H3090" s="3">
        <v>0.44999999999999996</v>
      </c>
      <c r="I3090">
        <v>4000</v>
      </c>
      <c r="J3090" s="4">
        <v>1799.9999999999998</v>
      </c>
      <c r="K3090" s="4">
        <v>539.99999999999989</v>
      </c>
      <c r="L3090" s="5">
        <v>0.3</v>
      </c>
      <c r="M3090" t="s">
        <v>134</v>
      </c>
      <c r="N3090" t="s">
        <v>364</v>
      </c>
    </row>
    <row r="3091" spans="1:14">
      <c r="A3091" t="s">
        <v>29</v>
      </c>
      <c r="B3091">
        <v>1185732</v>
      </c>
      <c r="C3091" s="2">
        <v>44503</v>
      </c>
      <c r="D3091" t="s">
        <v>140</v>
      </c>
      <c r="E3091" t="s">
        <v>256</v>
      </c>
      <c r="F3091" t="s">
        <v>265</v>
      </c>
      <c r="G3091" t="s">
        <v>145</v>
      </c>
      <c r="H3091" s="3">
        <v>0.35000000000000003</v>
      </c>
      <c r="I3091">
        <v>3000</v>
      </c>
      <c r="J3091" s="4">
        <v>1050</v>
      </c>
      <c r="K3091" s="4">
        <v>367.5</v>
      </c>
      <c r="L3091" s="5">
        <v>0.35</v>
      </c>
      <c r="M3091" t="s">
        <v>134</v>
      </c>
      <c r="N3091" t="s">
        <v>364</v>
      </c>
    </row>
    <row r="3092" spans="1:14">
      <c r="A3092" t="s">
        <v>29</v>
      </c>
      <c r="B3092">
        <v>1185732</v>
      </c>
      <c r="C3092" s="2">
        <v>44503</v>
      </c>
      <c r="D3092" t="s">
        <v>140</v>
      </c>
      <c r="E3092" t="s">
        <v>256</v>
      </c>
      <c r="F3092" t="s">
        <v>265</v>
      </c>
      <c r="G3092" t="s">
        <v>146</v>
      </c>
      <c r="H3092" s="3">
        <v>0.35000000000000003</v>
      </c>
      <c r="I3092">
        <v>2450</v>
      </c>
      <c r="J3092" s="4">
        <v>857.50000000000011</v>
      </c>
      <c r="K3092" s="4">
        <v>257.25</v>
      </c>
      <c r="L3092" s="5">
        <v>0.3</v>
      </c>
      <c r="M3092" t="s">
        <v>134</v>
      </c>
      <c r="N3092" t="s">
        <v>364</v>
      </c>
    </row>
    <row r="3093" spans="1:14">
      <c r="A3093" t="s">
        <v>29</v>
      </c>
      <c r="B3093">
        <v>1185732</v>
      </c>
      <c r="C3093" s="2">
        <v>44503</v>
      </c>
      <c r="D3093" t="s">
        <v>140</v>
      </c>
      <c r="E3093" t="s">
        <v>256</v>
      </c>
      <c r="F3093" t="s">
        <v>265</v>
      </c>
      <c r="G3093" t="s">
        <v>148</v>
      </c>
      <c r="H3093" s="3">
        <v>0.35000000000000003</v>
      </c>
      <c r="I3093">
        <v>2250</v>
      </c>
      <c r="J3093" s="4">
        <v>787.50000000000011</v>
      </c>
      <c r="K3093" s="4">
        <v>236.25000000000003</v>
      </c>
      <c r="L3093" s="5">
        <v>0.3</v>
      </c>
      <c r="M3093" t="s">
        <v>134</v>
      </c>
      <c r="N3093" t="s">
        <v>364</v>
      </c>
    </row>
    <row r="3094" spans="1:14">
      <c r="A3094" t="s">
        <v>29</v>
      </c>
      <c r="B3094">
        <v>1185732</v>
      </c>
      <c r="C3094" s="2">
        <v>44503</v>
      </c>
      <c r="D3094" t="s">
        <v>140</v>
      </c>
      <c r="E3094" t="s">
        <v>256</v>
      </c>
      <c r="F3094" t="s">
        <v>265</v>
      </c>
      <c r="G3094" t="s">
        <v>147</v>
      </c>
      <c r="H3094" s="3">
        <v>0.6</v>
      </c>
      <c r="I3094">
        <v>2000</v>
      </c>
      <c r="J3094" s="4">
        <v>1200</v>
      </c>
      <c r="K3094" s="4">
        <v>600</v>
      </c>
      <c r="L3094" s="5">
        <v>0.5</v>
      </c>
      <c r="M3094" t="s">
        <v>134</v>
      </c>
      <c r="N3094" t="s">
        <v>364</v>
      </c>
    </row>
    <row r="3095" spans="1:14">
      <c r="A3095" t="s">
        <v>29</v>
      </c>
      <c r="B3095">
        <v>1185732</v>
      </c>
      <c r="C3095" s="2">
        <v>44503</v>
      </c>
      <c r="D3095" t="s">
        <v>140</v>
      </c>
      <c r="E3095" t="s">
        <v>256</v>
      </c>
      <c r="F3095" t="s">
        <v>265</v>
      </c>
      <c r="G3095" t="s">
        <v>144</v>
      </c>
      <c r="H3095" s="3">
        <v>0.64999999999999991</v>
      </c>
      <c r="I3095">
        <v>3000</v>
      </c>
      <c r="J3095" s="4">
        <v>1949.9999999999998</v>
      </c>
      <c r="K3095" s="4">
        <v>780</v>
      </c>
      <c r="L3095" s="5">
        <v>0.4</v>
      </c>
      <c r="M3095" t="s">
        <v>134</v>
      </c>
      <c r="N3095" t="s">
        <v>364</v>
      </c>
    </row>
    <row r="3096" spans="1:14">
      <c r="A3096" t="s">
        <v>29</v>
      </c>
      <c r="B3096">
        <v>1185732</v>
      </c>
      <c r="C3096" s="2">
        <v>44532</v>
      </c>
      <c r="D3096" t="s">
        <v>140</v>
      </c>
      <c r="E3096" t="s">
        <v>256</v>
      </c>
      <c r="F3096" t="s">
        <v>265</v>
      </c>
      <c r="G3096" t="s">
        <v>27</v>
      </c>
      <c r="H3096" s="3">
        <v>0.6</v>
      </c>
      <c r="I3096">
        <v>5500</v>
      </c>
      <c r="J3096" s="4">
        <v>3300</v>
      </c>
      <c r="K3096" s="4">
        <v>990</v>
      </c>
      <c r="L3096" s="5">
        <v>0.3</v>
      </c>
      <c r="M3096" t="s">
        <v>23</v>
      </c>
      <c r="N3096" t="s">
        <v>364</v>
      </c>
    </row>
    <row r="3097" spans="1:14">
      <c r="A3097" t="s">
        <v>29</v>
      </c>
      <c r="B3097">
        <v>1185732</v>
      </c>
      <c r="C3097" s="2">
        <v>44532</v>
      </c>
      <c r="D3097" t="s">
        <v>140</v>
      </c>
      <c r="E3097" t="s">
        <v>256</v>
      </c>
      <c r="F3097" t="s">
        <v>265</v>
      </c>
      <c r="G3097" t="s">
        <v>145</v>
      </c>
      <c r="H3097" s="3">
        <v>0.5</v>
      </c>
      <c r="I3097">
        <v>3500</v>
      </c>
      <c r="J3097" s="4">
        <v>1750</v>
      </c>
      <c r="K3097" s="4">
        <v>612.5</v>
      </c>
      <c r="L3097" s="5">
        <v>0.35</v>
      </c>
      <c r="M3097" t="s">
        <v>23</v>
      </c>
      <c r="N3097" t="s">
        <v>364</v>
      </c>
    </row>
    <row r="3098" spans="1:14">
      <c r="A3098" t="s">
        <v>29</v>
      </c>
      <c r="B3098">
        <v>1185732</v>
      </c>
      <c r="C3098" s="2">
        <v>44532</v>
      </c>
      <c r="D3098" t="s">
        <v>140</v>
      </c>
      <c r="E3098" t="s">
        <v>256</v>
      </c>
      <c r="F3098" t="s">
        <v>265</v>
      </c>
      <c r="G3098" t="s">
        <v>146</v>
      </c>
      <c r="H3098" s="3">
        <v>0.5</v>
      </c>
      <c r="I3098">
        <v>3000</v>
      </c>
      <c r="J3098" s="4">
        <v>1500</v>
      </c>
      <c r="K3098" s="4">
        <v>450</v>
      </c>
      <c r="L3098" s="5">
        <v>0.3</v>
      </c>
      <c r="M3098" t="s">
        <v>23</v>
      </c>
      <c r="N3098" t="s">
        <v>364</v>
      </c>
    </row>
    <row r="3099" spans="1:14">
      <c r="A3099" t="s">
        <v>29</v>
      </c>
      <c r="B3099">
        <v>1185732</v>
      </c>
      <c r="C3099" s="2">
        <v>44532</v>
      </c>
      <c r="D3099" t="s">
        <v>140</v>
      </c>
      <c r="E3099" t="s">
        <v>256</v>
      </c>
      <c r="F3099" t="s">
        <v>265</v>
      </c>
      <c r="G3099" t="s">
        <v>148</v>
      </c>
      <c r="H3099" s="3">
        <v>0.5</v>
      </c>
      <c r="I3099">
        <v>2500</v>
      </c>
      <c r="J3099" s="4">
        <v>1250</v>
      </c>
      <c r="K3099" s="4">
        <v>375</v>
      </c>
      <c r="L3099" s="5">
        <v>0.3</v>
      </c>
      <c r="M3099" t="s">
        <v>23</v>
      </c>
      <c r="N3099" t="s">
        <v>364</v>
      </c>
    </row>
    <row r="3100" spans="1:14">
      <c r="A3100" t="s">
        <v>29</v>
      </c>
      <c r="B3100">
        <v>1185732</v>
      </c>
      <c r="C3100" s="2">
        <v>44532</v>
      </c>
      <c r="D3100" t="s">
        <v>140</v>
      </c>
      <c r="E3100" t="s">
        <v>256</v>
      </c>
      <c r="F3100" t="s">
        <v>265</v>
      </c>
      <c r="G3100" t="s">
        <v>147</v>
      </c>
      <c r="H3100" s="3">
        <v>0.6</v>
      </c>
      <c r="I3100">
        <v>2500</v>
      </c>
      <c r="J3100" s="4">
        <v>1500</v>
      </c>
      <c r="K3100" s="4">
        <v>750</v>
      </c>
      <c r="L3100" s="5">
        <v>0.5</v>
      </c>
      <c r="M3100" t="s">
        <v>23</v>
      </c>
      <c r="N3100" t="s">
        <v>364</v>
      </c>
    </row>
    <row r="3101" spans="1:14">
      <c r="A3101" t="s">
        <v>29</v>
      </c>
      <c r="B3101">
        <v>1185732</v>
      </c>
      <c r="C3101" s="2">
        <v>44532</v>
      </c>
      <c r="D3101" t="s">
        <v>140</v>
      </c>
      <c r="E3101" t="s">
        <v>256</v>
      </c>
      <c r="F3101" t="s">
        <v>265</v>
      </c>
      <c r="G3101" t="s">
        <v>144</v>
      </c>
      <c r="H3101" s="3">
        <v>0.64999999999999991</v>
      </c>
      <c r="I3101">
        <v>3500</v>
      </c>
      <c r="J3101" s="4">
        <v>2274.9999999999995</v>
      </c>
      <c r="K3101" s="4">
        <v>909.99999999999989</v>
      </c>
      <c r="L3101" s="5">
        <v>0.4</v>
      </c>
      <c r="M3101" t="s">
        <v>23</v>
      </c>
      <c r="N3101" t="s">
        <v>364</v>
      </c>
    </row>
    <row r="3102" spans="1:14">
      <c r="A3102" t="s">
        <v>29</v>
      </c>
      <c r="B3102">
        <v>1185732</v>
      </c>
      <c r="C3102" s="2">
        <v>44206</v>
      </c>
      <c r="D3102" t="s">
        <v>140</v>
      </c>
      <c r="E3102" t="s">
        <v>249</v>
      </c>
      <c r="F3102" t="s">
        <v>257</v>
      </c>
      <c r="G3102" t="s">
        <v>27</v>
      </c>
      <c r="H3102" s="3">
        <v>0.35000000000000003</v>
      </c>
      <c r="I3102">
        <v>5000</v>
      </c>
      <c r="J3102" s="4">
        <v>1750.0000000000002</v>
      </c>
      <c r="K3102" s="4">
        <v>700.00000000000011</v>
      </c>
      <c r="L3102" s="5">
        <v>0.4</v>
      </c>
      <c r="M3102" t="s">
        <v>125</v>
      </c>
      <c r="N3102" t="s">
        <v>361</v>
      </c>
    </row>
    <row r="3103" spans="1:14">
      <c r="A3103" t="s">
        <v>29</v>
      </c>
      <c r="B3103">
        <v>1185732</v>
      </c>
      <c r="C3103" s="2">
        <v>44206</v>
      </c>
      <c r="D3103" t="s">
        <v>140</v>
      </c>
      <c r="E3103" t="s">
        <v>249</v>
      </c>
      <c r="F3103" t="s">
        <v>257</v>
      </c>
      <c r="G3103" t="s">
        <v>145</v>
      </c>
      <c r="H3103" s="3">
        <v>0.35000000000000003</v>
      </c>
      <c r="I3103">
        <v>3000</v>
      </c>
      <c r="J3103" s="4">
        <v>1050</v>
      </c>
      <c r="K3103" s="4">
        <v>420</v>
      </c>
      <c r="L3103" s="5">
        <v>0.4</v>
      </c>
      <c r="M3103" t="s">
        <v>125</v>
      </c>
      <c r="N3103" t="s">
        <v>361</v>
      </c>
    </row>
    <row r="3104" spans="1:14">
      <c r="A3104" t="s">
        <v>29</v>
      </c>
      <c r="B3104">
        <v>1185732</v>
      </c>
      <c r="C3104" s="2">
        <v>44206</v>
      </c>
      <c r="D3104" t="s">
        <v>140</v>
      </c>
      <c r="E3104" t="s">
        <v>249</v>
      </c>
      <c r="F3104" t="s">
        <v>257</v>
      </c>
      <c r="G3104" t="s">
        <v>146</v>
      </c>
      <c r="H3104" s="3">
        <v>0.25000000000000006</v>
      </c>
      <c r="I3104">
        <v>3000</v>
      </c>
      <c r="J3104" s="4">
        <v>750.00000000000011</v>
      </c>
      <c r="K3104" s="4">
        <v>262.5</v>
      </c>
      <c r="L3104" s="5">
        <v>0.35</v>
      </c>
      <c r="M3104" t="s">
        <v>125</v>
      </c>
      <c r="N3104" t="s">
        <v>361</v>
      </c>
    </row>
    <row r="3105" spans="1:14">
      <c r="A3105" t="s">
        <v>29</v>
      </c>
      <c r="B3105">
        <v>1185732</v>
      </c>
      <c r="C3105" s="2">
        <v>44206</v>
      </c>
      <c r="D3105" t="s">
        <v>140</v>
      </c>
      <c r="E3105" t="s">
        <v>249</v>
      </c>
      <c r="F3105" t="s">
        <v>257</v>
      </c>
      <c r="G3105" t="s">
        <v>148</v>
      </c>
      <c r="H3105" s="3">
        <v>0.30000000000000004</v>
      </c>
      <c r="I3105">
        <v>1500</v>
      </c>
      <c r="J3105" s="4">
        <v>450.00000000000006</v>
      </c>
      <c r="K3105" s="4">
        <v>157.5</v>
      </c>
      <c r="L3105" s="5">
        <v>0.35</v>
      </c>
      <c r="M3105" t="s">
        <v>125</v>
      </c>
      <c r="N3105" t="s">
        <v>361</v>
      </c>
    </row>
    <row r="3106" spans="1:14">
      <c r="A3106" t="s">
        <v>29</v>
      </c>
      <c r="B3106">
        <v>1185732</v>
      </c>
      <c r="C3106" s="2">
        <v>44206</v>
      </c>
      <c r="D3106" t="s">
        <v>140</v>
      </c>
      <c r="E3106" t="s">
        <v>249</v>
      </c>
      <c r="F3106" t="s">
        <v>257</v>
      </c>
      <c r="G3106" t="s">
        <v>147</v>
      </c>
      <c r="H3106" s="3">
        <v>0.44999999999999996</v>
      </c>
      <c r="I3106">
        <v>2000</v>
      </c>
      <c r="J3106" s="4">
        <v>899.99999999999989</v>
      </c>
      <c r="K3106" s="4">
        <v>269.99999999999994</v>
      </c>
      <c r="L3106" s="5">
        <v>0.3</v>
      </c>
      <c r="M3106" t="s">
        <v>125</v>
      </c>
      <c r="N3106" t="s">
        <v>361</v>
      </c>
    </row>
    <row r="3107" spans="1:14">
      <c r="A3107" t="s">
        <v>29</v>
      </c>
      <c r="B3107">
        <v>1185732</v>
      </c>
      <c r="C3107" s="2">
        <v>44206</v>
      </c>
      <c r="D3107" t="s">
        <v>140</v>
      </c>
      <c r="E3107" t="s">
        <v>249</v>
      </c>
      <c r="F3107" t="s">
        <v>257</v>
      </c>
      <c r="G3107" t="s">
        <v>144</v>
      </c>
      <c r="H3107" s="3">
        <v>0.35000000000000003</v>
      </c>
      <c r="I3107">
        <v>3000</v>
      </c>
      <c r="J3107" s="4">
        <v>1050</v>
      </c>
      <c r="K3107" s="4">
        <v>420</v>
      </c>
      <c r="L3107" s="5">
        <v>0.4</v>
      </c>
      <c r="M3107" t="s">
        <v>125</v>
      </c>
      <c r="N3107" t="s">
        <v>361</v>
      </c>
    </row>
    <row r="3108" spans="1:14">
      <c r="A3108" t="s">
        <v>29</v>
      </c>
      <c r="B3108">
        <v>1185732</v>
      </c>
      <c r="C3108" s="2">
        <v>44237</v>
      </c>
      <c r="D3108" t="s">
        <v>140</v>
      </c>
      <c r="E3108" t="s">
        <v>249</v>
      </c>
      <c r="F3108" t="s">
        <v>257</v>
      </c>
      <c r="G3108" t="s">
        <v>27</v>
      </c>
      <c r="H3108" s="3">
        <v>0.35000000000000003</v>
      </c>
      <c r="I3108">
        <v>5500</v>
      </c>
      <c r="J3108" s="4">
        <v>1925.0000000000002</v>
      </c>
      <c r="K3108" s="4">
        <v>770.00000000000011</v>
      </c>
      <c r="L3108" s="5">
        <v>0.4</v>
      </c>
      <c r="M3108" t="s">
        <v>126</v>
      </c>
      <c r="N3108" t="s">
        <v>361</v>
      </c>
    </row>
    <row r="3109" spans="1:14">
      <c r="A3109" t="s">
        <v>29</v>
      </c>
      <c r="B3109">
        <v>1185732</v>
      </c>
      <c r="C3109" s="2">
        <v>44237</v>
      </c>
      <c r="D3109" t="s">
        <v>140</v>
      </c>
      <c r="E3109" t="s">
        <v>249</v>
      </c>
      <c r="F3109" t="s">
        <v>257</v>
      </c>
      <c r="G3109" t="s">
        <v>145</v>
      </c>
      <c r="H3109" s="3">
        <v>0.35000000000000003</v>
      </c>
      <c r="I3109">
        <v>2000</v>
      </c>
      <c r="J3109" s="4">
        <v>700.00000000000011</v>
      </c>
      <c r="K3109" s="4">
        <v>280.00000000000006</v>
      </c>
      <c r="L3109" s="5">
        <v>0.4</v>
      </c>
      <c r="M3109" t="s">
        <v>126</v>
      </c>
      <c r="N3109" t="s">
        <v>361</v>
      </c>
    </row>
    <row r="3110" spans="1:14">
      <c r="A3110" t="s">
        <v>29</v>
      </c>
      <c r="B3110">
        <v>1185732</v>
      </c>
      <c r="C3110" s="2">
        <v>44237</v>
      </c>
      <c r="D3110" t="s">
        <v>140</v>
      </c>
      <c r="E3110" t="s">
        <v>249</v>
      </c>
      <c r="F3110" t="s">
        <v>257</v>
      </c>
      <c r="G3110" t="s">
        <v>146</v>
      </c>
      <c r="H3110" s="3">
        <v>0.25000000000000006</v>
      </c>
      <c r="I3110">
        <v>2500</v>
      </c>
      <c r="J3110" s="4">
        <v>625.00000000000011</v>
      </c>
      <c r="K3110" s="4">
        <v>218.75000000000003</v>
      </c>
      <c r="L3110" s="5">
        <v>0.35</v>
      </c>
      <c r="M3110" t="s">
        <v>126</v>
      </c>
      <c r="N3110" t="s">
        <v>361</v>
      </c>
    </row>
    <row r="3111" spans="1:14">
      <c r="A3111" t="s">
        <v>29</v>
      </c>
      <c r="B3111">
        <v>1185732</v>
      </c>
      <c r="C3111" s="2">
        <v>44237</v>
      </c>
      <c r="D3111" t="s">
        <v>140</v>
      </c>
      <c r="E3111" t="s">
        <v>249</v>
      </c>
      <c r="F3111" t="s">
        <v>257</v>
      </c>
      <c r="G3111" t="s">
        <v>148</v>
      </c>
      <c r="H3111" s="3">
        <v>0.30000000000000004</v>
      </c>
      <c r="I3111">
        <v>1250</v>
      </c>
      <c r="J3111" s="4">
        <v>375.00000000000006</v>
      </c>
      <c r="K3111" s="4">
        <v>131.25</v>
      </c>
      <c r="L3111" s="5">
        <v>0.35</v>
      </c>
      <c r="M3111" t="s">
        <v>126</v>
      </c>
      <c r="N3111" t="s">
        <v>361</v>
      </c>
    </row>
    <row r="3112" spans="1:14">
      <c r="A3112" t="s">
        <v>29</v>
      </c>
      <c r="B3112">
        <v>1185732</v>
      </c>
      <c r="C3112" s="2">
        <v>44237</v>
      </c>
      <c r="D3112" t="s">
        <v>140</v>
      </c>
      <c r="E3112" t="s">
        <v>249</v>
      </c>
      <c r="F3112" t="s">
        <v>257</v>
      </c>
      <c r="G3112" t="s">
        <v>147</v>
      </c>
      <c r="H3112" s="3">
        <v>0.44999999999999996</v>
      </c>
      <c r="I3112">
        <v>2000</v>
      </c>
      <c r="J3112" s="4">
        <v>899.99999999999989</v>
      </c>
      <c r="K3112" s="4">
        <v>269.99999999999994</v>
      </c>
      <c r="L3112" s="5">
        <v>0.3</v>
      </c>
      <c r="M3112" t="s">
        <v>126</v>
      </c>
      <c r="N3112" t="s">
        <v>361</v>
      </c>
    </row>
    <row r="3113" spans="1:14">
      <c r="A3113" t="s">
        <v>29</v>
      </c>
      <c r="B3113">
        <v>1185732</v>
      </c>
      <c r="C3113" s="2">
        <v>44237</v>
      </c>
      <c r="D3113" t="s">
        <v>140</v>
      </c>
      <c r="E3113" t="s">
        <v>249</v>
      </c>
      <c r="F3113" t="s">
        <v>257</v>
      </c>
      <c r="G3113" t="s">
        <v>144</v>
      </c>
      <c r="H3113" s="3">
        <v>0.19999999999999996</v>
      </c>
      <c r="I3113">
        <v>3000</v>
      </c>
      <c r="J3113" s="4">
        <v>599.99999999999989</v>
      </c>
      <c r="K3113" s="4">
        <v>239.99999999999997</v>
      </c>
      <c r="L3113" s="5">
        <v>0.4</v>
      </c>
      <c r="M3113" t="s">
        <v>126</v>
      </c>
      <c r="N3113" t="s">
        <v>361</v>
      </c>
    </row>
    <row r="3114" spans="1:14">
      <c r="A3114" t="s">
        <v>29</v>
      </c>
      <c r="B3114">
        <v>1185732</v>
      </c>
      <c r="C3114" s="2">
        <v>44264</v>
      </c>
      <c r="D3114" t="s">
        <v>140</v>
      </c>
      <c r="E3114" t="s">
        <v>249</v>
      </c>
      <c r="F3114" t="s">
        <v>257</v>
      </c>
      <c r="G3114" t="s">
        <v>27</v>
      </c>
      <c r="H3114" s="3">
        <v>0.25000000000000006</v>
      </c>
      <c r="I3114">
        <v>5200</v>
      </c>
      <c r="J3114" s="4">
        <v>1300.0000000000002</v>
      </c>
      <c r="K3114" s="4">
        <v>520.00000000000011</v>
      </c>
      <c r="L3114" s="5">
        <v>0.4</v>
      </c>
      <c r="M3114" t="s">
        <v>24</v>
      </c>
      <c r="N3114" t="s">
        <v>361</v>
      </c>
    </row>
    <row r="3115" spans="1:14">
      <c r="A3115" t="s">
        <v>29</v>
      </c>
      <c r="B3115">
        <v>1185732</v>
      </c>
      <c r="C3115" s="2">
        <v>44264</v>
      </c>
      <c r="D3115" t="s">
        <v>140</v>
      </c>
      <c r="E3115" t="s">
        <v>249</v>
      </c>
      <c r="F3115" t="s">
        <v>257</v>
      </c>
      <c r="G3115" t="s">
        <v>145</v>
      </c>
      <c r="H3115" s="3">
        <v>0.25000000000000006</v>
      </c>
      <c r="I3115">
        <v>2250</v>
      </c>
      <c r="J3115" s="4">
        <v>562.50000000000011</v>
      </c>
      <c r="K3115" s="4">
        <v>225.00000000000006</v>
      </c>
      <c r="L3115" s="5">
        <v>0.4</v>
      </c>
      <c r="M3115" t="s">
        <v>24</v>
      </c>
      <c r="N3115" t="s">
        <v>361</v>
      </c>
    </row>
    <row r="3116" spans="1:14">
      <c r="A3116" t="s">
        <v>29</v>
      </c>
      <c r="B3116">
        <v>1185732</v>
      </c>
      <c r="C3116" s="2">
        <v>44264</v>
      </c>
      <c r="D3116" t="s">
        <v>140</v>
      </c>
      <c r="E3116" t="s">
        <v>249</v>
      </c>
      <c r="F3116" t="s">
        <v>257</v>
      </c>
      <c r="G3116" t="s">
        <v>146</v>
      </c>
      <c r="H3116" s="3">
        <v>0.15000000000000002</v>
      </c>
      <c r="I3116">
        <v>2750</v>
      </c>
      <c r="J3116" s="4">
        <v>412.50000000000006</v>
      </c>
      <c r="K3116" s="4">
        <v>144.375</v>
      </c>
      <c r="L3116" s="5">
        <v>0.35</v>
      </c>
      <c r="M3116" t="s">
        <v>24</v>
      </c>
      <c r="N3116" t="s">
        <v>361</v>
      </c>
    </row>
    <row r="3117" spans="1:14">
      <c r="A3117" t="s">
        <v>29</v>
      </c>
      <c r="B3117">
        <v>1185732</v>
      </c>
      <c r="C3117" s="2">
        <v>44264</v>
      </c>
      <c r="D3117" t="s">
        <v>140</v>
      </c>
      <c r="E3117" t="s">
        <v>249</v>
      </c>
      <c r="F3117" t="s">
        <v>257</v>
      </c>
      <c r="G3117" t="s">
        <v>148</v>
      </c>
      <c r="H3117" s="3">
        <v>0.19999999999999996</v>
      </c>
      <c r="I3117">
        <v>1250</v>
      </c>
      <c r="J3117" s="4">
        <v>249.99999999999994</v>
      </c>
      <c r="K3117" s="4">
        <v>87.499999999999972</v>
      </c>
      <c r="L3117" s="5">
        <v>0.35</v>
      </c>
      <c r="M3117" t="s">
        <v>24</v>
      </c>
      <c r="N3117" t="s">
        <v>361</v>
      </c>
    </row>
    <row r="3118" spans="1:14">
      <c r="A3118" t="s">
        <v>29</v>
      </c>
      <c r="B3118">
        <v>1185732</v>
      </c>
      <c r="C3118" s="2">
        <v>44264</v>
      </c>
      <c r="D3118" t="s">
        <v>140</v>
      </c>
      <c r="E3118" t="s">
        <v>249</v>
      </c>
      <c r="F3118" t="s">
        <v>257</v>
      </c>
      <c r="G3118" t="s">
        <v>147</v>
      </c>
      <c r="H3118" s="3">
        <v>0.35000000000000003</v>
      </c>
      <c r="I3118">
        <v>1750</v>
      </c>
      <c r="J3118" s="4">
        <v>612.50000000000011</v>
      </c>
      <c r="K3118" s="4">
        <v>183.75000000000003</v>
      </c>
      <c r="L3118" s="5">
        <v>0.3</v>
      </c>
      <c r="M3118" t="s">
        <v>24</v>
      </c>
      <c r="N3118" t="s">
        <v>361</v>
      </c>
    </row>
    <row r="3119" spans="1:14">
      <c r="A3119" t="s">
        <v>29</v>
      </c>
      <c r="B3119">
        <v>1185732</v>
      </c>
      <c r="C3119" s="2">
        <v>44264</v>
      </c>
      <c r="D3119" t="s">
        <v>140</v>
      </c>
      <c r="E3119" t="s">
        <v>249</v>
      </c>
      <c r="F3119" t="s">
        <v>257</v>
      </c>
      <c r="G3119" t="s">
        <v>144</v>
      </c>
      <c r="H3119" s="3">
        <v>0.25000000000000006</v>
      </c>
      <c r="I3119">
        <v>2750</v>
      </c>
      <c r="J3119" s="4">
        <v>687.50000000000011</v>
      </c>
      <c r="K3119" s="4">
        <v>275.00000000000006</v>
      </c>
      <c r="L3119" s="5">
        <v>0.4</v>
      </c>
      <c r="M3119" t="s">
        <v>24</v>
      </c>
      <c r="N3119" t="s">
        <v>361</v>
      </c>
    </row>
    <row r="3120" spans="1:14">
      <c r="A3120" t="s">
        <v>29</v>
      </c>
      <c r="B3120">
        <v>1185732</v>
      </c>
      <c r="C3120" s="2">
        <v>44296</v>
      </c>
      <c r="D3120" t="s">
        <v>140</v>
      </c>
      <c r="E3120" t="s">
        <v>249</v>
      </c>
      <c r="F3120" t="s">
        <v>257</v>
      </c>
      <c r="G3120" t="s">
        <v>27</v>
      </c>
      <c r="H3120" s="3">
        <v>0.25000000000000006</v>
      </c>
      <c r="I3120">
        <v>5000</v>
      </c>
      <c r="J3120" s="4">
        <v>1250.0000000000002</v>
      </c>
      <c r="K3120" s="4">
        <v>500.00000000000011</v>
      </c>
      <c r="L3120" s="5">
        <v>0.4</v>
      </c>
      <c r="M3120" t="s">
        <v>127</v>
      </c>
      <c r="N3120" t="s">
        <v>362</v>
      </c>
    </row>
    <row r="3121" spans="1:14">
      <c r="A3121" t="s">
        <v>29</v>
      </c>
      <c r="B3121">
        <v>1185732</v>
      </c>
      <c r="C3121" s="2">
        <v>44296</v>
      </c>
      <c r="D3121" t="s">
        <v>140</v>
      </c>
      <c r="E3121" t="s">
        <v>249</v>
      </c>
      <c r="F3121" t="s">
        <v>257</v>
      </c>
      <c r="G3121" t="s">
        <v>145</v>
      </c>
      <c r="H3121" s="3">
        <v>0.25000000000000006</v>
      </c>
      <c r="I3121">
        <v>2000</v>
      </c>
      <c r="J3121" s="4">
        <v>500.00000000000011</v>
      </c>
      <c r="K3121" s="4">
        <v>200.00000000000006</v>
      </c>
      <c r="L3121" s="5">
        <v>0.4</v>
      </c>
      <c r="M3121" t="s">
        <v>127</v>
      </c>
      <c r="N3121" t="s">
        <v>362</v>
      </c>
    </row>
    <row r="3122" spans="1:14">
      <c r="A3122" t="s">
        <v>29</v>
      </c>
      <c r="B3122">
        <v>1185732</v>
      </c>
      <c r="C3122" s="2">
        <v>44296</v>
      </c>
      <c r="D3122" t="s">
        <v>140</v>
      </c>
      <c r="E3122" t="s">
        <v>249</v>
      </c>
      <c r="F3122" t="s">
        <v>257</v>
      </c>
      <c r="G3122" t="s">
        <v>146</v>
      </c>
      <c r="H3122" s="3">
        <v>0.15000000000000002</v>
      </c>
      <c r="I3122">
        <v>2000</v>
      </c>
      <c r="J3122" s="4">
        <v>300.00000000000006</v>
      </c>
      <c r="K3122" s="4">
        <v>105.00000000000001</v>
      </c>
      <c r="L3122" s="5">
        <v>0.35</v>
      </c>
      <c r="M3122" t="s">
        <v>127</v>
      </c>
      <c r="N3122" t="s">
        <v>362</v>
      </c>
    </row>
    <row r="3123" spans="1:14">
      <c r="A3123" t="s">
        <v>29</v>
      </c>
      <c r="B3123">
        <v>1185732</v>
      </c>
      <c r="C3123" s="2">
        <v>44296</v>
      </c>
      <c r="D3123" t="s">
        <v>140</v>
      </c>
      <c r="E3123" t="s">
        <v>249</v>
      </c>
      <c r="F3123" t="s">
        <v>257</v>
      </c>
      <c r="G3123" t="s">
        <v>148</v>
      </c>
      <c r="H3123" s="3">
        <v>0.19999999999999996</v>
      </c>
      <c r="I3123">
        <v>1250</v>
      </c>
      <c r="J3123" s="4">
        <v>249.99999999999994</v>
      </c>
      <c r="K3123" s="4">
        <v>87.499999999999972</v>
      </c>
      <c r="L3123" s="5">
        <v>0.35</v>
      </c>
      <c r="M3123" t="s">
        <v>127</v>
      </c>
      <c r="N3123" t="s">
        <v>362</v>
      </c>
    </row>
    <row r="3124" spans="1:14">
      <c r="A3124" t="s">
        <v>29</v>
      </c>
      <c r="B3124">
        <v>1185732</v>
      </c>
      <c r="C3124" s="2">
        <v>44296</v>
      </c>
      <c r="D3124" t="s">
        <v>140</v>
      </c>
      <c r="E3124" t="s">
        <v>249</v>
      </c>
      <c r="F3124" t="s">
        <v>257</v>
      </c>
      <c r="G3124" t="s">
        <v>147</v>
      </c>
      <c r="H3124" s="3">
        <v>0.65</v>
      </c>
      <c r="I3124">
        <v>1500</v>
      </c>
      <c r="J3124" s="4">
        <v>975</v>
      </c>
      <c r="K3124" s="4">
        <v>292.5</v>
      </c>
      <c r="L3124" s="5">
        <v>0.3</v>
      </c>
      <c r="M3124" t="s">
        <v>127</v>
      </c>
      <c r="N3124" t="s">
        <v>362</v>
      </c>
    </row>
    <row r="3125" spans="1:14">
      <c r="A3125" t="s">
        <v>29</v>
      </c>
      <c r="B3125">
        <v>1185732</v>
      </c>
      <c r="C3125" s="2">
        <v>44296</v>
      </c>
      <c r="D3125" t="s">
        <v>140</v>
      </c>
      <c r="E3125" t="s">
        <v>249</v>
      </c>
      <c r="F3125" t="s">
        <v>257</v>
      </c>
      <c r="G3125" t="s">
        <v>144</v>
      </c>
      <c r="H3125" s="3">
        <v>0.5</v>
      </c>
      <c r="I3125">
        <v>2750</v>
      </c>
      <c r="J3125" s="4">
        <v>1375</v>
      </c>
      <c r="K3125" s="4">
        <v>550</v>
      </c>
      <c r="L3125" s="5">
        <v>0.4</v>
      </c>
      <c r="M3125" t="s">
        <v>127</v>
      </c>
      <c r="N3125" t="s">
        <v>362</v>
      </c>
    </row>
    <row r="3126" spans="1:14">
      <c r="A3126" t="s">
        <v>29</v>
      </c>
      <c r="B3126">
        <v>1185732</v>
      </c>
      <c r="C3126" s="2">
        <v>44327</v>
      </c>
      <c r="D3126" t="s">
        <v>140</v>
      </c>
      <c r="E3126" t="s">
        <v>249</v>
      </c>
      <c r="F3126" t="s">
        <v>257</v>
      </c>
      <c r="G3126" t="s">
        <v>27</v>
      </c>
      <c r="H3126" s="3">
        <v>0.6</v>
      </c>
      <c r="I3126">
        <v>5450</v>
      </c>
      <c r="J3126" s="4">
        <v>3270</v>
      </c>
      <c r="K3126" s="4">
        <v>1308</v>
      </c>
      <c r="L3126" s="5">
        <v>0.4</v>
      </c>
      <c r="M3126" t="s">
        <v>128</v>
      </c>
      <c r="N3126" t="s">
        <v>362</v>
      </c>
    </row>
    <row r="3127" spans="1:14">
      <c r="A3127" t="s">
        <v>29</v>
      </c>
      <c r="B3127">
        <v>1185732</v>
      </c>
      <c r="C3127" s="2">
        <v>44327</v>
      </c>
      <c r="D3127" t="s">
        <v>140</v>
      </c>
      <c r="E3127" t="s">
        <v>249</v>
      </c>
      <c r="F3127" t="s">
        <v>257</v>
      </c>
      <c r="G3127" t="s">
        <v>145</v>
      </c>
      <c r="H3127" s="3">
        <v>0.4</v>
      </c>
      <c r="I3127">
        <v>2500</v>
      </c>
      <c r="J3127" s="4">
        <v>1000</v>
      </c>
      <c r="K3127" s="4">
        <v>400</v>
      </c>
      <c r="L3127" s="5">
        <v>0.4</v>
      </c>
      <c r="M3127" t="s">
        <v>128</v>
      </c>
      <c r="N3127" t="s">
        <v>362</v>
      </c>
    </row>
    <row r="3128" spans="1:14">
      <c r="A3128" t="s">
        <v>29</v>
      </c>
      <c r="B3128">
        <v>1185732</v>
      </c>
      <c r="C3128" s="2">
        <v>44327</v>
      </c>
      <c r="D3128" t="s">
        <v>140</v>
      </c>
      <c r="E3128" t="s">
        <v>249</v>
      </c>
      <c r="F3128" t="s">
        <v>257</v>
      </c>
      <c r="G3128" t="s">
        <v>146</v>
      </c>
      <c r="H3128" s="3">
        <v>0.35000000000000003</v>
      </c>
      <c r="I3128">
        <v>2250</v>
      </c>
      <c r="J3128" s="4">
        <v>787.50000000000011</v>
      </c>
      <c r="K3128" s="4">
        <v>275.625</v>
      </c>
      <c r="L3128" s="5">
        <v>0.35</v>
      </c>
      <c r="M3128" t="s">
        <v>128</v>
      </c>
      <c r="N3128" t="s">
        <v>362</v>
      </c>
    </row>
    <row r="3129" spans="1:14">
      <c r="A3129" t="s">
        <v>29</v>
      </c>
      <c r="B3129">
        <v>1185732</v>
      </c>
      <c r="C3129" s="2">
        <v>44327</v>
      </c>
      <c r="D3129" t="s">
        <v>140</v>
      </c>
      <c r="E3129" t="s">
        <v>249</v>
      </c>
      <c r="F3129" t="s">
        <v>257</v>
      </c>
      <c r="G3129" t="s">
        <v>148</v>
      </c>
      <c r="H3129" s="3">
        <v>0.35000000000000003</v>
      </c>
      <c r="I3129">
        <v>1750</v>
      </c>
      <c r="J3129" s="4">
        <v>612.50000000000011</v>
      </c>
      <c r="K3129" s="4">
        <v>214.37500000000003</v>
      </c>
      <c r="L3129" s="5">
        <v>0.35</v>
      </c>
      <c r="M3129" t="s">
        <v>128</v>
      </c>
      <c r="N3129" t="s">
        <v>362</v>
      </c>
    </row>
    <row r="3130" spans="1:14">
      <c r="A3130" t="s">
        <v>29</v>
      </c>
      <c r="B3130">
        <v>1185732</v>
      </c>
      <c r="C3130" s="2">
        <v>44327</v>
      </c>
      <c r="D3130" t="s">
        <v>140</v>
      </c>
      <c r="E3130" t="s">
        <v>249</v>
      </c>
      <c r="F3130" t="s">
        <v>257</v>
      </c>
      <c r="G3130" t="s">
        <v>147</v>
      </c>
      <c r="H3130" s="3">
        <v>0.44999999999999996</v>
      </c>
      <c r="I3130">
        <v>2000</v>
      </c>
      <c r="J3130" s="4">
        <v>899.99999999999989</v>
      </c>
      <c r="K3130" s="4">
        <v>269.99999999999994</v>
      </c>
      <c r="L3130" s="5">
        <v>0.3</v>
      </c>
      <c r="M3130" t="s">
        <v>128</v>
      </c>
      <c r="N3130" t="s">
        <v>362</v>
      </c>
    </row>
    <row r="3131" spans="1:14">
      <c r="A3131" t="s">
        <v>29</v>
      </c>
      <c r="B3131">
        <v>1185732</v>
      </c>
      <c r="C3131" s="2">
        <v>44327</v>
      </c>
      <c r="D3131" t="s">
        <v>140</v>
      </c>
      <c r="E3131" t="s">
        <v>249</v>
      </c>
      <c r="F3131" t="s">
        <v>257</v>
      </c>
      <c r="G3131" t="s">
        <v>144</v>
      </c>
      <c r="H3131" s="3">
        <v>0.54999999999999993</v>
      </c>
      <c r="I3131">
        <v>3250</v>
      </c>
      <c r="J3131" s="4">
        <v>1787.4999999999998</v>
      </c>
      <c r="K3131" s="4">
        <v>715</v>
      </c>
      <c r="L3131" s="5">
        <v>0.4</v>
      </c>
      <c r="M3131" t="s">
        <v>128</v>
      </c>
      <c r="N3131" t="s">
        <v>362</v>
      </c>
    </row>
    <row r="3132" spans="1:14">
      <c r="A3132" t="s">
        <v>29</v>
      </c>
      <c r="B3132">
        <v>1185732</v>
      </c>
      <c r="C3132" s="2">
        <v>44357</v>
      </c>
      <c r="D3132" t="s">
        <v>140</v>
      </c>
      <c r="E3132" t="s">
        <v>249</v>
      </c>
      <c r="F3132" t="s">
        <v>257</v>
      </c>
      <c r="G3132" t="s">
        <v>27</v>
      </c>
      <c r="H3132" s="3">
        <v>0.4</v>
      </c>
      <c r="I3132">
        <v>5750</v>
      </c>
      <c r="J3132" s="4">
        <v>2300</v>
      </c>
      <c r="K3132" s="4">
        <v>920</v>
      </c>
      <c r="L3132" s="5">
        <v>0.4</v>
      </c>
      <c r="M3132" t="s">
        <v>129</v>
      </c>
      <c r="N3132" t="s">
        <v>362</v>
      </c>
    </row>
    <row r="3133" spans="1:14">
      <c r="A3133" t="s">
        <v>29</v>
      </c>
      <c r="B3133">
        <v>1185732</v>
      </c>
      <c r="C3133" s="2">
        <v>44357</v>
      </c>
      <c r="D3133" t="s">
        <v>140</v>
      </c>
      <c r="E3133" t="s">
        <v>249</v>
      </c>
      <c r="F3133" t="s">
        <v>257</v>
      </c>
      <c r="G3133" t="s">
        <v>145</v>
      </c>
      <c r="H3133" s="3">
        <v>0.35000000000000009</v>
      </c>
      <c r="I3133">
        <v>3250</v>
      </c>
      <c r="J3133" s="4">
        <v>1137.5000000000002</v>
      </c>
      <c r="K3133" s="4">
        <v>455.00000000000011</v>
      </c>
      <c r="L3133" s="5">
        <v>0.4</v>
      </c>
      <c r="M3133" t="s">
        <v>129</v>
      </c>
      <c r="N3133" t="s">
        <v>362</v>
      </c>
    </row>
    <row r="3134" spans="1:14">
      <c r="A3134" t="s">
        <v>29</v>
      </c>
      <c r="B3134">
        <v>1185732</v>
      </c>
      <c r="C3134" s="2">
        <v>44357</v>
      </c>
      <c r="D3134" t="s">
        <v>140</v>
      </c>
      <c r="E3134" t="s">
        <v>249</v>
      </c>
      <c r="F3134" t="s">
        <v>257</v>
      </c>
      <c r="G3134" t="s">
        <v>146</v>
      </c>
      <c r="H3134" s="3">
        <v>0.30000000000000004</v>
      </c>
      <c r="I3134">
        <v>2000</v>
      </c>
      <c r="J3134" s="4">
        <v>600.00000000000011</v>
      </c>
      <c r="K3134" s="4">
        <v>210.00000000000003</v>
      </c>
      <c r="L3134" s="5">
        <v>0.35</v>
      </c>
      <c r="M3134" t="s">
        <v>129</v>
      </c>
      <c r="N3134" t="s">
        <v>362</v>
      </c>
    </row>
    <row r="3135" spans="1:14">
      <c r="A3135" t="s">
        <v>29</v>
      </c>
      <c r="B3135">
        <v>1185732</v>
      </c>
      <c r="C3135" s="2">
        <v>44357</v>
      </c>
      <c r="D3135" t="s">
        <v>140</v>
      </c>
      <c r="E3135" t="s">
        <v>249</v>
      </c>
      <c r="F3135" t="s">
        <v>257</v>
      </c>
      <c r="G3135" t="s">
        <v>148</v>
      </c>
      <c r="H3135" s="3">
        <v>0.30000000000000004</v>
      </c>
      <c r="I3135">
        <v>1750</v>
      </c>
      <c r="J3135" s="4">
        <v>525.00000000000011</v>
      </c>
      <c r="K3135" s="4">
        <v>183.75000000000003</v>
      </c>
      <c r="L3135" s="5">
        <v>0.35</v>
      </c>
      <c r="M3135" t="s">
        <v>129</v>
      </c>
      <c r="N3135" t="s">
        <v>362</v>
      </c>
    </row>
    <row r="3136" spans="1:14">
      <c r="A3136" t="s">
        <v>29</v>
      </c>
      <c r="B3136">
        <v>1185732</v>
      </c>
      <c r="C3136" s="2">
        <v>44357</v>
      </c>
      <c r="D3136" t="s">
        <v>140</v>
      </c>
      <c r="E3136" t="s">
        <v>249</v>
      </c>
      <c r="F3136" t="s">
        <v>257</v>
      </c>
      <c r="G3136" t="s">
        <v>147</v>
      </c>
      <c r="H3136" s="3">
        <v>0.4</v>
      </c>
      <c r="I3136">
        <v>1750</v>
      </c>
      <c r="J3136" s="4">
        <v>700</v>
      </c>
      <c r="K3136" s="4">
        <v>210</v>
      </c>
      <c r="L3136" s="5">
        <v>0.3</v>
      </c>
      <c r="M3136" t="s">
        <v>129</v>
      </c>
      <c r="N3136" t="s">
        <v>362</v>
      </c>
    </row>
    <row r="3137" spans="1:14">
      <c r="A3137" t="s">
        <v>29</v>
      </c>
      <c r="B3137">
        <v>1185732</v>
      </c>
      <c r="C3137" s="2">
        <v>44357</v>
      </c>
      <c r="D3137" t="s">
        <v>140</v>
      </c>
      <c r="E3137" t="s">
        <v>249</v>
      </c>
      <c r="F3137" t="s">
        <v>257</v>
      </c>
      <c r="G3137" t="s">
        <v>144</v>
      </c>
      <c r="H3137" s="3">
        <v>0.60000000000000009</v>
      </c>
      <c r="I3137">
        <v>3250</v>
      </c>
      <c r="J3137" s="4">
        <v>1950.0000000000002</v>
      </c>
      <c r="K3137" s="4">
        <v>780.00000000000011</v>
      </c>
      <c r="L3137" s="5">
        <v>0.4</v>
      </c>
      <c r="M3137" t="s">
        <v>129</v>
      </c>
      <c r="N3137" t="s">
        <v>362</v>
      </c>
    </row>
    <row r="3138" spans="1:14">
      <c r="A3138" t="s">
        <v>29</v>
      </c>
      <c r="B3138">
        <v>1185732</v>
      </c>
      <c r="C3138" s="2">
        <v>44386</v>
      </c>
      <c r="D3138" t="s">
        <v>140</v>
      </c>
      <c r="E3138" t="s">
        <v>249</v>
      </c>
      <c r="F3138" t="s">
        <v>257</v>
      </c>
      <c r="G3138" t="s">
        <v>27</v>
      </c>
      <c r="H3138" s="3">
        <v>0.55000000000000004</v>
      </c>
      <c r="I3138">
        <v>5500</v>
      </c>
      <c r="J3138" s="4">
        <v>3025.0000000000005</v>
      </c>
      <c r="K3138" s="4">
        <v>1210.0000000000002</v>
      </c>
      <c r="L3138" s="5">
        <v>0.4</v>
      </c>
      <c r="M3138" t="s">
        <v>130</v>
      </c>
      <c r="N3138" t="s">
        <v>363</v>
      </c>
    </row>
    <row r="3139" spans="1:14">
      <c r="A3139" t="s">
        <v>29</v>
      </c>
      <c r="B3139">
        <v>1185732</v>
      </c>
      <c r="C3139" s="2">
        <v>44386</v>
      </c>
      <c r="D3139" t="s">
        <v>140</v>
      </c>
      <c r="E3139" t="s">
        <v>249</v>
      </c>
      <c r="F3139" t="s">
        <v>257</v>
      </c>
      <c r="G3139" t="s">
        <v>145</v>
      </c>
      <c r="H3139" s="3">
        <v>0.50000000000000011</v>
      </c>
      <c r="I3139">
        <v>3000</v>
      </c>
      <c r="J3139" s="4">
        <v>1500.0000000000002</v>
      </c>
      <c r="K3139" s="4">
        <v>600.00000000000011</v>
      </c>
      <c r="L3139" s="5">
        <v>0.4</v>
      </c>
      <c r="M3139" t="s">
        <v>130</v>
      </c>
      <c r="N3139" t="s">
        <v>363</v>
      </c>
    </row>
    <row r="3140" spans="1:14">
      <c r="A3140" t="s">
        <v>29</v>
      </c>
      <c r="B3140">
        <v>1185732</v>
      </c>
      <c r="C3140" s="2">
        <v>44386</v>
      </c>
      <c r="D3140" t="s">
        <v>140</v>
      </c>
      <c r="E3140" t="s">
        <v>249</v>
      </c>
      <c r="F3140" t="s">
        <v>257</v>
      </c>
      <c r="G3140" t="s">
        <v>146</v>
      </c>
      <c r="H3140" s="3">
        <v>0.45</v>
      </c>
      <c r="I3140">
        <v>2250</v>
      </c>
      <c r="J3140" s="4">
        <v>1012.5</v>
      </c>
      <c r="K3140" s="4">
        <v>354.375</v>
      </c>
      <c r="L3140" s="5">
        <v>0.35</v>
      </c>
      <c r="M3140" t="s">
        <v>130</v>
      </c>
      <c r="N3140" t="s">
        <v>363</v>
      </c>
    </row>
    <row r="3141" spans="1:14">
      <c r="A3141" t="s">
        <v>29</v>
      </c>
      <c r="B3141">
        <v>1185732</v>
      </c>
      <c r="C3141" s="2">
        <v>44386</v>
      </c>
      <c r="D3141" t="s">
        <v>140</v>
      </c>
      <c r="E3141" t="s">
        <v>249</v>
      </c>
      <c r="F3141" t="s">
        <v>257</v>
      </c>
      <c r="G3141" t="s">
        <v>148</v>
      </c>
      <c r="H3141" s="3">
        <v>0.45</v>
      </c>
      <c r="I3141">
        <v>1750</v>
      </c>
      <c r="J3141" s="4">
        <v>787.5</v>
      </c>
      <c r="K3141" s="4">
        <v>275.625</v>
      </c>
      <c r="L3141" s="5">
        <v>0.35</v>
      </c>
      <c r="M3141" t="s">
        <v>130</v>
      </c>
      <c r="N3141" t="s">
        <v>363</v>
      </c>
    </row>
    <row r="3142" spans="1:14">
      <c r="A3142" t="s">
        <v>29</v>
      </c>
      <c r="B3142">
        <v>1185732</v>
      </c>
      <c r="C3142" s="2">
        <v>44386</v>
      </c>
      <c r="D3142" t="s">
        <v>140</v>
      </c>
      <c r="E3142" t="s">
        <v>249</v>
      </c>
      <c r="F3142" t="s">
        <v>257</v>
      </c>
      <c r="G3142" t="s">
        <v>147</v>
      </c>
      <c r="H3142" s="3">
        <v>0.55000000000000004</v>
      </c>
      <c r="I3142">
        <v>2000</v>
      </c>
      <c r="J3142" s="4">
        <v>1100</v>
      </c>
      <c r="K3142" s="4">
        <v>330</v>
      </c>
      <c r="L3142" s="5">
        <v>0.3</v>
      </c>
      <c r="M3142" t="s">
        <v>130</v>
      </c>
      <c r="N3142" t="s">
        <v>363</v>
      </c>
    </row>
    <row r="3143" spans="1:14">
      <c r="A3143" t="s">
        <v>29</v>
      </c>
      <c r="B3143">
        <v>1185732</v>
      </c>
      <c r="C3143" s="2">
        <v>44386</v>
      </c>
      <c r="D3143" t="s">
        <v>140</v>
      </c>
      <c r="E3143" t="s">
        <v>249</v>
      </c>
      <c r="F3143" t="s">
        <v>257</v>
      </c>
      <c r="G3143" t="s">
        <v>144</v>
      </c>
      <c r="H3143" s="3">
        <v>0.60000000000000009</v>
      </c>
      <c r="I3143">
        <v>3750</v>
      </c>
      <c r="J3143" s="4">
        <v>2250.0000000000005</v>
      </c>
      <c r="K3143" s="4">
        <v>900.00000000000023</v>
      </c>
      <c r="L3143" s="5">
        <v>0.4</v>
      </c>
      <c r="M3143" t="s">
        <v>130</v>
      </c>
      <c r="N3143" t="s">
        <v>363</v>
      </c>
    </row>
    <row r="3144" spans="1:14">
      <c r="A3144" t="s">
        <v>29</v>
      </c>
      <c r="B3144">
        <v>1185732</v>
      </c>
      <c r="C3144" s="2">
        <v>44418</v>
      </c>
      <c r="D3144" t="s">
        <v>140</v>
      </c>
      <c r="E3144" t="s">
        <v>249</v>
      </c>
      <c r="F3144" t="s">
        <v>257</v>
      </c>
      <c r="G3144" t="s">
        <v>27</v>
      </c>
      <c r="H3144" s="3">
        <v>0.5</v>
      </c>
      <c r="I3144">
        <v>5250</v>
      </c>
      <c r="J3144" s="4">
        <v>2625</v>
      </c>
      <c r="K3144" s="4">
        <v>1050</v>
      </c>
      <c r="L3144" s="5">
        <v>0.4</v>
      </c>
      <c r="M3144" t="s">
        <v>131</v>
      </c>
      <c r="N3144" t="s">
        <v>363</v>
      </c>
    </row>
    <row r="3145" spans="1:14">
      <c r="A3145" t="s">
        <v>29</v>
      </c>
      <c r="B3145">
        <v>1185732</v>
      </c>
      <c r="C3145" s="2">
        <v>44418</v>
      </c>
      <c r="D3145" t="s">
        <v>140</v>
      </c>
      <c r="E3145" t="s">
        <v>249</v>
      </c>
      <c r="F3145" t="s">
        <v>257</v>
      </c>
      <c r="G3145" t="s">
        <v>145</v>
      </c>
      <c r="H3145" s="3">
        <v>0.45000000000000007</v>
      </c>
      <c r="I3145">
        <v>3000</v>
      </c>
      <c r="J3145" s="4">
        <v>1350.0000000000002</v>
      </c>
      <c r="K3145" s="4">
        <v>540.00000000000011</v>
      </c>
      <c r="L3145" s="5">
        <v>0.4</v>
      </c>
      <c r="M3145" t="s">
        <v>131</v>
      </c>
      <c r="N3145" t="s">
        <v>363</v>
      </c>
    </row>
    <row r="3146" spans="1:14">
      <c r="A3146" t="s">
        <v>29</v>
      </c>
      <c r="B3146">
        <v>1185732</v>
      </c>
      <c r="C3146" s="2">
        <v>44418</v>
      </c>
      <c r="D3146" t="s">
        <v>140</v>
      </c>
      <c r="E3146" t="s">
        <v>249</v>
      </c>
      <c r="F3146" t="s">
        <v>257</v>
      </c>
      <c r="G3146" t="s">
        <v>146</v>
      </c>
      <c r="H3146" s="3">
        <v>0.4</v>
      </c>
      <c r="I3146">
        <v>2250</v>
      </c>
      <c r="J3146" s="4">
        <v>900</v>
      </c>
      <c r="K3146" s="4">
        <v>315</v>
      </c>
      <c r="L3146" s="5">
        <v>0.35</v>
      </c>
      <c r="M3146" t="s">
        <v>131</v>
      </c>
      <c r="N3146" t="s">
        <v>363</v>
      </c>
    </row>
    <row r="3147" spans="1:14">
      <c r="A3147" t="s">
        <v>29</v>
      </c>
      <c r="B3147">
        <v>1185732</v>
      </c>
      <c r="C3147" s="2">
        <v>44418</v>
      </c>
      <c r="D3147" t="s">
        <v>140</v>
      </c>
      <c r="E3147" t="s">
        <v>249</v>
      </c>
      <c r="F3147" t="s">
        <v>257</v>
      </c>
      <c r="G3147" t="s">
        <v>148</v>
      </c>
      <c r="H3147" s="3">
        <v>0.4</v>
      </c>
      <c r="I3147">
        <v>2000</v>
      </c>
      <c r="J3147" s="4">
        <v>800</v>
      </c>
      <c r="K3147" s="4">
        <v>280</v>
      </c>
      <c r="L3147" s="5">
        <v>0.35</v>
      </c>
      <c r="M3147" t="s">
        <v>131</v>
      </c>
      <c r="N3147" t="s">
        <v>363</v>
      </c>
    </row>
    <row r="3148" spans="1:14">
      <c r="A3148" t="s">
        <v>29</v>
      </c>
      <c r="B3148">
        <v>1185732</v>
      </c>
      <c r="C3148" s="2">
        <v>44418</v>
      </c>
      <c r="D3148" t="s">
        <v>140</v>
      </c>
      <c r="E3148" t="s">
        <v>249</v>
      </c>
      <c r="F3148" t="s">
        <v>257</v>
      </c>
      <c r="G3148" t="s">
        <v>147</v>
      </c>
      <c r="H3148" s="3">
        <v>0.5</v>
      </c>
      <c r="I3148">
        <v>1750</v>
      </c>
      <c r="J3148" s="4">
        <v>875</v>
      </c>
      <c r="K3148" s="4">
        <v>262.5</v>
      </c>
      <c r="L3148" s="5">
        <v>0.3</v>
      </c>
      <c r="M3148" t="s">
        <v>131</v>
      </c>
      <c r="N3148" t="s">
        <v>363</v>
      </c>
    </row>
    <row r="3149" spans="1:14">
      <c r="A3149" t="s">
        <v>29</v>
      </c>
      <c r="B3149">
        <v>1185732</v>
      </c>
      <c r="C3149" s="2">
        <v>44418</v>
      </c>
      <c r="D3149" t="s">
        <v>140</v>
      </c>
      <c r="E3149" t="s">
        <v>249</v>
      </c>
      <c r="F3149" t="s">
        <v>257</v>
      </c>
      <c r="G3149" t="s">
        <v>144</v>
      </c>
      <c r="H3149" s="3">
        <v>0.55000000000000004</v>
      </c>
      <c r="I3149">
        <v>3500</v>
      </c>
      <c r="J3149" s="4">
        <v>1925.0000000000002</v>
      </c>
      <c r="K3149" s="4">
        <v>770.00000000000011</v>
      </c>
      <c r="L3149" s="5">
        <v>0.4</v>
      </c>
      <c r="M3149" t="s">
        <v>131</v>
      </c>
      <c r="N3149" t="s">
        <v>363</v>
      </c>
    </row>
    <row r="3150" spans="1:14">
      <c r="A3150" t="s">
        <v>29</v>
      </c>
      <c r="B3150">
        <v>1185732</v>
      </c>
      <c r="C3150" s="2">
        <v>44450</v>
      </c>
      <c r="D3150" t="s">
        <v>140</v>
      </c>
      <c r="E3150" t="s">
        <v>249</v>
      </c>
      <c r="F3150" t="s">
        <v>257</v>
      </c>
      <c r="G3150" t="s">
        <v>27</v>
      </c>
      <c r="H3150" s="3">
        <v>0.35000000000000003</v>
      </c>
      <c r="I3150">
        <v>4750</v>
      </c>
      <c r="J3150" s="4">
        <v>1662.5000000000002</v>
      </c>
      <c r="K3150" s="4">
        <v>665.00000000000011</v>
      </c>
      <c r="L3150" s="5">
        <v>0.4</v>
      </c>
      <c r="M3150" t="s">
        <v>132</v>
      </c>
      <c r="N3150" t="s">
        <v>363</v>
      </c>
    </row>
    <row r="3151" spans="1:14">
      <c r="A3151" t="s">
        <v>29</v>
      </c>
      <c r="B3151">
        <v>1185732</v>
      </c>
      <c r="C3151" s="2">
        <v>44450</v>
      </c>
      <c r="D3151" t="s">
        <v>140</v>
      </c>
      <c r="E3151" t="s">
        <v>249</v>
      </c>
      <c r="F3151" t="s">
        <v>257</v>
      </c>
      <c r="G3151" t="s">
        <v>145</v>
      </c>
      <c r="H3151" s="3">
        <v>0.3000000000000001</v>
      </c>
      <c r="I3151">
        <v>2750</v>
      </c>
      <c r="J3151" s="4">
        <v>825.00000000000023</v>
      </c>
      <c r="K3151" s="4">
        <v>330.00000000000011</v>
      </c>
      <c r="L3151" s="5">
        <v>0.4</v>
      </c>
      <c r="M3151" t="s">
        <v>132</v>
      </c>
      <c r="N3151" t="s">
        <v>363</v>
      </c>
    </row>
    <row r="3152" spans="1:14">
      <c r="A3152" t="s">
        <v>29</v>
      </c>
      <c r="B3152">
        <v>1185732</v>
      </c>
      <c r="C3152" s="2">
        <v>44450</v>
      </c>
      <c r="D3152" t="s">
        <v>140</v>
      </c>
      <c r="E3152" t="s">
        <v>249</v>
      </c>
      <c r="F3152" t="s">
        <v>257</v>
      </c>
      <c r="G3152" t="s">
        <v>146</v>
      </c>
      <c r="H3152" s="3">
        <v>0.25000000000000006</v>
      </c>
      <c r="I3152">
        <v>1750</v>
      </c>
      <c r="J3152" s="4">
        <v>437.50000000000011</v>
      </c>
      <c r="K3152" s="4">
        <v>153.12500000000003</v>
      </c>
      <c r="L3152" s="5">
        <v>0.35</v>
      </c>
      <c r="M3152" t="s">
        <v>132</v>
      </c>
      <c r="N3152" t="s">
        <v>363</v>
      </c>
    </row>
    <row r="3153" spans="1:14">
      <c r="A3153" t="s">
        <v>29</v>
      </c>
      <c r="B3153">
        <v>1185732</v>
      </c>
      <c r="C3153" s="2">
        <v>44450</v>
      </c>
      <c r="D3153" t="s">
        <v>140</v>
      </c>
      <c r="E3153" t="s">
        <v>249</v>
      </c>
      <c r="F3153" t="s">
        <v>257</v>
      </c>
      <c r="G3153" t="s">
        <v>148</v>
      </c>
      <c r="H3153" s="3">
        <v>0.25000000000000006</v>
      </c>
      <c r="I3153">
        <v>1500</v>
      </c>
      <c r="J3153" s="4">
        <v>375.00000000000006</v>
      </c>
      <c r="K3153" s="4">
        <v>131.25</v>
      </c>
      <c r="L3153" s="5">
        <v>0.35</v>
      </c>
      <c r="M3153" t="s">
        <v>132</v>
      </c>
      <c r="N3153" t="s">
        <v>363</v>
      </c>
    </row>
    <row r="3154" spans="1:14">
      <c r="A3154" t="s">
        <v>29</v>
      </c>
      <c r="B3154">
        <v>1185732</v>
      </c>
      <c r="C3154" s="2">
        <v>44450</v>
      </c>
      <c r="D3154" t="s">
        <v>140</v>
      </c>
      <c r="E3154" t="s">
        <v>249</v>
      </c>
      <c r="F3154" t="s">
        <v>257</v>
      </c>
      <c r="G3154" t="s">
        <v>147</v>
      </c>
      <c r="H3154" s="3">
        <v>0.35000000000000003</v>
      </c>
      <c r="I3154">
        <v>1500</v>
      </c>
      <c r="J3154" s="4">
        <v>525</v>
      </c>
      <c r="K3154" s="4">
        <v>157.5</v>
      </c>
      <c r="L3154" s="5">
        <v>0.3</v>
      </c>
      <c r="M3154" t="s">
        <v>132</v>
      </c>
      <c r="N3154" t="s">
        <v>363</v>
      </c>
    </row>
    <row r="3155" spans="1:14">
      <c r="A3155" t="s">
        <v>29</v>
      </c>
      <c r="B3155">
        <v>1185732</v>
      </c>
      <c r="C3155" s="2">
        <v>44450</v>
      </c>
      <c r="D3155" t="s">
        <v>140</v>
      </c>
      <c r="E3155" t="s">
        <v>249</v>
      </c>
      <c r="F3155" t="s">
        <v>257</v>
      </c>
      <c r="G3155" t="s">
        <v>144</v>
      </c>
      <c r="H3155" s="3">
        <v>0.4</v>
      </c>
      <c r="I3155">
        <v>2250</v>
      </c>
      <c r="J3155" s="4">
        <v>900</v>
      </c>
      <c r="K3155" s="4">
        <v>360</v>
      </c>
      <c r="L3155" s="5">
        <v>0.4</v>
      </c>
      <c r="M3155" t="s">
        <v>132</v>
      </c>
      <c r="N3155" t="s">
        <v>363</v>
      </c>
    </row>
    <row r="3156" spans="1:14">
      <c r="A3156" t="s">
        <v>29</v>
      </c>
      <c r="B3156">
        <v>1185732</v>
      </c>
      <c r="C3156" s="2">
        <v>44479</v>
      </c>
      <c r="D3156" t="s">
        <v>140</v>
      </c>
      <c r="E3156" t="s">
        <v>249</v>
      </c>
      <c r="F3156" t="s">
        <v>257</v>
      </c>
      <c r="G3156" t="s">
        <v>27</v>
      </c>
      <c r="H3156" s="3">
        <v>0.44999999999999996</v>
      </c>
      <c r="I3156">
        <v>4000</v>
      </c>
      <c r="J3156" s="4">
        <v>1799.9999999999998</v>
      </c>
      <c r="K3156" s="4">
        <v>720</v>
      </c>
      <c r="L3156" s="5">
        <v>0.4</v>
      </c>
      <c r="M3156" t="s">
        <v>133</v>
      </c>
      <c r="N3156" t="s">
        <v>364</v>
      </c>
    </row>
    <row r="3157" spans="1:14">
      <c r="A3157" t="s">
        <v>29</v>
      </c>
      <c r="B3157">
        <v>1185732</v>
      </c>
      <c r="C3157" s="2">
        <v>44479</v>
      </c>
      <c r="D3157" t="s">
        <v>140</v>
      </c>
      <c r="E3157" t="s">
        <v>249</v>
      </c>
      <c r="F3157" t="s">
        <v>257</v>
      </c>
      <c r="G3157" t="s">
        <v>145</v>
      </c>
      <c r="H3157" s="3">
        <v>0.35000000000000003</v>
      </c>
      <c r="I3157">
        <v>2500</v>
      </c>
      <c r="J3157" s="4">
        <v>875.00000000000011</v>
      </c>
      <c r="K3157" s="4">
        <v>350.00000000000006</v>
      </c>
      <c r="L3157" s="5">
        <v>0.4</v>
      </c>
      <c r="M3157" t="s">
        <v>133</v>
      </c>
      <c r="N3157" t="s">
        <v>364</v>
      </c>
    </row>
    <row r="3158" spans="1:14">
      <c r="A3158" t="s">
        <v>29</v>
      </c>
      <c r="B3158">
        <v>1185732</v>
      </c>
      <c r="C3158" s="2">
        <v>44479</v>
      </c>
      <c r="D3158" t="s">
        <v>140</v>
      </c>
      <c r="E3158" t="s">
        <v>249</v>
      </c>
      <c r="F3158" t="s">
        <v>257</v>
      </c>
      <c r="G3158" t="s">
        <v>146</v>
      </c>
      <c r="H3158" s="3">
        <v>0.35000000000000003</v>
      </c>
      <c r="I3158">
        <v>1500</v>
      </c>
      <c r="J3158" s="4">
        <v>525</v>
      </c>
      <c r="K3158" s="4">
        <v>183.75</v>
      </c>
      <c r="L3158" s="5">
        <v>0.35</v>
      </c>
      <c r="M3158" t="s">
        <v>133</v>
      </c>
      <c r="N3158" t="s">
        <v>364</v>
      </c>
    </row>
    <row r="3159" spans="1:14">
      <c r="A3159" t="s">
        <v>29</v>
      </c>
      <c r="B3159">
        <v>1185732</v>
      </c>
      <c r="C3159" s="2">
        <v>44479</v>
      </c>
      <c r="D3159" t="s">
        <v>140</v>
      </c>
      <c r="E3159" t="s">
        <v>249</v>
      </c>
      <c r="F3159" t="s">
        <v>257</v>
      </c>
      <c r="G3159" t="s">
        <v>148</v>
      </c>
      <c r="H3159" s="3">
        <v>0.35000000000000003</v>
      </c>
      <c r="I3159">
        <v>1500</v>
      </c>
      <c r="J3159" s="4">
        <v>525</v>
      </c>
      <c r="K3159" s="4">
        <v>183.75</v>
      </c>
      <c r="L3159" s="5">
        <v>0.35</v>
      </c>
      <c r="M3159" t="s">
        <v>133</v>
      </c>
      <c r="N3159" t="s">
        <v>364</v>
      </c>
    </row>
    <row r="3160" spans="1:14">
      <c r="A3160" t="s">
        <v>29</v>
      </c>
      <c r="B3160">
        <v>1185732</v>
      </c>
      <c r="C3160" s="2">
        <v>44479</v>
      </c>
      <c r="D3160" t="s">
        <v>140</v>
      </c>
      <c r="E3160" t="s">
        <v>249</v>
      </c>
      <c r="F3160" t="s">
        <v>257</v>
      </c>
      <c r="G3160" t="s">
        <v>147</v>
      </c>
      <c r="H3160" s="3">
        <v>0.44999999999999996</v>
      </c>
      <c r="I3160">
        <v>1500</v>
      </c>
      <c r="J3160" s="4">
        <v>674.99999999999989</v>
      </c>
      <c r="K3160" s="4">
        <v>202.49999999999997</v>
      </c>
      <c r="L3160" s="5">
        <v>0.3</v>
      </c>
      <c r="M3160" t="s">
        <v>133</v>
      </c>
      <c r="N3160" t="s">
        <v>364</v>
      </c>
    </row>
    <row r="3161" spans="1:14">
      <c r="A3161" t="s">
        <v>29</v>
      </c>
      <c r="B3161">
        <v>1185732</v>
      </c>
      <c r="C3161" s="2">
        <v>44479</v>
      </c>
      <c r="D3161" t="s">
        <v>140</v>
      </c>
      <c r="E3161" t="s">
        <v>249</v>
      </c>
      <c r="F3161" t="s">
        <v>257</v>
      </c>
      <c r="G3161" t="s">
        <v>144</v>
      </c>
      <c r="H3161" s="3">
        <v>0.49999999999999983</v>
      </c>
      <c r="I3161">
        <v>2750</v>
      </c>
      <c r="J3161" s="4">
        <v>1374.9999999999995</v>
      </c>
      <c r="K3161" s="4">
        <v>549.99999999999989</v>
      </c>
      <c r="L3161" s="5">
        <v>0.4</v>
      </c>
      <c r="M3161" t="s">
        <v>133</v>
      </c>
      <c r="N3161" t="s">
        <v>364</v>
      </c>
    </row>
    <row r="3162" spans="1:14">
      <c r="A3162" t="s">
        <v>29</v>
      </c>
      <c r="B3162">
        <v>1185732</v>
      </c>
      <c r="C3162" s="2">
        <v>44510</v>
      </c>
      <c r="D3162" t="s">
        <v>140</v>
      </c>
      <c r="E3162" t="s">
        <v>249</v>
      </c>
      <c r="F3162" t="s">
        <v>257</v>
      </c>
      <c r="G3162" t="s">
        <v>27</v>
      </c>
      <c r="H3162" s="3">
        <v>0.44999999999999996</v>
      </c>
      <c r="I3162">
        <v>4250</v>
      </c>
      <c r="J3162" s="4">
        <v>1912.4999999999998</v>
      </c>
      <c r="K3162" s="4">
        <v>765</v>
      </c>
      <c r="L3162" s="5">
        <v>0.4</v>
      </c>
      <c r="M3162" t="s">
        <v>134</v>
      </c>
      <c r="N3162" t="s">
        <v>364</v>
      </c>
    </row>
    <row r="3163" spans="1:14">
      <c r="A3163" t="s">
        <v>29</v>
      </c>
      <c r="B3163">
        <v>1185732</v>
      </c>
      <c r="C3163" s="2">
        <v>44510</v>
      </c>
      <c r="D3163" t="s">
        <v>140</v>
      </c>
      <c r="E3163" t="s">
        <v>249</v>
      </c>
      <c r="F3163" t="s">
        <v>257</v>
      </c>
      <c r="G3163" t="s">
        <v>145</v>
      </c>
      <c r="H3163" s="3">
        <v>0.35000000000000003</v>
      </c>
      <c r="I3163">
        <v>3250</v>
      </c>
      <c r="J3163" s="4">
        <v>1137.5</v>
      </c>
      <c r="K3163" s="4">
        <v>455</v>
      </c>
      <c r="L3163" s="5">
        <v>0.4</v>
      </c>
      <c r="M3163" t="s">
        <v>134</v>
      </c>
      <c r="N3163" t="s">
        <v>364</v>
      </c>
    </row>
    <row r="3164" spans="1:14">
      <c r="A3164" t="s">
        <v>29</v>
      </c>
      <c r="B3164">
        <v>1185732</v>
      </c>
      <c r="C3164" s="2">
        <v>44510</v>
      </c>
      <c r="D3164" t="s">
        <v>140</v>
      </c>
      <c r="E3164" t="s">
        <v>249</v>
      </c>
      <c r="F3164" t="s">
        <v>257</v>
      </c>
      <c r="G3164" t="s">
        <v>146</v>
      </c>
      <c r="H3164" s="3">
        <v>0.35000000000000003</v>
      </c>
      <c r="I3164">
        <v>2700</v>
      </c>
      <c r="J3164" s="4">
        <v>945.00000000000011</v>
      </c>
      <c r="K3164" s="4">
        <v>330.75</v>
      </c>
      <c r="L3164" s="5">
        <v>0.35</v>
      </c>
      <c r="M3164" t="s">
        <v>134</v>
      </c>
      <c r="N3164" t="s">
        <v>364</v>
      </c>
    </row>
    <row r="3165" spans="1:14">
      <c r="A3165" t="s">
        <v>29</v>
      </c>
      <c r="B3165">
        <v>1185732</v>
      </c>
      <c r="C3165" s="2">
        <v>44510</v>
      </c>
      <c r="D3165" t="s">
        <v>140</v>
      </c>
      <c r="E3165" t="s">
        <v>249</v>
      </c>
      <c r="F3165" t="s">
        <v>257</v>
      </c>
      <c r="G3165" t="s">
        <v>148</v>
      </c>
      <c r="H3165" s="3">
        <v>0.35000000000000003</v>
      </c>
      <c r="I3165">
        <v>2750</v>
      </c>
      <c r="J3165" s="4">
        <v>962.50000000000011</v>
      </c>
      <c r="K3165" s="4">
        <v>336.875</v>
      </c>
      <c r="L3165" s="5">
        <v>0.35</v>
      </c>
      <c r="M3165" t="s">
        <v>134</v>
      </c>
      <c r="N3165" t="s">
        <v>364</v>
      </c>
    </row>
    <row r="3166" spans="1:14">
      <c r="A3166" t="s">
        <v>29</v>
      </c>
      <c r="B3166">
        <v>1185732</v>
      </c>
      <c r="C3166" s="2">
        <v>44510</v>
      </c>
      <c r="D3166" t="s">
        <v>140</v>
      </c>
      <c r="E3166" t="s">
        <v>249</v>
      </c>
      <c r="F3166" t="s">
        <v>257</v>
      </c>
      <c r="G3166" t="s">
        <v>147</v>
      </c>
      <c r="H3166" s="3">
        <v>0.6</v>
      </c>
      <c r="I3166">
        <v>2500</v>
      </c>
      <c r="J3166" s="4">
        <v>1500</v>
      </c>
      <c r="K3166" s="4">
        <v>450</v>
      </c>
      <c r="L3166" s="5">
        <v>0.3</v>
      </c>
      <c r="M3166" t="s">
        <v>134</v>
      </c>
      <c r="N3166" t="s">
        <v>364</v>
      </c>
    </row>
    <row r="3167" spans="1:14">
      <c r="A3167" t="s">
        <v>29</v>
      </c>
      <c r="B3167">
        <v>1185732</v>
      </c>
      <c r="C3167" s="2">
        <v>44510</v>
      </c>
      <c r="D3167" t="s">
        <v>140</v>
      </c>
      <c r="E3167" t="s">
        <v>249</v>
      </c>
      <c r="F3167" t="s">
        <v>257</v>
      </c>
      <c r="G3167" t="s">
        <v>144</v>
      </c>
      <c r="H3167" s="3">
        <v>0.64999999999999991</v>
      </c>
      <c r="I3167">
        <v>3500</v>
      </c>
      <c r="J3167" s="4">
        <v>2274.9999999999995</v>
      </c>
      <c r="K3167" s="4">
        <v>909.99999999999989</v>
      </c>
      <c r="L3167" s="5">
        <v>0.4</v>
      </c>
      <c r="M3167" t="s">
        <v>134</v>
      </c>
      <c r="N3167" t="s">
        <v>364</v>
      </c>
    </row>
    <row r="3168" spans="1:14">
      <c r="A3168" t="s">
        <v>29</v>
      </c>
      <c r="B3168">
        <v>1185732</v>
      </c>
      <c r="C3168" s="2">
        <v>44539</v>
      </c>
      <c r="D3168" t="s">
        <v>140</v>
      </c>
      <c r="E3168" t="s">
        <v>249</v>
      </c>
      <c r="F3168" t="s">
        <v>257</v>
      </c>
      <c r="G3168" t="s">
        <v>27</v>
      </c>
      <c r="H3168" s="3">
        <v>0.6</v>
      </c>
      <c r="I3168">
        <v>6000</v>
      </c>
      <c r="J3168" s="4">
        <v>3600</v>
      </c>
      <c r="K3168" s="4">
        <v>1440</v>
      </c>
      <c r="L3168" s="5">
        <v>0.4</v>
      </c>
      <c r="M3168" t="s">
        <v>23</v>
      </c>
      <c r="N3168" t="s">
        <v>364</v>
      </c>
    </row>
    <row r="3169" spans="1:14">
      <c r="A3169" t="s">
        <v>29</v>
      </c>
      <c r="B3169">
        <v>1185732</v>
      </c>
      <c r="C3169" s="2">
        <v>44539</v>
      </c>
      <c r="D3169" t="s">
        <v>140</v>
      </c>
      <c r="E3169" t="s">
        <v>249</v>
      </c>
      <c r="F3169" t="s">
        <v>257</v>
      </c>
      <c r="G3169" t="s">
        <v>145</v>
      </c>
      <c r="H3169" s="3">
        <v>0.5</v>
      </c>
      <c r="I3169">
        <v>4000</v>
      </c>
      <c r="J3169" s="4">
        <v>2000</v>
      </c>
      <c r="K3169" s="4">
        <v>800</v>
      </c>
      <c r="L3169" s="5">
        <v>0.4</v>
      </c>
      <c r="M3169" t="s">
        <v>23</v>
      </c>
      <c r="N3169" t="s">
        <v>364</v>
      </c>
    </row>
    <row r="3170" spans="1:14">
      <c r="A3170" t="s">
        <v>29</v>
      </c>
      <c r="B3170">
        <v>1185732</v>
      </c>
      <c r="C3170" s="2">
        <v>44539</v>
      </c>
      <c r="D3170" t="s">
        <v>140</v>
      </c>
      <c r="E3170" t="s">
        <v>249</v>
      </c>
      <c r="F3170" t="s">
        <v>257</v>
      </c>
      <c r="G3170" t="s">
        <v>146</v>
      </c>
      <c r="H3170" s="3">
        <v>0.5</v>
      </c>
      <c r="I3170">
        <v>3500</v>
      </c>
      <c r="J3170" s="4">
        <v>1750</v>
      </c>
      <c r="K3170" s="4">
        <v>612.5</v>
      </c>
      <c r="L3170" s="5">
        <v>0.35</v>
      </c>
      <c r="M3170" t="s">
        <v>23</v>
      </c>
      <c r="N3170" t="s">
        <v>364</v>
      </c>
    </row>
    <row r="3171" spans="1:14">
      <c r="A3171" t="s">
        <v>29</v>
      </c>
      <c r="B3171">
        <v>1185732</v>
      </c>
      <c r="C3171" s="2">
        <v>44539</v>
      </c>
      <c r="D3171" t="s">
        <v>140</v>
      </c>
      <c r="E3171" t="s">
        <v>249</v>
      </c>
      <c r="F3171" t="s">
        <v>257</v>
      </c>
      <c r="G3171" t="s">
        <v>148</v>
      </c>
      <c r="H3171" s="3">
        <v>0.5</v>
      </c>
      <c r="I3171">
        <v>3000</v>
      </c>
      <c r="J3171" s="4">
        <v>1500</v>
      </c>
      <c r="K3171" s="4">
        <v>525</v>
      </c>
      <c r="L3171" s="5">
        <v>0.35</v>
      </c>
      <c r="M3171" t="s">
        <v>23</v>
      </c>
      <c r="N3171" t="s">
        <v>364</v>
      </c>
    </row>
    <row r="3172" spans="1:14">
      <c r="A3172" t="s">
        <v>29</v>
      </c>
      <c r="B3172">
        <v>1185732</v>
      </c>
      <c r="C3172" s="2">
        <v>44539</v>
      </c>
      <c r="D3172" t="s">
        <v>140</v>
      </c>
      <c r="E3172" t="s">
        <v>249</v>
      </c>
      <c r="F3172" t="s">
        <v>257</v>
      </c>
      <c r="G3172" t="s">
        <v>147</v>
      </c>
      <c r="H3172" s="3">
        <v>0.6</v>
      </c>
      <c r="I3172">
        <v>3000</v>
      </c>
      <c r="J3172" s="4">
        <v>1800</v>
      </c>
      <c r="K3172" s="4">
        <v>540</v>
      </c>
      <c r="L3172" s="5">
        <v>0.3</v>
      </c>
      <c r="M3172" t="s">
        <v>23</v>
      </c>
      <c r="N3172" t="s">
        <v>364</v>
      </c>
    </row>
    <row r="3173" spans="1:14">
      <c r="A3173" t="s">
        <v>29</v>
      </c>
      <c r="B3173">
        <v>1185732</v>
      </c>
      <c r="C3173" s="2">
        <v>44539</v>
      </c>
      <c r="D3173" t="s">
        <v>140</v>
      </c>
      <c r="E3173" t="s">
        <v>249</v>
      </c>
      <c r="F3173" t="s">
        <v>257</v>
      </c>
      <c r="G3173" t="s">
        <v>144</v>
      </c>
      <c r="H3173" s="3">
        <v>0.64999999999999991</v>
      </c>
      <c r="I3173">
        <v>4000</v>
      </c>
      <c r="J3173" s="4">
        <v>2599.9999999999995</v>
      </c>
      <c r="K3173" s="4">
        <v>1039.9999999999998</v>
      </c>
      <c r="L3173" s="5">
        <v>0.4</v>
      </c>
      <c r="M3173" t="s">
        <v>23</v>
      </c>
      <c r="N3173" t="s">
        <v>364</v>
      </c>
    </row>
    <row r="3174" spans="1:14">
      <c r="A3174" t="s">
        <v>29</v>
      </c>
      <c r="B3174">
        <v>1185732</v>
      </c>
      <c r="C3174" s="2">
        <v>44213</v>
      </c>
      <c r="D3174" t="s">
        <v>140</v>
      </c>
      <c r="E3174" t="s">
        <v>227</v>
      </c>
      <c r="F3174" t="s">
        <v>236</v>
      </c>
      <c r="G3174" t="s">
        <v>27</v>
      </c>
      <c r="H3174" s="3">
        <v>0.35000000000000003</v>
      </c>
      <c r="I3174">
        <v>5000</v>
      </c>
      <c r="J3174" s="4">
        <v>1750.0000000000002</v>
      </c>
      <c r="K3174" s="4">
        <v>700.00000000000011</v>
      </c>
      <c r="L3174" s="5">
        <v>0.4</v>
      </c>
      <c r="M3174" t="s">
        <v>125</v>
      </c>
      <c r="N3174" t="s">
        <v>361</v>
      </c>
    </row>
    <row r="3175" spans="1:14">
      <c r="A3175" t="s">
        <v>29</v>
      </c>
      <c r="B3175">
        <v>1185732</v>
      </c>
      <c r="C3175" s="2">
        <v>44213</v>
      </c>
      <c r="D3175" t="s">
        <v>140</v>
      </c>
      <c r="E3175" t="s">
        <v>227</v>
      </c>
      <c r="F3175" t="s">
        <v>236</v>
      </c>
      <c r="G3175" t="s">
        <v>145</v>
      </c>
      <c r="H3175" s="3">
        <v>0.35000000000000003</v>
      </c>
      <c r="I3175">
        <v>3000</v>
      </c>
      <c r="J3175" s="4">
        <v>1050</v>
      </c>
      <c r="K3175" s="4">
        <v>420</v>
      </c>
      <c r="L3175" s="5">
        <v>0.4</v>
      </c>
      <c r="M3175" t="s">
        <v>125</v>
      </c>
      <c r="N3175" t="s">
        <v>361</v>
      </c>
    </row>
    <row r="3176" spans="1:14">
      <c r="A3176" t="s">
        <v>29</v>
      </c>
      <c r="B3176">
        <v>1185732</v>
      </c>
      <c r="C3176" s="2">
        <v>44213</v>
      </c>
      <c r="D3176" t="s">
        <v>140</v>
      </c>
      <c r="E3176" t="s">
        <v>227</v>
      </c>
      <c r="F3176" t="s">
        <v>236</v>
      </c>
      <c r="G3176" t="s">
        <v>146</v>
      </c>
      <c r="H3176" s="3">
        <v>0.25000000000000006</v>
      </c>
      <c r="I3176">
        <v>3000</v>
      </c>
      <c r="J3176" s="4">
        <v>750.00000000000011</v>
      </c>
      <c r="K3176" s="4">
        <v>300.00000000000006</v>
      </c>
      <c r="L3176" s="5">
        <v>0.4</v>
      </c>
      <c r="M3176" t="s">
        <v>125</v>
      </c>
      <c r="N3176" t="s">
        <v>361</v>
      </c>
    </row>
    <row r="3177" spans="1:14">
      <c r="A3177" t="s">
        <v>29</v>
      </c>
      <c r="B3177">
        <v>1185732</v>
      </c>
      <c r="C3177" s="2">
        <v>44213</v>
      </c>
      <c r="D3177" t="s">
        <v>140</v>
      </c>
      <c r="E3177" t="s">
        <v>227</v>
      </c>
      <c r="F3177" t="s">
        <v>236</v>
      </c>
      <c r="G3177" t="s">
        <v>148</v>
      </c>
      <c r="H3177" s="3">
        <v>0.30000000000000004</v>
      </c>
      <c r="I3177">
        <v>1500</v>
      </c>
      <c r="J3177" s="4">
        <v>450.00000000000006</v>
      </c>
      <c r="K3177" s="4">
        <v>180.00000000000003</v>
      </c>
      <c r="L3177" s="5">
        <v>0.4</v>
      </c>
      <c r="M3177" t="s">
        <v>125</v>
      </c>
      <c r="N3177" t="s">
        <v>361</v>
      </c>
    </row>
    <row r="3178" spans="1:14">
      <c r="A3178" t="s">
        <v>29</v>
      </c>
      <c r="B3178">
        <v>1185732</v>
      </c>
      <c r="C3178" s="2">
        <v>44213</v>
      </c>
      <c r="D3178" t="s">
        <v>140</v>
      </c>
      <c r="E3178" t="s">
        <v>227</v>
      </c>
      <c r="F3178" t="s">
        <v>236</v>
      </c>
      <c r="G3178" t="s">
        <v>147</v>
      </c>
      <c r="H3178" s="3">
        <v>0.44999999999999996</v>
      </c>
      <c r="I3178">
        <v>2000</v>
      </c>
      <c r="J3178" s="4">
        <v>899.99999999999989</v>
      </c>
      <c r="K3178" s="4">
        <v>360</v>
      </c>
      <c r="L3178" s="5">
        <v>0.4</v>
      </c>
      <c r="M3178" t="s">
        <v>125</v>
      </c>
      <c r="N3178" t="s">
        <v>361</v>
      </c>
    </row>
    <row r="3179" spans="1:14">
      <c r="A3179" t="s">
        <v>29</v>
      </c>
      <c r="B3179">
        <v>1185732</v>
      </c>
      <c r="C3179" s="2">
        <v>44213</v>
      </c>
      <c r="D3179" t="s">
        <v>140</v>
      </c>
      <c r="E3179" t="s">
        <v>227</v>
      </c>
      <c r="F3179" t="s">
        <v>236</v>
      </c>
      <c r="G3179" t="s">
        <v>144</v>
      </c>
      <c r="H3179" s="3">
        <v>0.35000000000000003</v>
      </c>
      <c r="I3179">
        <v>3000</v>
      </c>
      <c r="J3179" s="4">
        <v>1050</v>
      </c>
      <c r="K3179" s="4">
        <v>420</v>
      </c>
      <c r="L3179" s="5">
        <v>0.4</v>
      </c>
      <c r="M3179" t="s">
        <v>125</v>
      </c>
      <c r="N3179" t="s">
        <v>361</v>
      </c>
    </row>
    <row r="3180" spans="1:14">
      <c r="A3180" t="s">
        <v>29</v>
      </c>
      <c r="B3180">
        <v>1185732</v>
      </c>
      <c r="C3180" s="2">
        <v>44244</v>
      </c>
      <c r="D3180" t="s">
        <v>140</v>
      </c>
      <c r="E3180" t="s">
        <v>227</v>
      </c>
      <c r="F3180" t="s">
        <v>236</v>
      </c>
      <c r="G3180" t="s">
        <v>27</v>
      </c>
      <c r="H3180" s="3">
        <v>0.35000000000000003</v>
      </c>
      <c r="I3180">
        <v>5500</v>
      </c>
      <c r="J3180" s="4">
        <v>1925.0000000000002</v>
      </c>
      <c r="K3180" s="4">
        <v>770.00000000000011</v>
      </c>
      <c r="L3180" s="5">
        <v>0.4</v>
      </c>
      <c r="M3180" t="s">
        <v>126</v>
      </c>
      <c r="N3180" t="s">
        <v>361</v>
      </c>
    </row>
    <row r="3181" spans="1:14">
      <c r="A3181" t="s">
        <v>29</v>
      </c>
      <c r="B3181">
        <v>1185732</v>
      </c>
      <c r="C3181" s="2">
        <v>44244</v>
      </c>
      <c r="D3181" t="s">
        <v>140</v>
      </c>
      <c r="E3181" t="s">
        <v>227</v>
      </c>
      <c r="F3181" t="s">
        <v>236</v>
      </c>
      <c r="G3181" t="s">
        <v>145</v>
      </c>
      <c r="H3181" s="3">
        <v>0.4</v>
      </c>
      <c r="I3181">
        <v>2000</v>
      </c>
      <c r="J3181" s="4">
        <v>800</v>
      </c>
      <c r="K3181" s="4">
        <v>320</v>
      </c>
      <c r="L3181" s="5">
        <v>0.4</v>
      </c>
      <c r="M3181" t="s">
        <v>126</v>
      </c>
      <c r="N3181" t="s">
        <v>361</v>
      </c>
    </row>
    <row r="3182" spans="1:14">
      <c r="A3182" t="s">
        <v>29</v>
      </c>
      <c r="B3182">
        <v>1185732</v>
      </c>
      <c r="C3182" s="2">
        <v>44244</v>
      </c>
      <c r="D3182" t="s">
        <v>140</v>
      </c>
      <c r="E3182" t="s">
        <v>227</v>
      </c>
      <c r="F3182" t="s">
        <v>236</v>
      </c>
      <c r="G3182" t="s">
        <v>146</v>
      </c>
      <c r="H3182" s="3">
        <v>0.30000000000000004</v>
      </c>
      <c r="I3182">
        <v>3000</v>
      </c>
      <c r="J3182" s="4">
        <v>900.00000000000011</v>
      </c>
      <c r="K3182" s="4">
        <v>360.00000000000006</v>
      </c>
      <c r="L3182" s="5">
        <v>0.4</v>
      </c>
      <c r="M3182" t="s">
        <v>126</v>
      </c>
      <c r="N3182" t="s">
        <v>361</v>
      </c>
    </row>
    <row r="3183" spans="1:14">
      <c r="A3183" t="s">
        <v>29</v>
      </c>
      <c r="B3183">
        <v>1185732</v>
      </c>
      <c r="C3183" s="2">
        <v>44244</v>
      </c>
      <c r="D3183" t="s">
        <v>140</v>
      </c>
      <c r="E3183" t="s">
        <v>227</v>
      </c>
      <c r="F3183" t="s">
        <v>236</v>
      </c>
      <c r="G3183" t="s">
        <v>148</v>
      </c>
      <c r="H3183" s="3">
        <v>0.35000000000000003</v>
      </c>
      <c r="I3183">
        <v>1750</v>
      </c>
      <c r="J3183" s="4">
        <v>612.50000000000011</v>
      </c>
      <c r="K3183" s="4">
        <v>245.00000000000006</v>
      </c>
      <c r="L3183" s="5">
        <v>0.4</v>
      </c>
      <c r="M3183" t="s">
        <v>126</v>
      </c>
      <c r="N3183" t="s">
        <v>361</v>
      </c>
    </row>
    <row r="3184" spans="1:14">
      <c r="A3184" t="s">
        <v>29</v>
      </c>
      <c r="B3184">
        <v>1185732</v>
      </c>
      <c r="C3184" s="2">
        <v>44244</v>
      </c>
      <c r="D3184" t="s">
        <v>140</v>
      </c>
      <c r="E3184" t="s">
        <v>227</v>
      </c>
      <c r="F3184" t="s">
        <v>236</v>
      </c>
      <c r="G3184" t="s">
        <v>147</v>
      </c>
      <c r="H3184" s="3">
        <v>0.49999999999999994</v>
      </c>
      <c r="I3184">
        <v>2500</v>
      </c>
      <c r="J3184" s="4">
        <v>1249.9999999999998</v>
      </c>
      <c r="K3184" s="4">
        <v>499.99999999999994</v>
      </c>
      <c r="L3184" s="5">
        <v>0.4</v>
      </c>
      <c r="M3184" t="s">
        <v>126</v>
      </c>
      <c r="N3184" t="s">
        <v>361</v>
      </c>
    </row>
    <row r="3185" spans="1:14">
      <c r="A3185" t="s">
        <v>29</v>
      </c>
      <c r="B3185">
        <v>1185732</v>
      </c>
      <c r="C3185" s="2">
        <v>44244</v>
      </c>
      <c r="D3185" t="s">
        <v>140</v>
      </c>
      <c r="E3185" t="s">
        <v>227</v>
      </c>
      <c r="F3185" t="s">
        <v>236</v>
      </c>
      <c r="G3185" t="s">
        <v>144</v>
      </c>
      <c r="H3185" s="3">
        <v>0.24999999999999994</v>
      </c>
      <c r="I3185">
        <v>3500</v>
      </c>
      <c r="J3185" s="4">
        <v>874.99999999999977</v>
      </c>
      <c r="K3185" s="4">
        <v>349.99999999999994</v>
      </c>
      <c r="L3185" s="5">
        <v>0.4</v>
      </c>
      <c r="M3185" t="s">
        <v>126</v>
      </c>
      <c r="N3185" t="s">
        <v>361</v>
      </c>
    </row>
    <row r="3186" spans="1:14">
      <c r="A3186" t="s">
        <v>29</v>
      </c>
      <c r="B3186">
        <v>1185732</v>
      </c>
      <c r="C3186" s="2">
        <v>44271</v>
      </c>
      <c r="D3186" t="s">
        <v>140</v>
      </c>
      <c r="E3186" t="s">
        <v>227</v>
      </c>
      <c r="F3186" t="s">
        <v>236</v>
      </c>
      <c r="G3186" t="s">
        <v>27</v>
      </c>
      <c r="H3186" s="3">
        <v>0.30000000000000004</v>
      </c>
      <c r="I3186">
        <v>5700</v>
      </c>
      <c r="J3186" s="4">
        <v>1710.0000000000002</v>
      </c>
      <c r="K3186" s="4">
        <v>684.00000000000011</v>
      </c>
      <c r="L3186" s="5">
        <v>0.4</v>
      </c>
      <c r="M3186" t="s">
        <v>24</v>
      </c>
      <c r="N3186" t="s">
        <v>361</v>
      </c>
    </row>
    <row r="3187" spans="1:14">
      <c r="A3187" t="s">
        <v>29</v>
      </c>
      <c r="B3187">
        <v>1185732</v>
      </c>
      <c r="C3187" s="2">
        <v>44271</v>
      </c>
      <c r="D3187" t="s">
        <v>140</v>
      </c>
      <c r="E3187" t="s">
        <v>227</v>
      </c>
      <c r="F3187" t="s">
        <v>236</v>
      </c>
      <c r="G3187" t="s">
        <v>145</v>
      </c>
      <c r="H3187" s="3">
        <v>0.30000000000000004</v>
      </c>
      <c r="I3187">
        <v>2750</v>
      </c>
      <c r="J3187" s="4">
        <v>825.00000000000011</v>
      </c>
      <c r="K3187" s="4">
        <v>330.00000000000006</v>
      </c>
      <c r="L3187" s="5">
        <v>0.4</v>
      </c>
      <c r="M3187" t="s">
        <v>24</v>
      </c>
      <c r="N3187" t="s">
        <v>361</v>
      </c>
    </row>
    <row r="3188" spans="1:14">
      <c r="A3188" t="s">
        <v>29</v>
      </c>
      <c r="B3188">
        <v>1185732</v>
      </c>
      <c r="C3188" s="2">
        <v>44271</v>
      </c>
      <c r="D3188" t="s">
        <v>140</v>
      </c>
      <c r="E3188" t="s">
        <v>227</v>
      </c>
      <c r="F3188" t="s">
        <v>236</v>
      </c>
      <c r="G3188" t="s">
        <v>146</v>
      </c>
      <c r="H3188" s="3">
        <v>0.2</v>
      </c>
      <c r="I3188">
        <v>3250</v>
      </c>
      <c r="J3188" s="4">
        <v>650</v>
      </c>
      <c r="K3188" s="4">
        <v>260</v>
      </c>
      <c r="L3188" s="5">
        <v>0.4</v>
      </c>
      <c r="M3188" t="s">
        <v>24</v>
      </c>
      <c r="N3188" t="s">
        <v>361</v>
      </c>
    </row>
    <row r="3189" spans="1:14">
      <c r="A3189" t="s">
        <v>29</v>
      </c>
      <c r="B3189">
        <v>1185732</v>
      </c>
      <c r="C3189" s="2">
        <v>44271</v>
      </c>
      <c r="D3189" t="s">
        <v>140</v>
      </c>
      <c r="E3189" t="s">
        <v>227</v>
      </c>
      <c r="F3189" t="s">
        <v>236</v>
      </c>
      <c r="G3189" t="s">
        <v>148</v>
      </c>
      <c r="H3189" s="3">
        <v>0.24999999999999994</v>
      </c>
      <c r="I3189">
        <v>1750</v>
      </c>
      <c r="J3189" s="4">
        <v>437.49999999999989</v>
      </c>
      <c r="K3189" s="4">
        <v>174.99999999999997</v>
      </c>
      <c r="L3189" s="5">
        <v>0.4</v>
      </c>
      <c r="M3189" t="s">
        <v>24</v>
      </c>
      <c r="N3189" t="s">
        <v>361</v>
      </c>
    </row>
    <row r="3190" spans="1:14">
      <c r="A3190" t="s">
        <v>29</v>
      </c>
      <c r="B3190">
        <v>1185732</v>
      </c>
      <c r="C3190" s="2">
        <v>44271</v>
      </c>
      <c r="D3190" t="s">
        <v>140</v>
      </c>
      <c r="E3190" t="s">
        <v>227</v>
      </c>
      <c r="F3190" t="s">
        <v>236</v>
      </c>
      <c r="G3190" t="s">
        <v>147</v>
      </c>
      <c r="H3190" s="3">
        <v>0.4</v>
      </c>
      <c r="I3190">
        <v>2250</v>
      </c>
      <c r="J3190" s="4">
        <v>900</v>
      </c>
      <c r="K3190" s="4">
        <v>360</v>
      </c>
      <c r="L3190" s="5">
        <v>0.4</v>
      </c>
      <c r="M3190" t="s">
        <v>24</v>
      </c>
      <c r="N3190" t="s">
        <v>361</v>
      </c>
    </row>
    <row r="3191" spans="1:14">
      <c r="A3191" t="s">
        <v>29</v>
      </c>
      <c r="B3191">
        <v>1185732</v>
      </c>
      <c r="C3191" s="2">
        <v>44271</v>
      </c>
      <c r="D3191" t="s">
        <v>140</v>
      </c>
      <c r="E3191" t="s">
        <v>227</v>
      </c>
      <c r="F3191" t="s">
        <v>236</v>
      </c>
      <c r="G3191" t="s">
        <v>144</v>
      </c>
      <c r="H3191" s="3">
        <v>0.30000000000000004</v>
      </c>
      <c r="I3191">
        <v>3250</v>
      </c>
      <c r="J3191" s="4">
        <v>975.00000000000011</v>
      </c>
      <c r="K3191" s="4">
        <v>390.00000000000006</v>
      </c>
      <c r="L3191" s="5">
        <v>0.4</v>
      </c>
      <c r="M3191" t="s">
        <v>24</v>
      </c>
      <c r="N3191" t="s">
        <v>361</v>
      </c>
    </row>
    <row r="3192" spans="1:14">
      <c r="A3192" t="s">
        <v>29</v>
      </c>
      <c r="B3192">
        <v>1185732</v>
      </c>
      <c r="C3192" s="2">
        <v>44303</v>
      </c>
      <c r="D3192" t="s">
        <v>140</v>
      </c>
      <c r="E3192" t="s">
        <v>227</v>
      </c>
      <c r="F3192" t="s">
        <v>236</v>
      </c>
      <c r="G3192" t="s">
        <v>27</v>
      </c>
      <c r="H3192" s="3">
        <v>0.30000000000000004</v>
      </c>
      <c r="I3192">
        <v>5500</v>
      </c>
      <c r="J3192" s="4">
        <v>1650.0000000000002</v>
      </c>
      <c r="K3192" s="4">
        <v>660.00000000000011</v>
      </c>
      <c r="L3192" s="5">
        <v>0.4</v>
      </c>
      <c r="M3192" t="s">
        <v>127</v>
      </c>
      <c r="N3192" t="s">
        <v>362</v>
      </c>
    </row>
    <row r="3193" spans="1:14">
      <c r="A3193" t="s">
        <v>29</v>
      </c>
      <c r="B3193">
        <v>1185732</v>
      </c>
      <c r="C3193" s="2">
        <v>44303</v>
      </c>
      <c r="D3193" t="s">
        <v>140</v>
      </c>
      <c r="E3193" t="s">
        <v>227</v>
      </c>
      <c r="F3193" t="s">
        <v>236</v>
      </c>
      <c r="G3193" t="s">
        <v>145</v>
      </c>
      <c r="H3193" s="3">
        <v>0.30000000000000004</v>
      </c>
      <c r="I3193">
        <v>2500</v>
      </c>
      <c r="J3193" s="4">
        <v>750.00000000000011</v>
      </c>
      <c r="K3193" s="4">
        <v>300.00000000000006</v>
      </c>
      <c r="L3193" s="5">
        <v>0.4</v>
      </c>
      <c r="M3193" t="s">
        <v>127</v>
      </c>
      <c r="N3193" t="s">
        <v>362</v>
      </c>
    </row>
    <row r="3194" spans="1:14">
      <c r="A3194" t="s">
        <v>29</v>
      </c>
      <c r="B3194">
        <v>1185732</v>
      </c>
      <c r="C3194" s="2">
        <v>44303</v>
      </c>
      <c r="D3194" t="s">
        <v>140</v>
      </c>
      <c r="E3194" t="s">
        <v>227</v>
      </c>
      <c r="F3194" t="s">
        <v>236</v>
      </c>
      <c r="G3194" t="s">
        <v>146</v>
      </c>
      <c r="H3194" s="3">
        <v>0.2</v>
      </c>
      <c r="I3194">
        <v>2500</v>
      </c>
      <c r="J3194" s="4">
        <v>500</v>
      </c>
      <c r="K3194" s="4">
        <v>200</v>
      </c>
      <c r="L3194" s="5">
        <v>0.4</v>
      </c>
      <c r="M3194" t="s">
        <v>127</v>
      </c>
      <c r="N3194" t="s">
        <v>362</v>
      </c>
    </row>
    <row r="3195" spans="1:14">
      <c r="A3195" t="s">
        <v>29</v>
      </c>
      <c r="B3195">
        <v>1185732</v>
      </c>
      <c r="C3195" s="2">
        <v>44303</v>
      </c>
      <c r="D3195" t="s">
        <v>140</v>
      </c>
      <c r="E3195" t="s">
        <v>227</v>
      </c>
      <c r="F3195" t="s">
        <v>236</v>
      </c>
      <c r="G3195" t="s">
        <v>148</v>
      </c>
      <c r="H3195" s="3">
        <v>0.24999999999999994</v>
      </c>
      <c r="I3195">
        <v>1750</v>
      </c>
      <c r="J3195" s="4">
        <v>437.49999999999989</v>
      </c>
      <c r="K3195" s="4">
        <v>174.99999999999997</v>
      </c>
      <c r="L3195" s="5">
        <v>0.4</v>
      </c>
      <c r="M3195" t="s">
        <v>127</v>
      </c>
      <c r="N3195" t="s">
        <v>362</v>
      </c>
    </row>
    <row r="3196" spans="1:14">
      <c r="A3196" t="s">
        <v>29</v>
      </c>
      <c r="B3196">
        <v>1185732</v>
      </c>
      <c r="C3196" s="2">
        <v>44303</v>
      </c>
      <c r="D3196" t="s">
        <v>140</v>
      </c>
      <c r="E3196" t="s">
        <v>227</v>
      </c>
      <c r="F3196" t="s">
        <v>236</v>
      </c>
      <c r="G3196" t="s">
        <v>147</v>
      </c>
      <c r="H3196" s="3">
        <v>0.65</v>
      </c>
      <c r="I3196">
        <v>2000</v>
      </c>
      <c r="J3196" s="4">
        <v>1300</v>
      </c>
      <c r="K3196" s="4">
        <v>520</v>
      </c>
      <c r="L3196" s="5">
        <v>0.4</v>
      </c>
      <c r="M3196" t="s">
        <v>127</v>
      </c>
      <c r="N3196" t="s">
        <v>362</v>
      </c>
    </row>
    <row r="3197" spans="1:14">
      <c r="A3197" t="s">
        <v>29</v>
      </c>
      <c r="B3197">
        <v>1185732</v>
      </c>
      <c r="C3197" s="2">
        <v>44303</v>
      </c>
      <c r="D3197" t="s">
        <v>140</v>
      </c>
      <c r="E3197" t="s">
        <v>227</v>
      </c>
      <c r="F3197" t="s">
        <v>236</v>
      </c>
      <c r="G3197" t="s">
        <v>144</v>
      </c>
      <c r="H3197" s="3">
        <v>0.5</v>
      </c>
      <c r="I3197">
        <v>3250</v>
      </c>
      <c r="J3197" s="4">
        <v>1625</v>
      </c>
      <c r="K3197" s="4">
        <v>650</v>
      </c>
      <c r="L3197" s="5">
        <v>0.4</v>
      </c>
      <c r="M3197" t="s">
        <v>127</v>
      </c>
      <c r="N3197" t="s">
        <v>362</v>
      </c>
    </row>
    <row r="3198" spans="1:14">
      <c r="A3198" t="s">
        <v>29</v>
      </c>
      <c r="B3198">
        <v>1185732</v>
      </c>
      <c r="C3198" s="2">
        <v>44334</v>
      </c>
      <c r="D3198" t="s">
        <v>140</v>
      </c>
      <c r="E3198" t="s">
        <v>227</v>
      </c>
      <c r="F3198" t="s">
        <v>236</v>
      </c>
      <c r="G3198" t="s">
        <v>27</v>
      </c>
      <c r="H3198" s="3">
        <v>0.6</v>
      </c>
      <c r="I3198">
        <v>5950</v>
      </c>
      <c r="J3198" s="4">
        <v>3570</v>
      </c>
      <c r="K3198" s="4">
        <v>1428</v>
      </c>
      <c r="L3198" s="5">
        <v>0.4</v>
      </c>
      <c r="M3198" t="s">
        <v>128</v>
      </c>
      <c r="N3198" t="s">
        <v>362</v>
      </c>
    </row>
    <row r="3199" spans="1:14">
      <c r="A3199" t="s">
        <v>29</v>
      </c>
      <c r="B3199">
        <v>1185732</v>
      </c>
      <c r="C3199" s="2">
        <v>44334</v>
      </c>
      <c r="D3199" t="s">
        <v>140</v>
      </c>
      <c r="E3199" t="s">
        <v>227</v>
      </c>
      <c r="F3199" t="s">
        <v>236</v>
      </c>
      <c r="G3199" t="s">
        <v>145</v>
      </c>
      <c r="H3199" s="3">
        <v>0.4</v>
      </c>
      <c r="I3199">
        <v>3000</v>
      </c>
      <c r="J3199" s="4">
        <v>1200</v>
      </c>
      <c r="K3199" s="4">
        <v>480</v>
      </c>
      <c r="L3199" s="5">
        <v>0.4</v>
      </c>
      <c r="M3199" t="s">
        <v>128</v>
      </c>
      <c r="N3199" t="s">
        <v>362</v>
      </c>
    </row>
    <row r="3200" spans="1:14">
      <c r="A3200" t="s">
        <v>29</v>
      </c>
      <c r="B3200">
        <v>1185732</v>
      </c>
      <c r="C3200" s="2">
        <v>44334</v>
      </c>
      <c r="D3200" t="s">
        <v>140</v>
      </c>
      <c r="E3200" t="s">
        <v>227</v>
      </c>
      <c r="F3200" t="s">
        <v>236</v>
      </c>
      <c r="G3200" t="s">
        <v>146</v>
      </c>
      <c r="H3200" s="3">
        <v>0.35000000000000003</v>
      </c>
      <c r="I3200">
        <v>2750</v>
      </c>
      <c r="J3200" s="4">
        <v>962.50000000000011</v>
      </c>
      <c r="K3200" s="4">
        <v>385.00000000000006</v>
      </c>
      <c r="L3200" s="5">
        <v>0.4</v>
      </c>
      <c r="M3200" t="s">
        <v>128</v>
      </c>
      <c r="N3200" t="s">
        <v>362</v>
      </c>
    </row>
    <row r="3201" spans="1:14">
      <c r="A3201" t="s">
        <v>29</v>
      </c>
      <c r="B3201">
        <v>1185732</v>
      </c>
      <c r="C3201" s="2">
        <v>44334</v>
      </c>
      <c r="D3201" t="s">
        <v>140</v>
      </c>
      <c r="E3201" t="s">
        <v>227</v>
      </c>
      <c r="F3201" t="s">
        <v>236</v>
      </c>
      <c r="G3201" t="s">
        <v>148</v>
      </c>
      <c r="H3201" s="3">
        <v>0.35000000000000003</v>
      </c>
      <c r="I3201">
        <v>2000</v>
      </c>
      <c r="J3201" s="4">
        <v>700.00000000000011</v>
      </c>
      <c r="K3201" s="4">
        <v>280.00000000000006</v>
      </c>
      <c r="L3201" s="5">
        <v>0.4</v>
      </c>
      <c r="M3201" t="s">
        <v>128</v>
      </c>
      <c r="N3201" t="s">
        <v>362</v>
      </c>
    </row>
    <row r="3202" spans="1:14">
      <c r="A3202" t="s">
        <v>29</v>
      </c>
      <c r="B3202">
        <v>1185732</v>
      </c>
      <c r="C3202" s="2">
        <v>44334</v>
      </c>
      <c r="D3202" t="s">
        <v>140</v>
      </c>
      <c r="E3202" t="s">
        <v>227</v>
      </c>
      <c r="F3202" t="s">
        <v>236</v>
      </c>
      <c r="G3202" t="s">
        <v>147</v>
      </c>
      <c r="H3202" s="3">
        <v>0.44999999999999996</v>
      </c>
      <c r="I3202">
        <v>2250</v>
      </c>
      <c r="J3202" s="4">
        <v>1012.4999999999999</v>
      </c>
      <c r="K3202" s="4">
        <v>405</v>
      </c>
      <c r="L3202" s="5">
        <v>0.4</v>
      </c>
      <c r="M3202" t="s">
        <v>128</v>
      </c>
      <c r="N3202" t="s">
        <v>362</v>
      </c>
    </row>
    <row r="3203" spans="1:14">
      <c r="A3203" t="s">
        <v>29</v>
      </c>
      <c r="B3203">
        <v>1185732</v>
      </c>
      <c r="C3203" s="2">
        <v>44334</v>
      </c>
      <c r="D3203" t="s">
        <v>140</v>
      </c>
      <c r="E3203" t="s">
        <v>227</v>
      </c>
      <c r="F3203" t="s">
        <v>236</v>
      </c>
      <c r="G3203" t="s">
        <v>144</v>
      </c>
      <c r="H3203" s="3">
        <v>0.54999999999999993</v>
      </c>
      <c r="I3203">
        <v>3500</v>
      </c>
      <c r="J3203" s="4">
        <v>1924.9999999999998</v>
      </c>
      <c r="K3203" s="4">
        <v>770</v>
      </c>
      <c r="L3203" s="5">
        <v>0.4</v>
      </c>
      <c r="M3203" t="s">
        <v>128</v>
      </c>
      <c r="N3203" t="s">
        <v>362</v>
      </c>
    </row>
    <row r="3204" spans="1:14">
      <c r="A3204" t="s">
        <v>29</v>
      </c>
      <c r="B3204">
        <v>1185732</v>
      </c>
      <c r="C3204" s="2">
        <v>44364</v>
      </c>
      <c r="D3204" t="s">
        <v>140</v>
      </c>
      <c r="E3204" t="s">
        <v>227</v>
      </c>
      <c r="F3204" t="s">
        <v>236</v>
      </c>
      <c r="G3204" t="s">
        <v>27</v>
      </c>
      <c r="H3204" s="3">
        <v>0.45</v>
      </c>
      <c r="I3204">
        <v>6000</v>
      </c>
      <c r="J3204" s="4">
        <v>2700</v>
      </c>
      <c r="K3204" s="4">
        <v>1080</v>
      </c>
      <c r="L3204" s="5">
        <v>0.4</v>
      </c>
      <c r="M3204" t="s">
        <v>129</v>
      </c>
      <c r="N3204" t="s">
        <v>362</v>
      </c>
    </row>
    <row r="3205" spans="1:14">
      <c r="A3205" t="s">
        <v>29</v>
      </c>
      <c r="B3205">
        <v>1185732</v>
      </c>
      <c r="C3205" s="2">
        <v>44364</v>
      </c>
      <c r="D3205" t="s">
        <v>140</v>
      </c>
      <c r="E3205" t="s">
        <v>227</v>
      </c>
      <c r="F3205" t="s">
        <v>236</v>
      </c>
      <c r="G3205" t="s">
        <v>145</v>
      </c>
      <c r="H3205" s="3">
        <v>0.40000000000000008</v>
      </c>
      <c r="I3205">
        <v>4250</v>
      </c>
      <c r="J3205" s="4">
        <v>1700.0000000000002</v>
      </c>
      <c r="K3205" s="4">
        <v>680.00000000000011</v>
      </c>
      <c r="L3205" s="5">
        <v>0.4</v>
      </c>
      <c r="M3205" t="s">
        <v>129</v>
      </c>
      <c r="N3205" t="s">
        <v>362</v>
      </c>
    </row>
    <row r="3206" spans="1:14">
      <c r="A3206" t="s">
        <v>29</v>
      </c>
      <c r="B3206">
        <v>1185732</v>
      </c>
      <c r="C3206" s="2">
        <v>44364</v>
      </c>
      <c r="D3206" t="s">
        <v>140</v>
      </c>
      <c r="E3206" t="s">
        <v>227</v>
      </c>
      <c r="F3206" t="s">
        <v>236</v>
      </c>
      <c r="G3206" t="s">
        <v>146</v>
      </c>
      <c r="H3206" s="3">
        <v>0.35000000000000003</v>
      </c>
      <c r="I3206">
        <v>3000</v>
      </c>
      <c r="J3206" s="4">
        <v>1050</v>
      </c>
      <c r="K3206" s="4">
        <v>420</v>
      </c>
      <c r="L3206" s="5">
        <v>0.4</v>
      </c>
      <c r="M3206" t="s">
        <v>129</v>
      </c>
      <c r="N3206" t="s">
        <v>362</v>
      </c>
    </row>
    <row r="3207" spans="1:14">
      <c r="A3207" t="s">
        <v>29</v>
      </c>
      <c r="B3207">
        <v>1185732</v>
      </c>
      <c r="C3207" s="2">
        <v>44364</v>
      </c>
      <c r="D3207" t="s">
        <v>140</v>
      </c>
      <c r="E3207" t="s">
        <v>227</v>
      </c>
      <c r="F3207" t="s">
        <v>236</v>
      </c>
      <c r="G3207" t="s">
        <v>148</v>
      </c>
      <c r="H3207" s="3">
        <v>0.35000000000000003</v>
      </c>
      <c r="I3207">
        <v>2750</v>
      </c>
      <c r="J3207" s="4">
        <v>962.50000000000011</v>
      </c>
      <c r="K3207" s="4">
        <v>385.00000000000006</v>
      </c>
      <c r="L3207" s="5">
        <v>0.4</v>
      </c>
      <c r="M3207" t="s">
        <v>129</v>
      </c>
      <c r="N3207" t="s">
        <v>362</v>
      </c>
    </row>
    <row r="3208" spans="1:14">
      <c r="A3208" t="s">
        <v>29</v>
      </c>
      <c r="B3208">
        <v>1185732</v>
      </c>
      <c r="C3208" s="2">
        <v>44364</v>
      </c>
      <c r="D3208" t="s">
        <v>140</v>
      </c>
      <c r="E3208" t="s">
        <v>227</v>
      </c>
      <c r="F3208" t="s">
        <v>236</v>
      </c>
      <c r="G3208" t="s">
        <v>147</v>
      </c>
      <c r="H3208" s="3">
        <v>0.45</v>
      </c>
      <c r="I3208">
        <v>2750</v>
      </c>
      <c r="J3208" s="4">
        <v>1237.5</v>
      </c>
      <c r="K3208" s="4">
        <v>495</v>
      </c>
      <c r="L3208" s="5">
        <v>0.4</v>
      </c>
      <c r="M3208" t="s">
        <v>129</v>
      </c>
      <c r="N3208" t="s">
        <v>362</v>
      </c>
    </row>
    <row r="3209" spans="1:14">
      <c r="A3209" t="s">
        <v>29</v>
      </c>
      <c r="B3209">
        <v>1185732</v>
      </c>
      <c r="C3209" s="2">
        <v>44364</v>
      </c>
      <c r="D3209" t="s">
        <v>140</v>
      </c>
      <c r="E3209" t="s">
        <v>227</v>
      </c>
      <c r="F3209" t="s">
        <v>236</v>
      </c>
      <c r="G3209" t="s">
        <v>144</v>
      </c>
      <c r="H3209" s="3">
        <v>0.65000000000000013</v>
      </c>
      <c r="I3209">
        <v>4250</v>
      </c>
      <c r="J3209" s="4">
        <v>2762.5000000000005</v>
      </c>
      <c r="K3209" s="4">
        <v>1105.0000000000002</v>
      </c>
      <c r="L3209" s="5">
        <v>0.4</v>
      </c>
      <c r="M3209" t="s">
        <v>129</v>
      </c>
      <c r="N3209" t="s">
        <v>362</v>
      </c>
    </row>
    <row r="3210" spans="1:14">
      <c r="A3210" t="s">
        <v>29</v>
      </c>
      <c r="B3210">
        <v>1185732</v>
      </c>
      <c r="C3210" s="2">
        <v>44393</v>
      </c>
      <c r="D3210" t="s">
        <v>140</v>
      </c>
      <c r="E3210" t="s">
        <v>227</v>
      </c>
      <c r="F3210" t="s">
        <v>236</v>
      </c>
      <c r="G3210" t="s">
        <v>27</v>
      </c>
      <c r="H3210" s="3">
        <v>0.60000000000000009</v>
      </c>
      <c r="I3210">
        <v>6500</v>
      </c>
      <c r="J3210" s="4">
        <v>3900.0000000000005</v>
      </c>
      <c r="K3210" s="4">
        <v>1560.0000000000002</v>
      </c>
      <c r="L3210" s="5">
        <v>0.4</v>
      </c>
      <c r="M3210" t="s">
        <v>130</v>
      </c>
      <c r="N3210" t="s">
        <v>363</v>
      </c>
    </row>
    <row r="3211" spans="1:14">
      <c r="A3211" t="s">
        <v>29</v>
      </c>
      <c r="B3211">
        <v>1185732</v>
      </c>
      <c r="C3211" s="2">
        <v>44393</v>
      </c>
      <c r="D3211" t="s">
        <v>140</v>
      </c>
      <c r="E3211" t="s">
        <v>227</v>
      </c>
      <c r="F3211" t="s">
        <v>236</v>
      </c>
      <c r="G3211" t="s">
        <v>145</v>
      </c>
      <c r="H3211" s="3">
        <v>0.55000000000000016</v>
      </c>
      <c r="I3211">
        <v>4000</v>
      </c>
      <c r="J3211" s="4">
        <v>2200.0000000000005</v>
      </c>
      <c r="K3211" s="4">
        <v>880.00000000000023</v>
      </c>
      <c r="L3211" s="5">
        <v>0.4</v>
      </c>
      <c r="M3211" t="s">
        <v>130</v>
      </c>
      <c r="N3211" t="s">
        <v>363</v>
      </c>
    </row>
    <row r="3212" spans="1:14">
      <c r="A3212" t="s">
        <v>29</v>
      </c>
      <c r="B3212">
        <v>1185732</v>
      </c>
      <c r="C3212" s="2">
        <v>44393</v>
      </c>
      <c r="D3212" t="s">
        <v>140</v>
      </c>
      <c r="E3212" t="s">
        <v>227</v>
      </c>
      <c r="F3212" t="s">
        <v>236</v>
      </c>
      <c r="G3212" t="s">
        <v>146</v>
      </c>
      <c r="H3212" s="3">
        <v>0.5</v>
      </c>
      <c r="I3212">
        <v>3250</v>
      </c>
      <c r="J3212" s="4">
        <v>1625</v>
      </c>
      <c r="K3212" s="4">
        <v>650</v>
      </c>
      <c r="L3212" s="5">
        <v>0.4</v>
      </c>
      <c r="M3212" t="s">
        <v>130</v>
      </c>
      <c r="N3212" t="s">
        <v>363</v>
      </c>
    </row>
    <row r="3213" spans="1:14">
      <c r="A3213" t="s">
        <v>29</v>
      </c>
      <c r="B3213">
        <v>1185732</v>
      </c>
      <c r="C3213" s="2">
        <v>44393</v>
      </c>
      <c r="D3213" t="s">
        <v>140</v>
      </c>
      <c r="E3213" t="s">
        <v>227</v>
      </c>
      <c r="F3213" t="s">
        <v>236</v>
      </c>
      <c r="G3213" t="s">
        <v>148</v>
      </c>
      <c r="H3213" s="3">
        <v>0.5</v>
      </c>
      <c r="I3213">
        <v>2750</v>
      </c>
      <c r="J3213" s="4">
        <v>1375</v>
      </c>
      <c r="K3213" s="4">
        <v>550</v>
      </c>
      <c r="L3213" s="5">
        <v>0.4</v>
      </c>
      <c r="M3213" t="s">
        <v>130</v>
      </c>
      <c r="N3213" t="s">
        <v>363</v>
      </c>
    </row>
    <row r="3214" spans="1:14">
      <c r="A3214" t="s">
        <v>29</v>
      </c>
      <c r="B3214">
        <v>1185732</v>
      </c>
      <c r="C3214" s="2">
        <v>44393</v>
      </c>
      <c r="D3214" t="s">
        <v>140</v>
      </c>
      <c r="E3214" t="s">
        <v>227</v>
      </c>
      <c r="F3214" t="s">
        <v>236</v>
      </c>
      <c r="G3214" t="s">
        <v>147</v>
      </c>
      <c r="H3214" s="3">
        <v>0.60000000000000009</v>
      </c>
      <c r="I3214">
        <v>3000</v>
      </c>
      <c r="J3214" s="4">
        <v>1800.0000000000002</v>
      </c>
      <c r="K3214" s="4">
        <v>720.00000000000011</v>
      </c>
      <c r="L3214" s="5">
        <v>0.4</v>
      </c>
      <c r="M3214" t="s">
        <v>130</v>
      </c>
      <c r="N3214" t="s">
        <v>363</v>
      </c>
    </row>
    <row r="3215" spans="1:14">
      <c r="A3215" t="s">
        <v>29</v>
      </c>
      <c r="B3215">
        <v>1185732</v>
      </c>
      <c r="C3215" s="2">
        <v>44393</v>
      </c>
      <c r="D3215" t="s">
        <v>140</v>
      </c>
      <c r="E3215" t="s">
        <v>227</v>
      </c>
      <c r="F3215" t="s">
        <v>236</v>
      </c>
      <c r="G3215" t="s">
        <v>144</v>
      </c>
      <c r="H3215" s="3">
        <v>0.65000000000000013</v>
      </c>
      <c r="I3215">
        <v>4750</v>
      </c>
      <c r="J3215" s="4">
        <v>3087.5000000000005</v>
      </c>
      <c r="K3215" s="4">
        <v>1235.0000000000002</v>
      </c>
      <c r="L3215" s="5">
        <v>0.4</v>
      </c>
      <c r="M3215" t="s">
        <v>130</v>
      </c>
      <c r="N3215" t="s">
        <v>363</v>
      </c>
    </row>
    <row r="3216" spans="1:14">
      <c r="A3216" t="s">
        <v>29</v>
      </c>
      <c r="B3216">
        <v>1185732</v>
      </c>
      <c r="C3216" s="2">
        <v>44425</v>
      </c>
      <c r="D3216" t="s">
        <v>140</v>
      </c>
      <c r="E3216" t="s">
        <v>227</v>
      </c>
      <c r="F3216" t="s">
        <v>236</v>
      </c>
      <c r="G3216" t="s">
        <v>27</v>
      </c>
      <c r="H3216" s="3">
        <v>0.5</v>
      </c>
      <c r="I3216">
        <v>5250</v>
      </c>
      <c r="J3216" s="4">
        <v>2625</v>
      </c>
      <c r="K3216" s="4">
        <v>1050</v>
      </c>
      <c r="L3216" s="5">
        <v>0.4</v>
      </c>
      <c r="M3216" t="s">
        <v>131</v>
      </c>
      <c r="N3216" t="s">
        <v>363</v>
      </c>
    </row>
    <row r="3217" spans="1:14">
      <c r="A3217" t="s">
        <v>29</v>
      </c>
      <c r="B3217">
        <v>1185732</v>
      </c>
      <c r="C3217" s="2">
        <v>44425</v>
      </c>
      <c r="D3217" t="s">
        <v>140</v>
      </c>
      <c r="E3217" t="s">
        <v>227</v>
      </c>
      <c r="F3217" t="s">
        <v>236</v>
      </c>
      <c r="G3217" t="s">
        <v>145</v>
      </c>
      <c r="H3217" s="3">
        <v>0.45000000000000007</v>
      </c>
      <c r="I3217">
        <v>3000</v>
      </c>
      <c r="J3217" s="4">
        <v>1350.0000000000002</v>
      </c>
      <c r="K3217" s="4">
        <v>540.00000000000011</v>
      </c>
      <c r="L3217" s="5">
        <v>0.4</v>
      </c>
      <c r="M3217" t="s">
        <v>131</v>
      </c>
      <c r="N3217" t="s">
        <v>363</v>
      </c>
    </row>
    <row r="3218" spans="1:14">
      <c r="A3218" t="s">
        <v>29</v>
      </c>
      <c r="B3218">
        <v>1185732</v>
      </c>
      <c r="C3218" s="2">
        <v>44425</v>
      </c>
      <c r="D3218" t="s">
        <v>140</v>
      </c>
      <c r="E3218" t="s">
        <v>227</v>
      </c>
      <c r="F3218" t="s">
        <v>236</v>
      </c>
      <c r="G3218" t="s">
        <v>146</v>
      </c>
      <c r="H3218" s="3">
        <v>0.4</v>
      </c>
      <c r="I3218">
        <v>3000</v>
      </c>
      <c r="J3218" s="4">
        <v>1200</v>
      </c>
      <c r="K3218" s="4">
        <v>480</v>
      </c>
      <c r="L3218" s="5">
        <v>0.4</v>
      </c>
      <c r="M3218" t="s">
        <v>131</v>
      </c>
      <c r="N3218" t="s">
        <v>363</v>
      </c>
    </row>
    <row r="3219" spans="1:14">
      <c r="A3219" t="s">
        <v>29</v>
      </c>
      <c r="B3219">
        <v>1185732</v>
      </c>
      <c r="C3219" s="2">
        <v>44425</v>
      </c>
      <c r="D3219" t="s">
        <v>140</v>
      </c>
      <c r="E3219" t="s">
        <v>227</v>
      </c>
      <c r="F3219" t="s">
        <v>236</v>
      </c>
      <c r="G3219" t="s">
        <v>148</v>
      </c>
      <c r="H3219" s="3">
        <v>0.4</v>
      </c>
      <c r="I3219">
        <v>2750</v>
      </c>
      <c r="J3219" s="4">
        <v>1100</v>
      </c>
      <c r="K3219" s="4">
        <v>440</v>
      </c>
      <c r="L3219" s="5">
        <v>0.4</v>
      </c>
      <c r="M3219" t="s">
        <v>131</v>
      </c>
      <c r="N3219" t="s">
        <v>363</v>
      </c>
    </row>
    <row r="3220" spans="1:14">
      <c r="A3220" t="s">
        <v>29</v>
      </c>
      <c r="B3220">
        <v>1185732</v>
      </c>
      <c r="C3220" s="2">
        <v>44425</v>
      </c>
      <c r="D3220" t="s">
        <v>140</v>
      </c>
      <c r="E3220" t="s">
        <v>227</v>
      </c>
      <c r="F3220" t="s">
        <v>236</v>
      </c>
      <c r="G3220" t="s">
        <v>147</v>
      </c>
      <c r="H3220" s="3">
        <v>0.5</v>
      </c>
      <c r="I3220">
        <v>2500</v>
      </c>
      <c r="J3220" s="4">
        <v>1250</v>
      </c>
      <c r="K3220" s="4">
        <v>500</v>
      </c>
      <c r="L3220" s="5">
        <v>0.4</v>
      </c>
      <c r="M3220" t="s">
        <v>131</v>
      </c>
      <c r="N3220" t="s">
        <v>363</v>
      </c>
    </row>
    <row r="3221" spans="1:14">
      <c r="A3221" t="s">
        <v>29</v>
      </c>
      <c r="B3221">
        <v>1185732</v>
      </c>
      <c r="C3221" s="2">
        <v>44425</v>
      </c>
      <c r="D3221" t="s">
        <v>140</v>
      </c>
      <c r="E3221" t="s">
        <v>227</v>
      </c>
      <c r="F3221" t="s">
        <v>236</v>
      </c>
      <c r="G3221" t="s">
        <v>144</v>
      </c>
      <c r="H3221" s="3">
        <v>0.55000000000000004</v>
      </c>
      <c r="I3221">
        <v>4250</v>
      </c>
      <c r="J3221" s="4">
        <v>2337.5</v>
      </c>
      <c r="K3221" s="4">
        <v>935</v>
      </c>
      <c r="L3221" s="5">
        <v>0.4</v>
      </c>
      <c r="M3221" t="s">
        <v>131</v>
      </c>
      <c r="N3221" t="s">
        <v>363</v>
      </c>
    </row>
    <row r="3222" spans="1:14">
      <c r="A3222" t="s">
        <v>29</v>
      </c>
      <c r="B3222">
        <v>1185732</v>
      </c>
      <c r="C3222" s="2">
        <v>44457</v>
      </c>
      <c r="D3222" t="s">
        <v>140</v>
      </c>
      <c r="E3222" t="s">
        <v>227</v>
      </c>
      <c r="F3222" t="s">
        <v>236</v>
      </c>
      <c r="G3222" t="s">
        <v>27</v>
      </c>
      <c r="H3222" s="3">
        <v>0.35000000000000003</v>
      </c>
      <c r="I3222">
        <v>5500</v>
      </c>
      <c r="J3222" s="4">
        <v>1925.0000000000002</v>
      </c>
      <c r="K3222" s="4">
        <v>770.00000000000011</v>
      </c>
      <c r="L3222" s="5">
        <v>0.4</v>
      </c>
      <c r="M3222" t="s">
        <v>132</v>
      </c>
      <c r="N3222" t="s">
        <v>363</v>
      </c>
    </row>
    <row r="3223" spans="1:14">
      <c r="A3223" t="s">
        <v>29</v>
      </c>
      <c r="B3223">
        <v>1185732</v>
      </c>
      <c r="C3223" s="2">
        <v>44457</v>
      </c>
      <c r="D3223" t="s">
        <v>140</v>
      </c>
      <c r="E3223" t="s">
        <v>227</v>
      </c>
      <c r="F3223" t="s">
        <v>236</v>
      </c>
      <c r="G3223" t="s">
        <v>145</v>
      </c>
      <c r="H3223" s="3">
        <v>0.3000000000000001</v>
      </c>
      <c r="I3223">
        <v>3500</v>
      </c>
      <c r="J3223" s="4">
        <v>1050.0000000000005</v>
      </c>
      <c r="K3223" s="4">
        <v>420.00000000000023</v>
      </c>
      <c r="L3223" s="5">
        <v>0.4</v>
      </c>
      <c r="M3223" t="s">
        <v>132</v>
      </c>
      <c r="N3223" t="s">
        <v>363</v>
      </c>
    </row>
    <row r="3224" spans="1:14">
      <c r="A3224" t="s">
        <v>29</v>
      </c>
      <c r="B3224">
        <v>1185732</v>
      </c>
      <c r="C3224" s="2">
        <v>44457</v>
      </c>
      <c r="D3224" t="s">
        <v>140</v>
      </c>
      <c r="E3224" t="s">
        <v>227</v>
      </c>
      <c r="F3224" t="s">
        <v>236</v>
      </c>
      <c r="G3224" t="s">
        <v>146</v>
      </c>
      <c r="H3224" s="3">
        <v>0.25000000000000006</v>
      </c>
      <c r="I3224">
        <v>2500</v>
      </c>
      <c r="J3224" s="4">
        <v>625.00000000000011</v>
      </c>
      <c r="K3224" s="4">
        <v>250.00000000000006</v>
      </c>
      <c r="L3224" s="5">
        <v>0.4</v>
      </c>
      <c r="M3224" t="s">
        <v>132</v>
      </c>
      <c r="N3224" t="s">
        <v>363</v>
      </c>
    </row>
    <row r="3225" spans="1:14">
      <c r="A3225" t="s">
        <v>29</v>
      </c>
      <c r="B3225">
        <v>1185732</v>
      </c>
      <c r="C3225" s="2">
        <v>44457</v>
      </c>
      <c r="D3225" t="s">
        <v>140</v>
      </c>
      <c r="E3225" t="s">
        <v>227</v>
      </c>
      <c r="F3225" t="s">
        <v>236</v>
      </c>
      <c r="G3225" t="s">
        <v>148</v>
      </c>
      <c r="H3225" s="3">
        <v>0.25000000000000006</v>
      </c>
      <c r="I3225">
        <v>2250</v>
      </c>
      <c r="J3225" s="4">
        <v>562.50000000000011</v>
      </c>
      <c r="K3225" s="4">
        <v>225.00000000000006</v>
      </c>
      <c r="L3225" s="5">
        <v>0.4</v>
      </c>
      <c r="M3225" t="s">
        <v>132</v>
      </c>
      <c r="N3225" t="s">
        <v>363</v>
      </c>
    </row>
    <row r="3226" spans="1:14">
      <c r="A3226" t="s">
        <v>29</v>
      </c>
      <c r="B3226">
        <v>1185732</v>
      </c>
      <c r="C3226" s="2">
        <v>44457</v>
      </c>
      <c r="D3226" t="s">
        <v>140</v>
      </c>
      <c r="E3226" t="s">
        <v>227</v>
      </c>
      <c r="F3226" t="s">
        <v>236</v>
      </c>
      <c r="G3226" t="s">
        <v>147</v>
      </c>
      <c r="H3226" s="3">
        <v>0.35000000000000003</v>
      </c>
      <c r="I3226">
        <v>2250</v>
      </c>
      <c r="J3226" s="4">
        <v>787.50000000000011</v>
      </c>
      <c r="K3226" s="4">
        <v>315.00000000000006</v>
      </c>
      <c r="L3226" s="5">
        <v>0.4</v>
      </c>
      <c r="M3226" t="s">
        <v>132</v>
      </c>
      <c r="N3226" t="s">
        <v>363</v>
      </c>
    </row>
    <row r="3227" spans="1:14">
      <c r="A3227" t="s">
        <v>29</v>
      </c>
      <c r="B3227">
        <v>1185732</v>
      </c>
      <c r="C3227" s="2">
        <v>44457</v>
      </c>
      <c r="D3227" t="s">
        <v>140</v>
      </c>
      <c r="E3227" t="s">
        <v>227</v>
      </c>
      <c r="F3227" t="s">
        <v>236</v>
      </c>
      <c r="G3227" t="s">
        <v>144</v>
      </c>
      <c r="H3227" s="3">
        <v>0.4</v>
      </c>
      <c r="I3227">
        <v>3000</v>
      </c>
      <c r="J3227" s="4">
        <v>1200</v>
      </c>
      <c r="K3227" s="4">
        <v>480</v>
      </c>
      <c r="L3227" s="5">
        <v>0.4</v>
      </c>
      <c r="M3227" t="s">
        <v>132</v>
      </c>
      <c r="N3227" t="s">
        <v>363</v>
      </c>
    </row>
    <row r="3228" spans="1:14">
      <c r="A3228" t="s">
        <v>29</v>
      </c>
      <c r="B3228">
        <v>1185732</v>
      </c>
      <c r="C3228" s="2">
        <v>44486</v>
      </c>
      <c r="D3228" t="s">
        <v>140</v>
      </c>
      <c r="E3228" t="s">
        <v>227</v>
      </c>
      <c r="F3228" t="s">
        <v>236</v>
      </c>
      <c r="G3228" t="s">
        <v>27</v>
      </c>
      <c r="H3228" s="3">
        <v>0.44999999999999996</v>
      </c>
      <c r="I3228">
        <v>4250</v>
      </c>
      <c r="J3228" s="4">
        <v>1912.4999999999998</v>
      </c>
      <c r="K3228" s="4">
        <v>765</v>
      </c>
      <c r="L3228" s="5">
        <v>0.4</v>
      </c>
      <c r="M3228" t="s">
        <v>133</v>
      </c>
      <c r="N3228" t="s">
        <v>364</v>
      </c>
    </row>
    <row r="3229" spans="1:14">
      <c r="A3229" t="s">
        <v>29</v>
      </c>
      <c r="B3229">
        <v>1185732</v>
      </c>
      <c r="C3229" s="2">
        <v>44486</v>
      </c>
      <c r="D3229" t="s">
        <v>140</v>
      </c>
      <c r="E3229" t="s">
        <v>227</v>
      </c>
      <c r="F3229" t="s">
        <v>236</v>
      </c>
      <c r="G3229" t="s">
        <v>145</v>
      </c>
      <c r="H3229" s="3">
        <v>0.35000000000000003</v>
      </c>
      <c r="I3229">
        <v>2750</v>
      </c>
      <c r="J3229" s="4">
        <v>962.50000000000011</v>
      </c>
      <c r="K3229" s="4">
        <v>385.00000000000006</v>
      </c>
      <c r="L3229" s="5">
        <v>0.4</v>
      </c>
      <c r="M3229" t="s">
        <v>133</v>
      </c>
      <c r="N3229" t="s">
        <v>364</v>
      </c>
    </row>
    <row r="3230" spans="1:14">
      <c r="A3230" t="s">
        <v>29</v>
      </c>
      <c r="B3230">
        <v>1185732</v>
      </c>
      <c r="C3230" s="2">
        <v>44486</v>
      </c>
      <c r="D3230" t="s">
        <v>140</v>
      </c>
      <c r="E3230" t="s">
        <v>227</v>
      </c>
      <c r="F3230" t="s">
        <v>236</v>
      </c>
      <c r="G3230" t="s">
        <v>146</v>
      </c>
      <c r="H3230" s="3">
        <v>0.35000000000000003</v>
      </c>
      <c r="I3230">
        <v>1750</v>
      </c>
      <c r="J3230" s="4">
        <v>612.50000000000011</v>
      </c>
      <c r="K3230" s="4">
        <v>245.00000000000006</v>
      </c>
      <c r="L3230" s="5">
        <v>0.4</v>
      </c>
      <c r="M3230" t="s">
        <v>133</v>
      </c>
      <c r="N3230" t="s">
        <v>364</v>
      </c>
    </row>
    <row r="3231" spans="1:14">
      <c r="A3231" t="s">
        <v>29</v>
      </c>
      <c r="B3231">
        <v>1185732</v>
      </c>
      <c r="C3231" s="2">
        <v>44486</v>
      </c>
      <c r="D3231" t="s">
        <v>140</v>
      </c>
      <c r="E3231" t="s">
        <v>227</v>
      </c>
      <c r="F3231" t="s">
        <v>236</v>
      </c>
      <c r="G3231" t="s">
        <v>148</v>
      </c>
      <c r="H3231" s="3">
        <v>0.35000000000000003</v>
      </c>
      <c r="I3231">
        <v>1750</v>
      </c>
      <c r="J3231" s="4">
        <v>612.50000000000011</v>
      </c>
      <c r="K3231" s="4">
        <v>245.00000000000006</v>
      </c>
      <c r="L3231" s="5">
        <v>0.4</v>
      </c>
      <c r="M3231" t="s">
        <v>133</v>
      </c>
      <c r="N3231" t="s">
        <v>364</v>
      </c>
    </row>
    <row r="3232" spans="1:14">
      <c r="A3232" t="s">
        <v>29</v>
      </c>
      <c r="B3232">
        <v>1185732</v>
      </c>
      <c r="C3232" s="2">
        <v>44486</v>
      </c>
      <c r="D3232" t="s">
        <v>140</v>
      </c>
      <c r="E3232" t="s">
        <v>227</v>
      </c>
      <c r="F3232" t="s">
        <v>236</v>
      </c>
      <c r="G3232" t="s">
        <v>147</v>
      </c>
      <c r="H3232" s="3">
        <v>0.44999999999999996</v>
      </c>
      <c r="I3232">
        <v>1750</v>
      </c>
      <c r="J3232" s="4">
        <v>787.49999999999989</v>
      </c>
      <c r="K3232" s="4">
        <v>315</v>
      </c>
      <c r="L3232" s="5">
        <v>0.4</v>
      </c>
      <c r="M3232" t="s">
        <v>133</v>
      </c>
      <c r="N3232" t="s">
        <v>364</v>
      </c>
    </row>
    <row r="3233" spans="1:14">
      <c r="A3233" t="s">
        <v>29</v>
      </c>
      <c r="B3233">
        <v>1185732</v>
      </c>
      <c r="C3233" s="2">
        <v>44486</v>
      </c>
      <c r="D3233" t="s">
        <v>140</v>
      </c>
      <c r="E3233" t="s">
        <v>227</v>
      </c>
      <c r="F3233" t="s">
        <v>236</v>
      </c>
      <c r="G3233" t="s">
        <v>144</v>
      </c>
      <c r="H3233" s="3">
        <v>0.49999999999999983</v>
      </c>
      <c r="I3233">
        <v>3000</v>
      </c>
      <c r="J3233" s="4">
        <v>1499.9999999999995</v>
      </c>
      <c r="K3233" s="4">
        <v>599.99999999999989</v>
      </c>
      <c r="L3233" s="5">
        <v>0.4</v>
      </c>
      <c r="M3233" t="s">
        <v>133</v>
      </c>
      <c r="N3233" t="s">
        <v>364</v>
      </c>
    </row>
    <row r="3234" spans="1:14">
      <c r="A3234" t="s">
        <v>29</v>
      </c>
      <c r="B3234">
        <v>1185732</v>
      </c>
      <c r="C3234" s="2">
        <v>44517</v>
      </c>
      <c r="D3234" t="s">
        <v>140</v>
      </c>
      <c r="E3234" t="s">
        <v>227</v>
      </c>
      <c r="F3234" t="s">
        <v>236</v>
      </c>
      <c r="G3234" t="s">
        <v>27</v>
      </c>
      <c r="H3234" s="3">
        <v>0.44999999999999996</v>
      </c>
      <c r="I3234">
        <v>4500</v>
      </c>
      <c r="J3234" s="4">
        <v>2024.9999999999998</v>
      </c>
      <c r="K3234" s="4">
        <v>810</v>
      </c>
      <c r="L3234" s="5">
        <v>0.4</v>
      </c>
      <c r="M3234" t="s">
        <v>134</v>
      </c>
      <c r="N3234" t="s">
        <v>364</v>
      </c>
    </row>
    <row r="3235" spans="1:14">
      <c r="A3235" t="s">
        <v>29</v>
      </c>
      <c r="B3235">
        <v>1185732</v>
      </c>
      <c r="C3235" s="2">
        <v>44517</v>
      </c>
      <c r="D3235" t="s">
        <v>140</v>
      </c>
      <c r="E3235" t="s">
        <v>227</v>
      </c>
      <c r="F3235" t="s">
        <v>236</v>
      </c>
      <c r="G3235" t="s">
        <v>145</v>
      </c>
      <c r="H3235" s="3">
        <v>0.35000000000000003</v>
      </c>
      <c r="I3235">
        <v>3500</v>
      </c>
      <c r="J3235" s="4">
        <v>1225.0000000000002</v>
      </c>
      <c r="K3235" s="4">
        <v>490.00000000000011</v>
      </c>
      <c r="L3235" s="5">
        <v>0.4</v>
      </c>
      <c r="M3235" t="s">
        <v>134</v>
      </c>
      <c r="N3235" t="s">
        <v>364</v>
      </c>
    </row>
    <row r="3236" spans="1:14">
      <c r="A3236" t="s">
        <v>29</v>
      </c>
      <c r="B3236">
        <v>1185732</v>
      </c>
      <c r="C3236" s="2">
        <v>44517</v>
      </c>
      <c r="D3236" t="s">
        <v>140</v>
      </c>
      <c r="E3236" t="s">
        <v>227</v>
      </c>
      <c r="F3236" t="s">
        <v>236</v>
      </c>
      <c r="G3236" t="s">
        <v>146</v>
      </c>
      <c r="H3236" s="3">
        <v>0.35000000000000003</v>
      </c>
      <c r="I3236">
        <v>2950</v>
      </c>
      <c r="J3236" s="4">
        <v>1032.5</v>
      </c>
      <c r="K3236" s="4">
        <v>413</v>
      </c>
      <c r="L3236" s="5">
        <v>0.4</v>
      </c>
      <c r="M3236" t="s">
        <v>134</v>
      </c>
      <c r="N3236" t="s">
        <v>364</v>
      </c>
    </row>
    <row r="3237" spans="1:14">
      <c r="A3237" t="s">
        <v>29</v>
      </c>
      <c r="B3237">
        <v>1185732</v>
      </c>
      <c r="C3237" s="2">
        <v>44517</v>
      </c>
      <c r="D3237" t="s">
        <v>140</v>
      </c>
      <c r="E3237" t="s">
        <v>227</v>
      </c>
      <c r="F3237" t="s">
        <v>236</v>
      </c>
      <c r="G3237" t="s">
        <v>148</v>
      </c>
      <c r="H3237" s="3">
        <v>0.4</v>
      </c>
      <c r="I3237">
        <v>3250</v>
      </c>
      <c r="J3237" s="4">
        <v>1300</v>
      </c>
      <c r="K3237" s="4">
        <v>520</v>
      </c>
      <c r="L3237" s="5">
        <v>0.4</v>
      </c>
      <c r="M3237" t="s">
        <v>134</v>
      </c>
      <c r="N3237" t="s">
        <v>364</v>
      </c>
    </row>
    <row r="3238" spans="1:14">
      <c r="A3238" t="s">
        <v>29</v>
      </c>
      <c r="B3238">
        <v>1185732</v>
      </c>
      <c r="C3238" s="2">
        <v>44517</v>
      </c>
      <c r="D3238" t="s">
        <v>140</v>
      </c>
      <c r="E3238" t="s">
        <v>227</v>
      </c>
      <c r="F3238" t="s">
        <v>236</v>
      </c>
      <c r="G3238" t="s">
        <v>147</v>
      </c>
      <c r="H3238" s="3">
        <v>0.65</v>
      </c>
      <c r="I3238">
        <v>3000</v>
      </c>
      <c r="J3238" s="4">
        <v>1950</v>
      </c>
      <c r="K3238" s="4">
        <v>780</v>
      </c>
      <c r="L3238" s="5">
        <v>0.4</v>
      </c>
      <c r="M3238" t="s">
        <v>134</v>
      </c>
      <c r="N3238" t="s">
        <v>364</v>
      </c>
    </row>
    <row r="3239" spans="1:14">
      <c r="A3239" t="s">
        <v>29</v>
      </c>
      <c r="B3239">
        <v>1185732</v>
      </c>
      <c r="C3239" s="2">
        <v>44517</v>
      </c>
      <c r="D3239" t="s">
        <v>140</v>
      </c>
      <c r="E3239" t="s">
        <v>227</v>
      </c>
      <c r="F3239" t="s">
        <v>236</v>
      </c>
      <c r="G3239" t="s">
        <v>144</v>
      </c>
      <c r="H3239" s="3">
        <v>0.7</v>
      </c>
      <c r="I3239">
        <v>4000</v>
      </c>
      <c r="J3239" s="4">
        <v>2800</v>
      </c>
      <c r="K3239" s="4">
        <v>1120</v>
      </c>
      <c r="L3239" s="5">
        <v>0.4</v>
      </c>
      <c r="M3239" t="s">
        <v>134</v>
      </c>
      <c r="N3239" t="s">
        <v>364</v>
      </c>
    </row>
    <row r="3240" spans="1:14">
      <c r="A3240" t="s">
        <v>29</v>
      </c>
      <c r="B3240">
        <v>1185732</v>
      </c>
      <c r="C3240" s="2">
        <v>44546</v>
      </c>
      <c r="D3240" t="s">
        <v>140</v>
      </c>
      <c r="E3240" t="s">
        <v>227</v>
      </c>
      <c r="F3240" t="s">
        <v>236</v>
      </c>
      <c r="G3240" t="s">
        <v>27</v>
      </c>
      <c r="H3240" s="3">
        <v>0.65</v>
      </c>
      <c r="I3240">
        <v>6500</v>
      </c>
      <c r="J3240" s="4">
        <v>4225</v>
      </c>
      <c r="K3240" s="4">
        <v>1690</v>
      </c>
      <c r="L3240" s="5">
        <v>0.4</v>
      </c>
      <c r="M3240" t="s">
        <v>23</v>
      </c>
      <c r="N3240" t="s">
        <v>364</v>
      </c>
    </row>
    <row r="3241" spans="1:14">
      <c r="A3241" t="s">
        <v>29</v>
      </c>
      <c r="B3241">
        <v>1185732</v>
      </c>
      <c r="C3241" s="2">
        <v>44546</v>
      </c>
      <c r="D3241" t="s">
        <v>140</v>
      </c>
      <c r="E3241" t="s">
        <v>227</v>
      </c>
      <c r="F3241" t="s">
        <v>236</v>
      </c>
      <c r="G3241" t="s">
        <v>145</v>
      </c>
      <c r="H3241" s="3">
        <v>0.55000000000000004</v>
      </c>
      <c r="I3241">
        <v>4500</v>
      </c>
      <c r="J3241" s="4">
        <v>2475</v>
      </c>
      <c r="K3241" s="4">
        <v>990</v>
      </c>
      <c r="L3241" s="5">
        <v>0.4</v>
      </c>
      <c r="M3241" t="s">
        <v>23</v>
      </c>
      <c r="N3241" t="s">
        <v>364</v>
      </c>
    </row>
    <row r="3242" spans="1:14">
      <c r="A3242" t="s">
        <v>29</v>
      </c>
      <c r="B3242">
        <v>1185732</v>
      </c>
      <c r="C3242" s="2">
        <v>44546</v>
      </c>
      <c r="D3242" t="s">
        <v>140</v>
      </c>
      <c r="E3242" t="s">
        <v>227</v>
      </c>
      <c r="F3242" t="s">
        <v>236</v>
      </c>
      <c r="G3242" t="s">
        <v>146</v>
      </c>
      <c r="H3242" s="3">
        <v>0.55000000000000004</v>
      </c>
      <c r="I3242">
        <v>4000</v>
      </c>
      <c r="J3242" s="4">
        <v>2200</v>
      </c>
      <c r="K3242" s="4">
        <v>880</v>
      </c>
      <c r="L3242" s="5">
        <v>0.4</v>
      </c>
      <c r="M3242" t="s">
        <v>23</v>
      </c>
      <c r="N3242" t="s">
        <v>364</v>
      </c>
    </row>
    <row r="3243" spans="1:14">
      <c r="A3243" t="s">
        <v>29</v>
      </c>
      <c r="B3243">
        <v>1185732</v>
      </c>
      <c r="C3243" s="2">
        <v>44546</v>
      </c>
      <c r="D3243" t="s">
        <v>140</v>
      </c>
      <c r="E3243" t="s">
        <v>227</v>
      </c>
      <c r="F3243" t="s">
        <v>236</v>
      </c>
      <c r="G3243" t="s">
        <v>148</v>
      </c>
      <c r="H3243" s="3">
        <v>0.55000000000000004</v>
      </c>
      <c r="I3243">
        <v>3500</v>
      </c>
      <c r="J3243" s="4">
        <v>1925.0000000000002</v>
      </c>
      <c r="K3243" s="4">
        <v>770.00000000000011</v>
      </c>
      <c r="L3243" s="5">
        <v>0.4</v>
      </c>
      <c r="M3243" t="s">
        <v>23</v>
      </c>
      <c r="N3243" t="s">
        <v>364</v>
      </c>
    </row>
    <row r="3244" spans="1:14">
      <c r="A3244" t="s">
        <v>29</v>
      </c>
      <c r="B3244">
        <v>1185732</v>
      </c>
      <c r="C3244" s="2">
        <v>44546</v>
      </c>
      <c r="D3244" t="s">
        <v>140</v>
      </c>
      <c r="E3244" t="s">
        <v>227</v>
      </c>
      <c r="F3244" t="s">
        <v>236</v>
      </c>
      <c r="G3244" t="s">
        <v>147</v>
      </c>
      <c r="H3244" s="3">
        <v>0.65</v>
      </c>
      <c r="I3244">
        <v>3500</v>
      </c>
      <c r="J3244" s="4">
        <v>2275</v>
      </c>
      <c r="K3244" s="4">
        <v>910</v>
      </c>
      <c r="L3244" s="5">
        <v>0.4</v>
      </c>
      <c r="M3244" t="s">
        <v>23</v>
      </c>
      <c r="N3244" t="s">
        <v>364</v>
      </c>
    </row>
    <row r="3245" spans="1:14">
      <c r="A3245" t="s">
        <v>29</v>
      </c>
      <c r="B3245">
        <v>1185732</v>
      </c>
      <c r="C3245" s="2">
        <v>44546</v>
      </c>
      <c r="D3245" t="s">
        <v>140</v>
      </c>
      <c r="E3245" t="s">
        <v>227</v>
      </c>
      <c r="F3245" t="s">
        <v>236</v>
      </c>
      <c r="G3245" t="s">
        <v>144</v>
      </c>
      <c r="H3245" s="3">
        <v>0.7</v>
      </c>
      <c r="I3245">
        <v>4500</v>
      </c>
      <c r="J3245" s="4">
        <v>3150</v>
      </c>
      <c r="K3245" s="4">
        <v>1260</v>
      </c>
      <c r="L3245" s="5">
        <v>0.4</v>
      </c>
      <c r="M3245" t="s">
        <v>23</v>
      </c>
      <c r="N3245" t="s">
        <v>364</v>
      </c>
    </row>
    <row r="3246" spans="1:14">
      <c r="A3246" t="s">
        <v>29</v>
      </c>
      <c r="B3246">
        <v>1185732</v>
      </c>
      <c r="C3246" s="2">
        <v>44220</v>
      </c>
      <c r="D3246" t="s">
        <v>137</v>
      </c>
      <c r="E3246" t="s">
        <v>260</v>
      </c>
      <c r="F3246" t="s">
        <v>186</v>
      </c>
      <c r="G3246" t="s">
        <v>27</v>
      </c>
      <c r="H3246" s="3">
        <v>0.35000000000000003</v>
      </c>
      <c r="I3246">
        <v>4250</v>
      </c>
      <c r="J3246" s="4">
        <v>1487.5000000000002</v>
      </c>
      <c r="K3246" s="4">
        <v>595.00000000000011</v>
      </c>
      <c r="L3246" s="5">
        <v>0.4</v>
      </c>
      <c r="M3246" t="s">
        <v>125</v>
      </c>
      <c r="N3246" t="s">
        <v>361</v>
      </c>
    </row>
    <row r="3247" spans="1:14">
      <c r="A3247" t="s">
        <v>29</v>
      </c>
      <c r="B3247">
        <v>1185732</v>
      </c>
      <c r="C3247" s="2">
        <v>44220</v>
      </c>
      <c r="D3247" t="s">
        <v>137</v>
      </c>
      <c r="E3247" t="s">
        <v>260</v>
      </c>
      <c r="F3247" t="s">
        <v>186</v>
      </c>
      <c r="G3247" t="s">
        <v>145</v>
      </c>
      <c r="H3247" s="3">
        <v>0.35000000000000003</v>
      </c>
      <c r="I3247">
        <v>2250</v>
      </c>
      <c r="J3247" s="4">
        <v>787.50000000000011</v>
      </c>
      <c r="K3247" s="4">
        <v>275.625</v>
      </c>
      <c r="L3247" s="5">
        <v>0.35</v>
      </c>
      <c r="M3247" t="s">
        <v>125</v>
      </c>
      <c r="N3247" t="s">
        <v>361</v>
      </c>
    </row>
    <row r="3248" spans="1:14">
      <c r="A3248" t="s">
        <v>29</v>
      </c>
      <c r="B3248">
        <v>1185732</v>
      </c>
      <c r="C3248" s="2">
        <v>44220</v>
      </c>
      <c r="D3248" t="s">
        <v>137</v>
      </c>
      <c r="E3248" t="s">
        <v>260</v>
      </c>
      <c r="F3248" t="s">
        <v>186</v>
      </c>
      <c r="G3248" t="s">
        <v>146</v>
      </c>
      <c r="H3248" s="3">
        <v>0.25000000000000006</v>
      </c>
      <c r="I3248">
        <v>2250</v>
      </c>
      <c r="J3248" s="4">
        <v>562.50000000000011</v>
      </c>
      <c r="K3248" s="4">
        <v>196.87500000000003</v>
      </c>
      <c r="L3248" s="5">
        <v>0.35</v>
      </c>
      <c r="M3248" t="s">
        <v>125</v>
      </c>
      <c r="N3248" t="s">
        <v>361</v>
      </c>
    </row>
    <row r="3249" spans="1:14">
      <c r="A3249" t="s">
        <v>29</v>
      </c>
      <c r="B3249">
        <v>1185732</v>
      </c>
      <c r="C3249" s="2">
        <v>44220</v>
      </c>
      <c r="D3249" t="s">
        <v>137</v>
      </c>
      <c r="E3249" t="s">
        <v>260</v>
      </c>
      <c r="F3249" t="s">
        <v>186</v>
      </c>
      <c r="G3249" t="s">
        <v>148</v>
      </c>
      <c r="H3249" s="3">
        <v>0.3</v>
      </c>
      <c r="I3249">
        <v>750</v>
      </c>
      <c r="J3249" s="4">
        <v>225</v>
      </c>
      <c r="K3249" s="4">
        <v>78.75</v>
      </c>
      <c r="L3249" s="5">
        <v>0.35</v>
      </c>
      <c r="M3249" t="s">
        <v>125</v>
      </c>
      <c r="N3249" t="s">
        <v>361</v>
      </c>
    </row>
    <row r="3250" spans="1:14">
      <c r="A3250" t="s">
        <v>29</v>
      </c>
      <c r="B3250">
        <v>1185732</v>
      </c>
      <c r="C3250" s="2">
        <v>44220</v>
      </c>
      <c r="D3250" t="s">
        <v>137</v>
      </c>
      <c r="E3250" t="s">
        <v>260</v>
      </c>
      <c r="F3250" t="s">
        <v>186</v>
      </c>
      <c r="G3250" t="s">
        <v>147</v>
      </c>
      <c r="H3250" s="3">
        <v>0.45</v>
      </c>
      <c r="I3250">
        <v>1250</v>
      </c>
      <c r="J3250" s="4">
        <v>562.5</v>
      </c>
      <c r="K3250" s="4">
        <v>168.75</v>
      </c>
      <c r="L3250" s="5">
        <v>0.3</v>
      </c>
      <c r="M3250" t="s">
        <v>125</v>
      </c>
      <c r="N3250" t="s">
        <v>361</v>
      </c>
    </row>
    <row r="3251" spans="1:14">
      <c r="A3251" t="s">
        <v>29</v>
      </c>
      <c r="B3251">
        <v>1185732</v>
      </c>
      <c r="C3251" s="2">
        <v>44220</v>
      </c>
      <c r="D3251" t="s">
        <v>137</v>
      </c>
      <c r="E3251" t="s">
        <v>260</v>
      </c>
      <c r="F3251" t="s">
        <v>186</v>
      </c>
      <c r="G3251" t="s">
        <v>144</v>
      </c>
      <c r="H3251" s="3">
        <v>0.35000000000000003</v>
      </c>
      <c r="I3251">
        <v>2250</v>
      </c>
      <c r="J3251" s="4">
        <v>787.50000000000011</v>
      </c>
      <c r="K3251" s="4">
        <v>236.25000000000003</v>
      </c>
      <c r="L3251" s="5">
        <v>0.3</v>
      </c>
      <c r="M3251" t="s">
        <v>125</v>
      </c>
      <c r="N3251" t="s">
        <v>361</v>
      </c>
    </row>
    <row r="3252" spans="1:14">
      <c r="A3252" t="s">
        <v>29</v>
      </c>
      <c r="B3252">
        <v>1185732</v>
      </c>
      <c r="C3252" s="2">
        <v>44249</v>
      </c>
      <c r="D3252" t="s">
        <v>137</v>
      </c>
      <c r="E3252" t="s">
        <v>260</v>
      </c>
      <c r="F3252" t="s">
        <v>186</v>
      </c>
      <c r="G3252" t="s">
        <v>27</v>
      </c>
      <c r="H3252" s="3">
        <v>0.35000000000000003</v>
      </c>
      <c r="I3252">
        <v>4750</v>
      </c>
      <c r="J3252" s="4">
        <v>1662.5000000000002</v>
      </c>
      <c r="K3252" s="4">
        <v>665.00000000000011</v>
      </c>
      <c r="L3252" s="5">
        <v>0.4</v>
      </c>
      <c r="M3252" t="s">
        <v>126</v>
      </c>
      <c r="N3252" t="s">
        <v>361</v>
      </c>
    </row>
    <row r="3253" spans="1:14">
      <c r="A3253" t="s">
        <v>29</v>
      </c>
      <c r="B3253">
        <v>1185732</v>
      </c>
      <c r="C3253" s="2">
        <v>44249</v>
      </c>
      <c r="D3253" t="s">
        <v>137</v>
      </c>
      <c r="E3253" t="s">
        <v>260</v>
      </c>
      <c r="F3253" t="s">
        <v>186</v>
      </c>
      <c r="G3253" t="s">
        <v>145</v>
      </c>
      <c r="H3253" s="3">
        <v>0.35000000000000003</v>
      </c>
      <c r="I3253">
        <v>1250</v>
      </c>
      <c r="J3253" s="4">
        <v>437.50000000000006</v>
      </c>
      <c r="K3253" s="4">
        <v>153.125</v>
      </c>
      <c r="L3253" s="5">
        <v>0.35</v>
      </c>
      <c r="M3253" t="s">
        <v>126</v>
      </c>
      <c r="N3253" t="s">
        <v>361</v>
      </c>
    </row>
    <row r="3254" spans="1:14">
      <c r="A3254" t="s">
        <v>29</v>
      </c>
      <c r="B3254">
        <v>1185732</v>
      </c>
      <c r="C3254" s="2">
        <v>44249</v>
      </c>
      <c r="D3254" t="s">
        <v>137</v>
      </c>
      <c r="E3254" t="s">
        <v>260</v>
      </c>
      <c r="F3254" t="s">
        <v>186</v>
      </c>
      <c r="G3254" t="s">
        <v>146</v>
      </c>
      <c r="H3254" s="3">
        <v>0.25000000000000006</v>
      </c>
      <c r="I3254">
        <v>1750</v>
      </c>
      <c r="J3254" s="4">
        <v>437.50000000000011</v>
      </c>
      <c r="K3254" s="4">
        <v>153.12500000000003</v>
      </c>
      <c r="L3254" s="5">
        <v>0.35</v>
      </c>
      <c r="M3254" t="s">
        <v>126</v>
      </c>
      <c r="N3254" t="s">
        <v>361</v>
      </c>
    </row>
    <row r="3255" spans="1:14">
      <c r="A3255" t="s">
        <v>29</v>
      </c>
      <c r="B3255">
        <v>1185732</v>
      </c>
      <c r="C3255" s="2">
        <v>44249</v>
      </c>
      <c r="D3255" t="s">
        <v>137</v>
      </c>
      <c r="E3255" t="s">
        <v>260</v>
      </c>
      <c r="F3255" t="s">
        <v>186</v>
      </c>
      <c r="G3255" t="s">
        <v>148</v>
      </c>
      <c r="H3255" s="3">
        <v>0.3</v>
      </c>
      <c r="I3255">
        <v>500</v>
      </c>
      <c r="J3255" s="4">
        <v>150</v>
      </c>
      <c r="K3255" s="4">
        <v>52.5</v>
      </c>
      <c r="L3255" s="5">
        <v>0.35</v>
      </c>
      <c r="M3255" t="s">
        <v>126</v>
      </c>
      <c r="N3255" t="s">
        <v>361</v>
      </c>
    </row>
    <row r="3256" spans="1:14">
      <c r="A3256" t="s">
        <v>29</v>
      </c>
      <c r="B3256">
        <v>1185732</v>
      </c>
      <c r="C3256" s="2">
        <v>44249</v>
      </c>
      <c r="D3256" t="s">
        <v>137</v>
      </c>
      <c r="E3256" t="s">
        <v>260</v>
      </c>
      <c r="F3256" t="s">
        <v>186</v>
      </c>
      <c r="G3256" t="s">
        <v>147</v>
      </c>
      <c r="H3256" s="3">
        <v>0.45</v>
      </c>
      <c r="I3256">
        <v>1250</v>
      </c>
      <c r="J3256" s="4">
        <v>562.5</v>
      </c>
      <c r="K3256" s="4">
        <v>168.75</v>
      </c>
      <c r="L3256" s="5">
        <v>0.3</v>
      </c>
      <c r="M3256" t="s">
        <v>126</v>
      </c>
      <c r="N3256" t="s">
        <v>361</v>
      </c>
    </row>
    <row r="3257" spans="1:14">
      <c r="A3257" t="s">
        <v>29</v>
      </c>
      <c r="B3257">
        <v>1185732</v>
      </c>
      <c r="C3257" s="2">
        <v>44249</v>
      </c>
      <c r="D3257" t="s">
        <v>137</v>
      </c>
      <c r="E3257" t="s">
        <v>260</v>
      </c>
      <c r="F3257" t="s">
        <v>186</v>
      </c>
      <c r="G3257" t="s">
        <v>144</v>
      </c>
      <c r="H3257" s="3">
        <v>0.35000000000000003</v>
      </c>
      <c r="I3257">
        <v>2250</v>
      </c>
      <c r="J3257" s="4">
        <v>787.50000000000011</v>
      </c>
      <c r="K3257" s="4">
        <v>236.25000000000003</v>
      </c>
      <c r="L3257" s="5">
        <v>0.3</v>
      </c>
      <c r="M3257" t="s">
        <v>126</v>
      </c>
      <c r="N3257" t="s">
        <v>361</v>
      </c>
    </row>
    <row r="3258" spans="1:14">
      <c r="A3258" t="s">
        <v>29</v>
      </c>
      <c r="B3258">
        <v>1185732</v>
      </c>
      <c r="C3258" s="2">
        <v>44275</v>
      </c>
      <c r="D3258" t="s">
        <v>137</v>
      </c>
      <c r="E3258" t="s">
        <v>260</v>
      </c>
      <c r="F3258" t="s">
        <v>186</v>
      </c>
      <c r="G3258" t="s">
        <v>27</v>
      </c>
      <c r="H3258" s="3">
        <v>0.35000000000000003</v>
      </c>
      <c r="I3258">
        <v>4450</v>
      </c>
      <c r="J3258" s="4">
        <v>1557.5000000000002</v>
      </c>
      <c r="K3258" s="4">
        <v>623.00000000000011</v>
      </c>
      <c r="L3258" s="5">
        <v>0.4</v>
      </c>
      <c r="M3258" t="s">
        <v>24</v>
      </c>
      <c r="N3258" t="s">
        <v>361</v>
      </c>
    </row>
    <row r="3259" spans="1:14">
      <c r="A3259" t="s">
        <v>29</v>
      </c>
      <c r="B3259">
        <v>1185732</v>
      </c>
      <c r="C3259" s="2">
        <v>44275</v>
      </c>
      <c r="D3259" t="s">
        <v>137</v>
      </c>
      <c r="E3259" t="s">
        <v>260</v>
      </c>
      <c r="F3259" t="s">
        <v>186</v>
      </c>
      <c r="G3259" t="s">
        <v>145</v>
      </c>
      <c r="H3259" s="3">
        <v>0.35000000000000003</v>
      </c>
      <c r="I3259">
        <v>1500</v>
      </c>
      <c r="J3259" s="4">
        <v>525</v>
      </c>
      <c r="K3259" s="4">
        <v>183.75</v>
      </c>
      <c r="L3259" s="5">
        <v>0.35</v>
      </c>
      <c r="M3259" t="s">
        <v>24</v>
      </c>
      <c r="N3259" t="s">
        <v>361</v>
      </c>
    </row>
    <row r="3260" spans="1:14">
      <c r="A3260" t="s">
        <v>29</v>
      </c>
      <c r="B3260">
        <v>1185732</v>
      </c>
      <c r="C3260" s="2">
        <v>44275</v>
      </c>
      <c r="D3260" t="s">
        <v>137</v>
      </c>
      <c r="E3260" t="s">
        <v>260</v>
      </c>
      <c r="F3260" t="s">
        <v>186</v>
      </c>
      <c r="G3260" t="s">
        <v>146</v>
      </c>
      <c r="H3260" s="3">
        <v>0.25000000000000006</v>
      </c>
      <c r="I3260">
        <v>1750</v>
      </c>
      <c r="J3260" s="4">
        <v>437.50000000000011</v>
      </c>
      <c r="K3260" s="4">
        <v>153.12500000000003</v>
      </c>
      <c r="L3260" s="5">
        <v>0.35</v>
      </c>
      <c r="M3260" t="s">
        <v>24</v>
      </c>
      <c r="N3260" t="s">
        <v>361</v>
      </c>
    </row>
    <row r="3261" spans="1:14">
      <c r="A3261" t="s">
        <v>29</v>
      </c>
      <c r="B3261">
        <v>1185732</v>
      </c>
      <c r="C3261" s="2">
        <v>44275</v>
      </c>
      <c r="D3261" t="s">
        <v>137</v>
      </c>
      <c r="E3261" t="s">
        <v>260</v>
      </c>
      <c r="F3261" t="s">
        <v>186</v>
      </c>
      <c r="G3261" t="s">
        <v>148</v>
      </c>
      <c r="H3261" s="3">
        <v>0.3</v>
      </c>
      <c r="I3261">
        <v>250</v>
      </c>
      <c r="J3261" s="4">
        <v>75</v>
      </c>
      <c r="K3261" s="4">
        <v>26.25</v>
      </c>
      <c r="L3261" s="5">
        <v>0.35</v>
      </c>
      <c r="M3261" t="s">
        <v>24</v>
      </c>
      <c r="N3261" t="s">
        <v>361</v>
      </c>
    </row>
    <row r="3262" spans="1:14">
      <c r="A3262" t="s">
        <v>29</v>
      </c>
      <c r="B3262">
        <v>1185732</v>
      </c>
      <c r="C3262" s="2">
        <v>44275</v>
      </c>
      <c r="D3262" t="s">
        <v>137</v>
      </c>
      <c r="E3262" t="s">
        <v>260</v>
      </c>
      <c r="F3262" t="s">
        <v>186</v>
      </c>
      <c r="G3262" t="s">
        <v>147</v>
      </c>
      <c r="H3262" s="3">
        <v>0.45</v>
      </c>
      <c r="I3262">
        <v>750</v>
      </c>
      <c r="J3262" s="4">
        <v>337.5</v>
      </c>
      <c r="K3262" s="4">
        <v>101.25</v>
      </c>
      <c r="L3262" s="5">
        <v>0.3</v>
      </c>
      <c r="M3262" t="s">
        <v>24</v>
      </c>
      <c r="N3262" t="s">
        <v>361</v>
      </c>
    </row>
    <row r="3263" spans="1:14">
      <c r="A3263" t="s">
        <v>29</v>
      </c>
      <c r="B3263">
        <v>1185732</v>
      </c>
      <c r="C3263" s="2">
        <v>44275</v>
      </c>
      <c r="D3263" t="s">
        <v>137</v>
      </c>
      <c r="E3263" t="s">
        <v>260</v>
      </c>
      <c r="F3263" t="s">
        <v>186</v>
      </c>
      <c r="G3263" t="s">
        <v>144</v>
      </c>
      <c r="H3263" s="3">
        <v>0.35000000000000003</v>
      </c>
      <c r="I3263">
        <v>1750</v>
      </c>
      <c r="J3263" s="4">
        <v>612.50000000000011</v>
      </c>
      <c r="K3263" s="4">
        <v>183.75000000000003</v>
      </c>
      <c r="L3263" s="5">
        <v>0.3</v>
      </c>
      <c r="M3263" t="s">
        <v>24</v>
      </c>
      <c r="N3263" t="s">
        <v>361</v>
      </c>
    </row>
    <row r="3264" spans="1:14">
      <c r="A3264" t="s">
        <v>29</v>
      </c>
      <c r="B3264">
        <v>1185732</v>
      </c>
      <c r="C3264" s="2">
        <v>44307</v>
      </c>
      <c r="D3264" t="s">
        <v>137</v>
      </c>
      <c r="E3264" t="s">
        <v>260</v>
      </c>
      <c r="F3264" t="s">
        <v>186</v>
      </c>
      <c r="G3264" t="s">
        <v>27</v>
      </c>
      <c r="H3264" s="3">
        <v>0.35000000000000003</v>
      </c>
      <c r="I3264">
        <v>4250</v>
      </c>
      <c r="J3264" s="4">
        <v>1487.5000000000002</v>
      </c>
      <c r="K3264" s="4">
        <v>595.00000000000011</v>
      </c>
      <c r="L3264" s="5">
        <v>0.4</v>
      </c>
      <c r="M3264" t="s">
        <v>127</v>
      </c>
      <c r="N3264" t="s">
        <v>362</v>
      </c>
    </row>
    <row r="3265" spans="1:14">
      <c r="A3265" t="s">
        <v>29</v>
      </c>
      <c r="B3265">
        <v>1185732</v>
      </c>
      <c r="C3265" s="2">
        <v>44307</v>
      </c>
      <c r="D3265" t="s">
        <v>137</v>
      </c>
      <c r="E3265" t="s">
        <v>260</v>
      </c>
      <c r="F3265" t="s">
        <v>186</v>
      </c>
      <c r="G3265" t="s">
        <v>145</v>
      </c>
      <c r="H3265" s="3">
        <v>0.35000000000000003</v>
      </c>
      <c r="I3265">
        <v>1250</v>
      </c>
      <c r="J3265" s="4">
        <v>437.50000000000006</v>
      </c>
      <c r="K3265" s="4">
        <v>153.125</v>
      </c>
      <c r="L3265" s="5">
        <v>0.35</v>
      </c>
      <c r="M3265" t="s">
        <v>127</v>
      </c>
      <c r="N3265" t="s">
        <v>362</v>
      </c>
    </row>
    <row r="3266" spans="1:14">
      <c r="A3266" t="s">
        <v>29</v>
      </c>
      <c r="B3266">
        <v>1185732</v>
      </c>
      <c r="C3266" s="2">
        <v>44307</v>
      </c>
      <c r="D3266" t="s">
        <v>137</v>
      </c>
      <c r="E3266" t="s">
        <v>260</v>
      </c>
      <c r="F3266" t="s">
        <v>186</v>
      </c>
      <c r="G3266" t="s">
        <v>146</v>
      </c>
      <c r="H3266" s="3">
        <v>0.25000000000000006</v>
      </c>
      <c r="I3266">
        <v>1250</v>
      </c>
      <c r="J3266" s="4">
        <v>312.50000000000006</v>
      </c>
      <c r="K3266" s="4">
        <v>109.37500000000001</v>
      </c>
      <c r="L3266" s="5">
        <v>0.35</v>
      </c>
      <c r="M3266" t="s">
        <v>127</v>
      </c>
      <c r="N3266" t="s">
        <v>362</v>
      </c>
    </row>
    <row r="3267" spans="1:14">
      <c r="A3267" t="s">
        <v>29</v>
      </c>
      <c r="B3267">
        <v>1185732</v>
      </c>
      <c r="C3267" s="2">
        <v>44307</v>
      </c>
      <c r="D3267" t="s">
        <v>137</v>
      </c>
      <c r="E3267" t="s">
        <v>260</v>
      </c>
      <c r="F3267" t="s">
        <v>186</v>
      </c>
      <c r="G3267" t="s">
        <v>148</v>
      </c>
      <c r="H3267" s="3">
        <v>0.3</v>
      </c>
      <c r="I3267">
        <v>500</v>
      </c>
      <c r="J3267" s="4">
        <v>150</v>
      </c>
      <c r="K3267" s="4">
        <v>52.5</v>
      </c>
      <c r="L3267" s="5">
        <v>0.35</v>
      </c>
      <c r="M3267" t="s">
        <v>127</v>
      </c>
      <c r="N3267" t="s">
        <v>362</v>
      </c>
    </row>
    <row r="3268" spans="1:14">
      <c r="A3268" t="s">
        <v>29</v>
      </c>
      <c r="B3268">
        <v>1185732</v>
      </c>
      <c r="C3268" s="2">
        <v>44307</v>
      </c>
      <c r="D3268" t="s">
        <v>137</v>
      </c>
      <c r="E3268" t="s">
        <v>260</v>
      </c>
      <c r="F3268" t="s">
        <v>186</v>
      </c>
      <c r="G3268" t="s">
        <v>147</v>
      </c>
      <c r="H3268" s="3">
        <v>0.45</v>
      </c>
      <c r="I3268">
        <v>500</v>
      </c>
      <c r="J3268" s="4">
        <v>225</v>
      </c>
      <c r="K3268" s="4">
        <v>67.5</v>
      </c>
      <c r="L3268" s="5">
        <v>0.3</v>
      </c>
      <c r="M3268" t="s">
        <v>127</v>
      </c>
      <c r="N3268" t="s">
        <v>362</v>
      </c>
    </row>
    <row r="3269" spans="1:14">
      <c r="A3269" t="s">
        <v>29</v>
      </c>
      <c r="B3269">
        <v>1185732</v>
      </c>
      <c r="C3269" s="2">
        <v>44307</v>
      </c>
      <c r="D3269" t="s">
        <v>137</v>
      </c>
      <c r="E3269" t="s">
        <v>260</v>
      </c>
      <c r="F3269" t="s">
        <v>186</v>
      </c>
      <c r="G3269" t="s">
        <v>144</v>
      </c>
      <c r="H3269" s="3">
        <v>0.35000000000000003</v>
      </c>
      <c r="I3269">
        <v>2000</v>
      </c>
      <c r="J3269" s="4">
        <v>700.00000000000011</v>
      </c>
      <c r="K3269" s="4">
        <v>210.00000000000003</v>
      </c>
      <c r="L3269" s="5">
        <v>0.3</v>
      </c>
      <c r="M3269" t="s">
        <v>127</v>
      </c>
      <c r="N3269" t="s">
        <v>362</v>
      </c>
    </row>
    <row r="3270" spans="1:14">
      <c r="A3270" t="s">
        <v>29</v>
      </c>
      <c r="B3270">
        <v>1185732</v>
      </c>
      <c r="C3270" s="2">
        <v>44336</v>
      </c>
      <c r="D3270" t="s">
        <v>137</v>
      </c>
      <c r="E3270" t="s">
        <v>260</v>
      </c>
      <c r="F3270" t="s">
        <v>186</v>
      </c>
      <c r="G3270" t="s">
        <v>27</v>
      </c>
      <c r="H3270" s="3">
        <v>0.49999999999999994</v>
      </c>
      <c r="I3270">
        <v>4700</v>
      </c>
      <c r="J3270" s="4">
        <v>2349.9999999999995</v>
      </c>
      <c r="K3270" s="4">
        <v>939.99999999999989</v>
      </c>
      <c r="L3270" s="5">
        <v>0.4</v>
      </c>
      <c r="M3270" t="s">
        <v>128</v>
      </c>
      <c r="N3270" t="s">
        <v>362</v>
      </c>
    </row>
    <row r="3271" spans="1:14">
      <c r="A3271" t="s">
        <v>29</v>
      </c>
      <c r="B3271">
        <v>1185732</v>
      </c>
      <c r="C3271" s="2">
        <v>44336</v>
      </c>
      <c r="D3271" t="s">
        <v>137</v>
      </c>
      <c r="E3271" t="s">
        <v>260</v>
      </c>
      <c r="F3271" t="s">
        <v>186</v>
      </c>
      <c r="G3271" t="s">
        <v>145</v>
      </c>
      <c r="H3271" s="3">
        <v>0.45</v>
      </c>
      <c r="I3271">
        <v>1750</v>
      </c>
      <c r="J3271" s="4">
        <v>787.5</v>
      </c>
      <c r="K3271" s="4">
        <v>275.625</v>
      </c>
      <c r="L3271" s="5">
        <v>0.35</v>
      </c>
      <c r="M3271" t="s">
        <v>128</v>
      </c>
      <c r="N3271" t="s">
        <v>362</v>
      </c>
    </row>
    <row r="3272" spans="1:14">
      <c r="A3272" t="s">
        <v>29</v>
      </c>
      <c r="B3272">
        <v>1185732</v>
      </c>
      <c r="C3272" s="2">
        <v>44336</v>
      </c>
      <c r="D3272" t="s">
        <v>137</v>
      </c>
      <c r="E3272" t="s">
        <v>260</v>
      </c>
      <c r="F3272" t="s">
        <v>186</v>
      </c>
      <c r="G3272" t="s">
        <v>146</v>
      </c>
      <c r="H3272" s="3">
        <v>0.4</v>
      </c>
      <c r="I3272">
        <v>1500</v>
      </c>
      <c r="J3272" s="4">
        <v>600</v>
      </c>
      <c r="K3272" s="4">
        <v>210</v>
      </c>
      <c r="L3272" s="5">
        <v>0.35</v>
      </c>
      <c r="M3272" t="s">
        <v>128</v>
      </c>
      <c r="N3272" t="s">
        <v>362</v>
      </c>
    </row>
    <row r="3273" spans="1:14">
      <c r="A3273" t="s">
        <v>29</v>
      </c>
      <c r="B3273">
        <v>1185732</v>
      </c>
      <c r="C3273" s="2">
        <v>44336</v>
      </c>
      <c r="D3273" t="s">
        <v>137</v>
      </c>
      <c r="E3273" t="s">
        <v>260</v>
      </c>
      <c r="F3273" t="s">
        <v>186</v>
      </c>
      <c r="G3273" t="s">
        <v>148</v>
      </c>
      <c r="H3273" s="3">
        <v>0.4</v>
      </c>
      <c r="I3273">
        <v>1000</v>
      </c>
      <c r="J3273" s="4">
        <v>400</v>
      </c>
      <c r="K3273" s="4">
        <v>140</v>
      </c>
      <c r="L3273" s="5">
        <v>0.35</v>
      </c>
      <c r="M3273" t="s">
        <v>128</v>
      </c>
      <c r="N3273" t="s">
        <v>362</v>
      </c>
    </row>
    <row r="3274" spans="1:14">
      <c r="A3274" t="s">
        <v>29</v>
      </c>
      <c r="B3274">
        <v>1185732</v>
      </c>
      <c r="C3274" s="2">
        <v>44336</v>
      </c>
      <c r="D3274" t="s">
        <v>137</v>
      </c>
      <c r="E3274" t="s">
        <v>260</v>
      </c>
      <c r="F3274" t="s">
        <v>186</v>
      </c>
      <c r="G3274" t="s">
        <v>147</v>
      </c>
      <c r="H3274" s="3">
        <v>0.49999999999999994</v>
      </c>
      <c r="I3274">
        <v>1250</v>
      </c>
      <c r="J3274" s="4">
        <v>624.99999999999989</v>
      </c>
      <c r="K3274" s="4">
        <v>187.49999999999997</v>
      </c>
      <c r="L3274" s="5">
        <v>0.3</v>
      </c>
      <c r="M3274" t="s">
        <v>128</v>
      </c>
      <c r="N3274" t="s">
        <v>362</v>
      </c>
    </row>
    <row r="3275" spans="1:14">
      <c r="A3275" t="s">
        <v>29</v>
      </c>
      <c r="B3275">
        <v>1185732</v>
      </c>
      <c r="C3275" s="2">
        <v>44336</v>
      </c>
      <c r="D3275" t="s">
        <v>137</v>
      </c>
      <c r="E3275" t="s">
        <v>260</v>
      </c>
      <c r="F3275" t="s">
        <v>186</v>
      </c>
      <c r="G3275" t="s">
        <v>144</v>
      </c>
      <c r="H3275" s="3">
        <v>0.54999999999999993</v>
      </c>
      <c r="I3275">
        <v>2500</v>
      </c>
      <c r="J3275" s="4">
        <v>1374.9999999999998</v>
      </c>
      <c r="K3275" s="4">
        <v>412.49999999999994</v>
      </c>
      <c r="L3275" s="5">
        <v>0.3</v>
      </c>
      <c r="M3275" t="s">
        <v>128</v>
      </c>
      <c r="N3275" t="s">
        <v>362</v>
      </c>
    </row>
    <row r="3276" spans="1:14">
      <c r="A3276" t="s">
        <v>29</v>
      </c>
      <c r="B3276">
        <v>1185732</v>
      </c>
      <c r="C3276" s="2">
        <v>44369</v>
      </c>
      <c r="D3276" t="s">
        <v>137</v>
      </c>
      <c r="E3276" t="s">
        <v>260</v>
      </c>
      <c r="F3276" t="s">
        <v>186</v>
      </c>
      <c r="G3276" t="s">
        <v>27</v>
      </c>
      <c r="H3276" s="3">
        <v>0.49999999999999994</v>
      </c>
      <c r="I3276">
        <v>5000</v>
      </c>
      <c r="J3276" s="4">
        <v>2499.9999999999995</v>
      </c>
      <c r="K3276" s="4">
        <v>999.99999999999989</v>
      </c>
      <c r="L3276" s="5">
        <v>0.4</v>
      </c>
      <c r="M3276" t="s">
        <v>129</v>
      </c>
      <c r="N3276" t="s">
        <v>362</v>
      </c>
    </row>
    <row r="3277" spans="1:14">
      <c r="A3277" t="s">
        <v>29</v>
      </c>
      <c r="B3277">
        <v>1185732</v>
      </c>
      <c r="C3277" s="2">
        <v>44369</v>
      </c>
      <c r="D3277" t="s">
        <v>137</v>
      </c>
      <c r="E3277" t="s">
        <v>260</v>
      </c>
      <c r="F3277" t="s">
        <v>186</v>
      </c>
      <c r="G3277" t="s">
        <v>145</v>
      </c>
      <c r="H3277" s="3">
        <v>0.45</v>
      </c>
      <c r="I3277">
        <v>2500</v>
      </c>
      <c r="J3277" s="4">
        <v>1125</v>
      </c>
      <c r="K3277" s="4">
        <v>393.75</v>
      </c>
      <c r="L3277" s="5">
        <v>0.35</v>
      </c>
      <c r="M3277" t="s">
        <v>129</v>
      </c>
      <c r="N3277" t="s">
        <v>362</v>
      </c>
    </row>
    <row r="3278" spans="1:14">
      <c r="A3278" t="s">
        <v>29</v>
      </c>
      <c r="B3278">
        <v>1185732</v>
      </c>
      <c r="C3278" s="2">
        <v>44369</v>
      </c>
      <c r="D3278" t="s">
        <v>137</v>
      </c>
      <c r="E3278" t="s">
        <v>260</v>
      </c>
      <c r="F3278" t="s">
        <v>186</v>
      </c>
      <c r="G3278" t="s">
        <v>146</v>
      </c>
      <c r="H3278" s="3">
        <v>0.4</v>
      </c>
      <c r="I3278">
        <v>1750</v>
      </c>
      <c r="J3278" s="4">
        <v>700</v>
      </c>
      <c r="K3278" s="4">
        <v>244.99999999999997</v>
      </c>
      <c r="L3278" s="5">
        <v>0.35</v>
      </c>
      <c r="M3278" t="s">
        <v>129</v>
      </c>
      <c r="N3278" t="s">
        <v>362</v>
      </c>
    </row>
    <row r="3279" spans="1:14">
      <c r="A3279" t="s">
        <v>29</v>
      </c>
      <c r="B3279">
        <v>1185732</v>
      </c>
      <c r="C3279" s="2">
        <v>44369</v>
      </c>
      <c r="D3279" t="s">
        <v>137</v>
      </c>
      <c r="E3279" t="s">
        <v>260</v>
      </c>
      <c r="F3279" t="s">
        <v>186</v>
      </c>
      <c r="G3279" t="s">
        <v>148</v>
      </c>
      <c r="H3279" s="3">
        <v>0.4</v>
      </c>
      <c r="I3279">
        <v>1500</v>
      </c>
      <c r="J3279" s="4">
        <v>600</v>
      </c>
      <c r="K3279" s="4">
        <v>210</v>
      </c>
      <c r="L3279" s="5">
        <v>0.35</v>
      </c>
      <c r="M3279" t="s">
        <v>129</v>
      </c>
      <c r="N3279" t="s">
        <v>362</v>
      </c>
    </row>
    <row r="3280" spans="1:14">
      <c r="A3280" t="s">
        <v>29</v>
      </c>
      <c r="B3280">
        <v>1185732</v>
      </c>
      <c r="C3280" s="2">
        <v>44369</v>
      </c>
      <c r="D3280" t="s">
        <v>137</v>
      </c>
      <c r="E3280" t="s">
        <v>260</v>
      </c>
      <c r="F3280" t="s">
        <v>186</v>
      </c>
      <c r="G3280" t="s">
        <v>147</v>
      </c>
      <c r="H3280" s="3">
        <v>0.49999999999999994</v>
      </c>
      <c r="I3280">
        <v>1500</v>
      </c>
      <c r="J3280" s="4">
        <v>749.99999999999989</v>
      </c>
      <c r="K3280" s="4">
        <v>224.99999999999997</v>
      </c>
      <c r="L3280" s="5">
        <v>0.3</v>
      </c>
      <c r="M3280" t="s">
        <v>129</v>
      </c>
      <c r="N3280" t="s">
        <v>362</v>
      </c>
    </row>
    <row r="3281" spans="1:14">
      <c r="A3281" t="s">
        <v>29</v>
      </c>
      <c r="B3281">
        <v>1185732</v>
      </c>
      <c r="C3281" s="2">
        <v>44369</v>
      </c>
      <c r="D3281" t="s">
        <v>137</v>
      </c>
      <c r="E3281" t="s">
        <v>260</v>
      </c>
      <c r="F3281" t="s">
        <v>186</v>
      </c>
      <c r="G3281" t="s">
        <v>144</v>
      </c>
      <c r="H3281" s="3">
        <v>0.54999999999999993</v>
      </c>
      <c r="I3281">
        <v>3000</v>
      </c>
      <c r="J3281" s="4">
        <v>1649.9999999999998</v>
      </c>
      <c r="K3281" s="4">
        <v>494.99999999999989</v>
      </c>
      <c r="L3281" s="5">
        <v>0.3</v>
      </c>
      <c r="M3281" t="s">
        <v>129</v>
      </c>
      <c r="N3281" t="s">
        <v>362</v>
      </c>
    </row>
    <row r="3282" spans="1:14">
      <c r="A3282" t="s">
        <v>29</v>
      </c>
      <c r="B3282">
        <v>1185732</v>
      </c>
      <c r="C3282" s="2">
        <v>44397</v>
      </c>
      <c r="D3282" t="s">
        <v>137</v>
      </c>
      <c r="E3282" t="s">
        <v>260</v>
      </c>
      <c r="F3282" t="s">
        <v>186</v>
      </c>
      <c r="G3282" t="s">
        <v>27</v>
      </c>
      <c r="H3282" s="3">
        <v>0.49999999999999994</v>
      </c>
      <c r="I3282">
        <v>5250</v>
      </c>
      <c r="J3282" s="4">
        <v>2624.9999999999995</v>
      </c>
      <c r="K3282" s="4">
        <v>1049.9999999999998</v>
      </c>
      <c r="L3282" s="5">
        <v>0.4</v>
      </c>
      <c r="M3282" t="s">
        <v>130</v>
      </c>
      <c r="N3282" t="s">
        <v>363</v>
      </c>
    </row>
    <row r="3283" spans="1:14">
      <c r="A3283" t="s">
        <v>29</v>
      </c>
      <c r="B3283">
        <v>1185732</v>
      </c>
      <c r="C3283" s="2">
        <v>44397</v>
      </c>
      <c r="D3283" t="s">
        <v>137</v>
      </c>
      <c r="E3283" t="s">
        <v>260</v>
      </c>
      <c r="F3283" t="s">
        <v>186</v>
      </c>
      <c r="G3283" t="s">
        <v>145</v>
      </c>
      <c r="H3283" s="3">
        <v>0.45</v>
      </c>
      <c r="I3283">
        <v>2750</v>
      </c>
      <c r="J3283" s="4">
        <v>1237.5</v>
      </c>
      <c r="K3283" s="4">
        <v>433.125</v>
      </c>
      <c r="L3283" s="5">
        <v>0.35</v>
      </c>
      <c r="M3283" t="s">
        <v>130</v>
      </c>
      <c r="N3283" t="s">
        <v>363</v>
      </c>
    </row>
    <row r="3284" spans="1:14">
      <c r="A3284" t="s">
        <v>29</v>
      </c>
      <c r="B3284">
        <v>1185732</v>
      </c>
      <c r="C3284" s="2">
        <v>44397</v>
      </c>
      <c r="D3284" t="s">
        <v>137</v>
      </c>
      <c r="E3284" t="s">
        <v>260</v>
      </c>
      <c r="F3284" t="s">
        <v>186</v>
      </c>
      <c r="G3284" t="s">
        <v>146</v>
      </c>
      <c r="H3284" s="3">
        <v>0.4</v>
      </c>
      <c r="I3284">
        <v>2000</v>
      </c>
      <c r="J3284" s="4">
        <v>800</v>
      </c>
      <c r="K3284" s="4">
        <v>280</v>
      </c>
      <c r="L3284" s="5">
        <v>0.35</v>
      </c>
      <c r="M3284" t="s">
        <v>130</v>
      </c>
      <c r="N3284" t="s">
        <v>363</v>
      </c>
    </row>
    <row r="3285" spans="1:14">
      <c r="A3285" t="s">
        <v>29</v>
      </c>
      <c r="B3285">
        <v>1185732</v>
      </c>
      <c r="C3285" s="2">
        <v>44397</v>
      </c>
      <c r="D3285" t="s">
        <v>137</v>
      </c>
      <c r="E3285" t="s">
        <v>260</v>
      </c>
      <c r="F3285" t="s">
        <v>186</v>
      </c>
      <c r="G3285" t="s">
        <v>148</v>
      </c>
      <c r="H3285" s="3">
        <v>0.4</v>
      </c>
      <c r="I3285">
        <v>1500</v>
      </c>
      <c r="J3285" s="4">
        <v>600</v>
      </c>
      <c r="K3285" s="4">
        <v>210</v>
      </c>
      <c r="L3285" s="5">
        <v>0.35</v>
      </c>
      <c r="M3285" t="s">
        <v>130</v>
      </c>
      <c r="N3285" t="s">
        <v>363</v>
      </c>
    </row>
    <row r="3286" spans="1:14">
      <c r="A3286" t="s">
        <v>29</v>
      </c>
      <c r="B3286">
        <v>1185732</v>
      </c>
      <c r="C3286" s="2">
        <v>44397</v>
      </c>
      <c r="D3286" t="s">
        <v>137</v>
      </c>
      <c r="E3286" t="s">
        <v>260</v>
      </c>
      <c r="F3286" t="s">
        <v>186</v>
      </c>
      <c r="G3286" t="s">
        <v>147</v>
      </c>
      <c r="H3286" s="3">
        <v>0.49999999999999994</v>
      </c>
      <c r="I3286">
        <v>1750</v>
      </c>
      <c r="J3286" s="4">
        <v>874.99999999999989</v>
      </c>
      <c r="K3286" s="4">
        <v>262.49999999999994</v>
      </c>
      <c r="L3286" s="5">
        <v>0.3</v>
      </c>
      <c r="M3286" t="s">
        <v>130</v>
      </c>
      <c r="N3286" t="s">
        <v>363</v>
      </c>
    </row>
    <row r="3287" spans="1:14">
      <c r="A3287" t="s">
        <v>29</v>
      </c>
      <c r="B3287">
        <v>1185732</v>
      </c>
      <c r="C3287" s="2">
        <v>44397</v>
      </c>
      <c r="D3287" t="s">
        <v>137</v>
      </c>
      <c r="E3287" t="s">
        <v>260</v>
      </c>
      <c r="F3287" t="s">
        <v>186</v>
      </c>
      <c r="G3287" t="s">
        <v>144</v>
      </c>
      <c r="H3287" s="3">
        <v>0.54999999999999993</v>
      </c>
      <c r="I3287">
        <v>3500</v>
      </c>
      <c r="J3287" s="4">
        <v>1924.9999999999998</v>
      </c>
      <c r="K3287" s="4">
        <v>577.49999999999989</v>
      </c>
      <c r="L3287" s="5">
        <v>0.3</v>
      </c>
      <c r="M3287" t="s">
        <v>130</v>
      </c>
      <c r="N3287" t="s">
        <v>363</v>
      </c>
    </row>
    <row r="3288" spans="1:14">
      <c r="A3288" t="s">
        <v>29</v>
      </c>
      <c r="B3288">
        <v>1185732</v>
      </c>
      <c r="C3288" s="2">
        <v>44429</v>
      </c>
      <c r="D3288" t="s">
        <v>137</v>
      </c>
      <c r="E3288" t="s">
        <v>260</v>
      </c>
      <c r="F3288" t="s">
        <v>186</v>
      </c>
      <c r="G3288" t="s">
        <v>27</v>
      </c>
      <c r="H3288" s="3">
        <v>0.49999999999999994</v>
      </c>
      <c r="I3288">
        <v>5000</v>
      </c>
      <c r="J3288" s="4">
        <v>2499.9999999999995</v>
      </c>
      <c r="K3288" s="4">
        <v>999.99999999999989</v>
      </c>
      <c r="L3288" s="5">
        <v>0.4</v>
      </c>
      <c r="M3288" t="s">
        <v>131</v>
      </c>
      <c r="N3288" t="s">
        <v>363</v>
      </c>
    </row>
    <row r="3289" spans="1:14">
      <c r="A3289" t="s">
        <v>29</v>
      </c>
      <c r="B3289">
        <v>1185732</v>
      </c>
      <c r="C3289" s="2">
        <v>44429</v>
      </c>
      <c r="D3289" t="s">
        <v>137</v>
      </c>
      <c r="E3289" t="s">
        <v>260</v>
      </c>
      <c r="F3289" t="s">
        <v>186</v>
      </c>
      <c r="G3289" t="s">
        <v>145</v>
      </c>
      <c r="H3289" s="3">
        <v>0.45</v>
      </c>
      <c r="I3289">
        <v>2750</v>
      </c>
      <c r="J3289" s="4">
        <v>1237.5</v>
      </c>
      <c r="K3289" s="4">
        <v>433.125</v>
      </c>
      <c r="L3289" s="5">
        <v>0.35</v>
      </c>
      <c r="M3289" t="s">
        <v>131</v>
      </c>
      <c r="N3289" t="s">
        <v>363</v>
      </c>
    </row>
    <row r="3290" spans="1:14">
      <c r="A3290" t="s">
        <v>29</v>
      </c>
      <c r="B3290">
        <v>1185732</v>
      </c>
      <c r="C3290" s="2">
        <v>44429</v>
      </c>
      <c r="D3290" t="s">
        <v>137</v>
      </c>
      <c r="E3290" t="s">
        <v>260</v>
      </c>
      <c r="F3290" t="s">
        <v>186</v>
      </c>
      <c r="G3290" t="s">
        <v>146</v>
      </c>
      <c r="H3290" s="3">
        <v>0.4</v>
      </c>
      <c r="I3290">
        <v>2000</v>
      </c>
      <c r="J3290" s="4">
        <v>800</v>
      </c>
      <c r="K3290" s="4">
        <v>280</v>
      </c>
      <c r="L3290" s="5">
        <v>0.35</v>
      </c>
      <c r="M3290" t="s">
        <v>131</v>
      </c>
      <c r="N3290" t="s">
        <v>363</v>
      </c>
    </row>
    <row r="3291" spans="1:14">
      <c r="A3291" t="s">
        <v>29</v>
      </c>
      <c r="B3291">
        <v>1185732</v>
      </c>
      <c r="C3291" s="2">
        <v>44429</v>
      </c>
      <c r="D3291" t="s">
        <v>137</v>
      </c>
      <c r="E3291" t="s">
        <v>260</v>
      </c>
      <c r="F3291" t="s">
        <v>186</v>
      </c>
      <c r="G3291" t="s">
        <v>148</v>
      </c>
      <c r="H3291" s="3">
        <v>0.4</v>
      </c>
      <c r="I3291">
        <v>1500</v>
      </c>
      <c r="J3291" s="4">
        <v>600</v>
      </c>
      <c r="K3291" s="4">
        <v>210</v>
      </c>
      <c r="L3291" s="5">
        <v>0.35</v>
      </c>
      <c r="M3291" t="s">
        <v>131</v>
      </c>
      <c r="N3291" t="s">
        <v>363</v>
      </c>
    </row>
    <row r="3292" spans="1:14">
      <c r="A3292" t="s">
        <v>29</v>
      </c>
      <c r="B3292">
        <v>1185732</v>
      </c>
      <c r="C3292" s="2">
        <v>44429</v>
      </c>
      <c r="D3292" t="s">
        <v>137</v>
      </c>
      <c r="E3292" t="s">
        <v>260</v>
      </c>
      <c r="F3292" t="s">
        <v>186</v>
      </c>
      <c r="G3292" t="s">
        <v>147</v>
      </c>
      <c r="H3292" s="3">
        <v>0.49999999999999994</v>
      </c>
      <c r="I3292">
        <v>1250</v>
      </c>
      <c r="J3292" s="4">
        <v>624.99999999999989</v>
      </c>
      <c r="K3292" s="4">
        <v>187.49999999999997</v>
      </c>
      <c r="L3292" s="5">
        <v>0.3</v>
      </c>
      <c r="M3292" t="s">
        <v>131</v>
      </c>
      <c r="N3292" t="s">
        <v>363</v>
      </c>
    </row>
    <row r="3293" spans="1:14">
      <c r="A3293" t="s">
        <v>29</v>
      </c>
      <c r="B3293">
        <v>1185732</v>
      </c>
      <c r="C3293" s="2">
        <v>44429</v>
      </c>
      <c r="D3293" t="s">
        <v>137</v>
      </c>
      <c r="E3293" t="s">
        <v>260</v>
      </c>
      <c r="F3293" t="s">
        <v>186</v>
      </c>
      <c r="G3293" t="s">
        <v>144</v>
      </c>
      <c r="H3293" s="3">
        <v>0.54999999999999993</v>
      </c>
      <c r="I3293">
        <v>3000</v>
      </c>
      <c r="J3293" s="4">
        <v>1649.9999999999998</v>
      </c>
      <c r="K3293" s="4">
        <v>494.99999999999989</v>
      </c>
      <c r="L3293" s="5">
        <v>0.3</v>
      </c>
      <c r="M3293" t="s">
        <v>131</v>
      </c>
      <c r="N3293" t="s">
        <v>363</v>
      </c>
    </row>
    <row r="3294" spans="1:14">
      <c r="A3294" t="s">
        <v>29</v>
      </c>
      <c r="B3294">
        <v>1185732</v>
      </c>
      <c r="C3294" s="2">
        <v>44459</v>
      </c>
      <c r="D3294" t="s">
        <v>137</v>
      </c>
      <c r="E3294" t="s">
        <v>260</v>
      </c>
      <c r="F3294" t="s">
        <v>186</v>
      </c>
      <c r="G3294" t="s">
        <v>27</v>
      </c>
      <c r="H3294" s="3">
        <v>0.49999999999999994</v>
      </c>
      <c r="I3294">
        <v>4250</v>
      </c>
      <c r="J3294" s="4">
        <v>2124.9999999999995</v>
      </c>
      <c r="K3294" s="4">
        <v>849.99999999999989</v>
      </c>
      <c r="L3294" s="5">
        <v>0.4</v>
      </c>
      <c r="M3294" t="s">
        <v>132</v>
      </c>
      <c r="N3294" t="s">
        <v>363</v>
      </c>
    </row>
    <row r="3295" spans="1:14">
      <c r="A3295" t="s">
        <v>29</v>
      </c>
      <c r="B3295">
        <v>1185732</v>
      </c>
      <c r="C3295" s="2">
        <v>44459</v>
      </c>
      <c r="D3295" t="s">
        <v>137</v>
      </c>
      <c r="E3295" t="s">
        <v>260</v>
      </c>
      <c r="F3295" t="s">
        <v>186</v>
      </c>
      <c r="G3295" t="s">
        <v>145</v>
      </c>
      <c r="H3295" s="3">
        <v>0.45</v>
      </c>
      <c r="I3295">
        <v>2250</v>
      </c>
      <c r="J3295" s="4">
        <v>1012.5</v>
      </c>
      <c r="K3295" s="4">
        <v>354.375</v>
      </c>
      <c r="L3295" s="5">
        <v>0.35</v>
      </c>
      <c r="M3295" t="s">
        <v>132</v>
      </c>
      <c r="N3295" t="s">
        <v>363</v>
      </c>
    </row>
    <row r="3296" spans="1:14">
      <c r="A3296" t="s">
        <v>29</v>
      </c>
      <c r="B3296">
        <v>1185732</v>
      </c>
      <c r="C3296" s="2">
        <v>44459</v>
      </c>
      <c r="D3296" t="s">
        <v>137</v>
      </c>
      <c r="E3296" t="s">
        <v>260</v>
      </c>
      <c r="F3296" t="s">
        <v>186</v>
      </c>
      <c r="G3296" t="s">
        <v>146</v>
      </c>
      <c r="H3296" s="3">
        <v>0.4</v>
      </c>
      <c r="I3296">
        <v>1250</v>
      </c>
      <c r="J3296" s="4">
        <v>500</v>
      </c>
      <c r="K3296" s="4">
        <v>175</v>
      </c>
      <c r="L3296" s="5">
        <v>0.35</v>
      </c>
      <c r="M3296" t="s">
        <v>132</v>
      </c>
      <c r="N3296" t="s">
        <v>363</v>
      </c>
    </row>
    <row r="3297" spans="1:14">
      <c r="A3297" t="s">
        <v>29</v>
      </c>
      <c r="B3297">
        <v>1185732</v>
      </c>
      <c r="C3297" s="2">
        <v>44459</v>
      </c>
      <c r="D3297" t="s">
        <v>137</v>
      </c>
      <c r="E3297" t="s">
        <v>260</v>
      </c>
      <c r="F3297" t="s">
        <v>186</v>
      </c>
      <c r="G3297" t="s">
        <v>148</v>
      </c>
      <c r="H3297" s="3">
        <v>0.4</v>
      </c>
      <c r="I3297">
        <v>1000</v>
      </c>
      <c r="J3297" s="4">
        <v>400</v>
      </c>
      <c r="K3297" s="4">
        <v>140</v>
      </c>
      <c r="L3297" s="5">
        <v>0.35</v>
      </c>
      <c r="M3297" t="s">
        <v>132</v>
      </c>
      <c r="N3297" t="s">
        <v>363</v>
      </c>
    </row>
    <row r="3298" spans="1:14">
      <c r="A3298" t="s">
        <v>29</v>
      </c>
      <c r="B3298">
        <v>1185732</v>
      </c>
      <c r="C3298" s="2">
        <v>44459</v>
      </c>
      <c r="D3298" t="s">
        <v>137</v>
      </c>
      <c r="E3298" t="s">
        <v>260</v>
      </c>
      <c r="F3298" t="s">
        <v>186</v>
      </c>
      <c r="G3298" t="s">
        <v>147</v>
      </c>
      <c r="H3298" s="3">
        <v>0.49999999999999994</v>
      </c>
      <c r="I3298">
        <v>1000</v>
      </c>
      <c r="J3298" s="4">
        <v>499.99999999999994</v>
      </c>
      <c r="K3298" s="4">
        <v>149.99999999999997</v>
      </c>
      <c r="L3298" s="5">
        <v>0.3</v>
      </c>
      <c r="M3298" t="s">
        <v>132</v>
      </c>
      <c r="N3298" t="s">
        <v>363</v>
      </c>
    </row>
    <row r="3299" spans="1:14">
      <c r="A3299" t="s">
        <v>29</v>
      </c>
      <c r="B3299">
        <v>1185732</v>
      </c>
      <c r="C3299" s="2">
        <v>44459</v>
      </c>
      <c r="D3299" t="s">
        <v>137</v>
      </c>
      <c r="E3299" t="s">
        <v>260</v>
      </c>
      <c r="F3299" t="s">
        <v>186</v>
      </c>
      <c r="G3299" t="s">
        <v>144</v>
      </c>
      <c r="H3299" s="3">
        <v>0.54999999999999993</v>
      </c>
      <c r="I3299">
        <v>2000</v>
      </c>
      <c r="J3299" s="4">
        <v>1099.9999999999998</v>
      </c>
      <c r="K3299" s="4">
        <v>329.99999999999994</v>
      </c>
      <c r="L3299" s="5">
        <v>0.3</v>
      </c>
      <c r="M3299" t="s">
        <v>132</v>
      </c>
      <c r="N3299" t="s">
        <v>363</v>
      </c>
    </row>
    <row r="3300" spans="1:14">
      <c r="A3300" t="s">
        <v>29</v>
      </c>
      <c r="B3300">
        <v>1185732</v>
      </c>
      <c r="C3300" s="2">
        <v>44491</v>
      </c>
      <c r="D3300" t="s">
        <v>137</v>
      </c>
      <c r="E3300" t="s">
        <v>260</v>
      </c>
      <c r="F3300" t="s">
        <v>186</v>
      </c>
      <c r="G3300" t="s">
        <v>27</v>
      </c>
      <c r="H3300" s="3">
        <v>0.54999999999999993</v>
      </c>
      <c r="I3300">
        <v>3750</v>
      </c>
      <c r="J3300" s="4">
        <v>2062.4999999999995</v>
      </c>
      <c r="K3300" s="4">
        <v>824.99999999999989</v>
      </c>
      <c r="L3300" s="5">
        <v>0.4</v>
      </c>
      <c r="M3300" t="s">
        <v>133</v>
      </c>
      <c r="N3300" t="s">
        <v>364</v>
      </c>
    </row>
    <row r="3301" spans="1:14">
      <c r="A3301" t="s">
        <v>29</v>
      </c>
      <c r="B3301">
        <v>1185732</v>
      </c>
      <c r="C3301" s="2">
        <v>44491</v>
      </c>
      <c r="D3301" t="s">
        <v>137</v>
      </c>
      <c r="E3301" t="s">
        <v>260</v>
      </c>
      <c r="F3301" t="s">
        <v>186</v>
      </c>
      <c r="G3301" t="s">
        <v>145</v>
      </c>
      <c r="H3301" s="3">
        <v>0.5</v>
      </c>
      <c r="I3301">
        <v>2000</v>
      </c>
      <c r="J3301" s="4">
        <v>1000</v>
      </c>
      <c r="K3301" s="4">
        <v>350</v>
      </c>
      <c r="L3301" s="5">
        <v>0.35</v>
      </c>
      <c r="M3301" t="s">
        <v>133</v>
      </c>
      <c r="N3301" t="s">
        <v>364</v>
      </c>
    </row>
    <row r="3302" spans="1:14">
      <c r="A3302" t="s">
        <v>29</v>
      </c>
      <c r="B3302">
        <v>1185732</v>
      </c>
      <c r="C3302" s="2">
        <v>44491</v>
      </c>
      <c r="D3302" t="s">
        <v>137</v>
      </c>
      <c r="E3302" t="s">
        <v>260</v>
      </c>
      <c r="F3302" t="s">
        <v>186</v>
      </c>
      <c r="G3302" t="s">
        <v>146</v>
      </c>
      <c r="H3302" s="3">
        <v>0.5</v>
      </c>
      <c r="I3302">
        <v>1000</v>
      </c>
      <c r="J3302" s="4">
        <v>500</v>
      </c>
      <c r="K3302" s="4">
        <v>175</v>
      </c>
      <c r="L3302" s="5">
        <v>0.35</v>
      </c>
      <c r="M3302" t="s">
        <v>133</v>
      </c>
      <c r="N3302" t="s">
        <v>364</v>
      </c>
    </row>
    <row r="3303" spans="1:14">
      <c r="A3303" t="s">
        <v>29</v>
      </c>
      <c r="B3303">
        <v>1185732</v>
      </c>
      <c r="C3303" s="2">
        <v>44491</v>
      </c>
      <c r="D3303" t="s">
        <v>137</v>
      </c>
      <c r="E3303" t="s">
        <v>260</v>
      </c>
      <c r="F3303" t="s">
        <v>186</v>
      </c>
      <c r="G3303" t="s">
        <v>148</v>
      </c>
      <c r="H3303" s="3">
        <v>0.5</v>
      </c>
      <c r="I3303">
        <v>750</v>
      </c>
      <c r="J3303" s="4">
        <v>375</v>
      </c>
      <c r="K3303" s="4">
        <v>131.25</v>
      </c>
      <c r="L3303" s="5">
        <v>0.35</v>
      </c>
      <c r="M3303" t="s">
        <v>133</v>
      </c>
      <c r="N3303" t="s">
        <v>364</v>
      </c>
    </row>
    <row r="3304" spans="1:14">
      <c r="A3304" t="s">
        <v>29</v>
      </c>
      <c r="B3304">
        <v>1185732</v>
      </c>
      <c r="C3304" s="2">
        <v>44491</v>
      </c>
      <c r="D3304" t="s">
        <v>137</v>
      </c>
      <c r="E3304" t="s">
        <v>260</v>
      </c>
      <c r="F3304" t="s">
        <v>186</v>
      </c>
      <c r="G3304" t="s">
        <v>147</v>
      </c>
      <c r="H3304" s="3">
        <v>0.6</v>
      </c>
      <c r="I3304">
        <v>750</v>
      </c>
      <c r="J3304" s="4">
        <v>450</v>
      </c>
      <c r="K3304" s="4">
        <v>135</v>
      </c>
      <c r="L3304" s="5">
        <v>0.3</v>
      </c>
      <c r="M3304" t="s">
        <v>133</v>
      </c>
      <c r="N3304" t="s">
        <v>364</v>
      </c>
    </row>
    <row r="3305" spans="1:14">
      <c r="A3305" t="s">
        <v>29</v>
      </c>
      <c r="B3305">
        <v>1185732</v>
      </c>
      <c r="C3305" s="2">
        <v>44491</v>
      </c>
      <c r="D3305" t="s">
        <v>137</v>
      </c>
      <c r="E3305" t="s">
        <v>260</v>
      </c>
      <c r="F3305" t="s">
        <v>186</v>
      </c>
      <c r="G3305" t="s">
        <v>144</v>
      </c>
      <c r="H3305" s="3">
        <v>0.64999999999999991</v>
      </c>
      <c r="I3305">
        <v>2000</v>
      </c>
      <c r="J3305" s="4">
        <v>1299.9999999999998</v>
      </c>
      <c r="K3305" s="4">
        <v>389.99999999999994</v>
      </c>
      <c r="L3305" s="5">
        <v>0.3</v>
      </c>
      <c r="M3305" t="s">
        <v>133</v>
      </c>
      <c r="N3305" t="s">
        <v>364</v>
      </c>
    </row>
    <row r="3306" spans="1:14">
      <c r="A3306" t="s">
        <v>29</v>
      </c>
      <c r="B3306">
        <v>1185732</v>
      </c>
      <c r="C3306" s="2">
        <v>44521</v>
      </c>
      <c r="D3306" t="s">
        <v>137</v>
      </c>
      <c r="E3306" t="s">
        <v>260</v>
      </c>
      <c r="F3306" t="s">
        <v>186</v>
      </c>
      <c r="G3306" t="s">
        <v>27</v>
      </c>
      <c r="H3306" s="3">
        <v>0.6</v>
      </c>
      <c r="I3306">
        <v>3500</v>
      </c>
      <c r="J3306" s="4">
        <v>2100</v>
      </c>
      <c r="K3306" s="4">
        <v>840</v>
      </c>
      <c r="L3306" s="5">
        <v>0.4</v>
      </c>
      <c r="M3306" t="s">
        <v>134</v>
      </c>
      <c r="N3306" t="s">
        <v>364</v>
      </c>
    </row>
    <row r="3307" spans="1:14">
      <c r="A3307" t="s">
        <v>29</v>
      </c>
      <c r="B3307">
        <v>1185732</v>
      </c>
      <c r="C3307" s="2">
        <v>44521</v>
      </c>
      <c r="D3307" t="s">
        <v>137</v>
      </c>
      <c r="E3307" t="s">
        <v>260</v>
      </c>
      <c r="F3307" t="s">
        <v>186</v>
      </c>
      <c r="G3307" t="s">
        <v>145</v>
      </c>
      <c r="H3307" s="3">
        <v>0.5</v>
      </c>
      <c r="I3307">
        <v>1750</v>
      </c>
      <c r="J3307" s="4">
        <v>875</v>
      </c>
      <c r="K3307" s="4">
        <v>306.25</v>
      </c>
      <c r="L3307" s="5">
        <v>0.35</v>
      </c>
      <c r="M3307" t="s">
        <v>134</v>
      </c>
      <c r="N3307" t="s">
        <v>364</v>
      </c>
    </row>
    <row r="3308" spans="1:14">
      <c r="A3308" t="s">
        <v>29</v>
      </c>
      <c r="B3308">
        <v>1185732</v>
      </c>
      <c r="C3308" s="2">
        <v>44521</v>
      </c>
      <c r="D3308" t="s">
        <v>137</v>
      </c>
      <c r="E3308" t="s">
        <v>260</v>
      </c>
      <c r="F3308" t="s">
        <v>186</v>
      </c>
      <c r="G3308" t="s">
        <v>146</v>
      </c>
      <c r="H3308" s="3">
        <v>0.5</v>
      </c>
      <c r="I3308">
        <v>1700</v>
      </c>
      <c r="J3308" s="4">
        <v>850</v>
      </c>
      <c r="K3308" s="4">
        <v>297.5</v>
      </c>
      <c r="L3308" s="5">
        <v>0.35</v>
      </c>
      <c r="M3308" t="s">
        <v>134</v>
      </c>
      <c r="N3308" t="s">
        <v>364</v>
      </c>
    </row>
    <row r="3309" spans="1:14">
      <c r="A3309" t="s">
        <v>29</v>
      </c>
      <c r="B3309">
        <v>1185732</v>
      </c>
      <c r="C3309" s="2">
        <v>44521</v>
      </c>
      <c r="D3309" t="s">
        <v>137</v>
      </c>
      <c r="E3309" t="s">
        <v>260</v>
      </c>
      <c r="F3309" t="s">
        <v>186</v>
      </c>
      <c r="G3309" t="s">
        <v>148</v>
      </c>
      <c r="H3309" s="3">
        <v>0.5</v>
      </c>
      <c r="I3309">
        <v>1500</v>
      </c>
      <c r="J3309" s="4">
        <v>750</v>
      </c>
      <c r="K3309" s="4">
        <v>262.5</v>
      </c>
      <c r="L3309" s="5">
        <v>0.35</v>
      </c>
      <c r="M3309" t="s">
        <v>134</v>
      </c>
      <c r="N3309" t="s">
        <v>364</v>
      </c>
    </row>
    <row r="3310" spans="1:14">
      <c r="A3310" t="s">
        <v>29</v>
      </c>
      <c r="B3310">
        <v>1185732</v>
      </c>
      <c r="C3310" s="2">
        <v>44521</v>
      </c>
      <c r="D3310" t="s">
        <v>137</v>
      </c>
      <c r="E3310" t="s">
        <v>260</v>
      </c>
      <c r="F3310" t="s">
        <v>186</v>
      </c>
      <c r="G3310" t="s">
        <v>147</v>
      </c>
      <c r="H3310" s="3">
        <v>0.6</v>
      </c>
      <c r="I3310">
        <v>1250</v>
      </c>
      <c r="J3310" s="4">
        <v>750</v>
      </c>
      <c r="K3310" s="4">
        <v>225</v>
      </c>
      <c r="L3310" s="5">
        <v>0.3</v>
      </c>
      <c r="M3310" t="s">
        <v>134</v>
      </c>
      <c r="N3310" t="s">
        <v>364</v>
      </c>
    </row>
    <row r="3311" spans="1:14">
      <c r="A3311" t="s">
        <v>29</v>
      </c>
      <c r="B3311">
        <v>1185732</v>
      </c>
      <c r="C3311" s="2">
        <v>44521</v>
      </c>
      <c r="D3311" t="s">
        <v>137</v>
      </c>
      <c r="E3311" t="s">
        <v>260</v>
      </c>
      <c r="F3311" t="s">
        <v>186</v>
      </c>
      <c r="G3311" t="s">
        <v>144</v>
      </c>
      <c r="H3311" s="3">
        <v>0.64999999999999991</v>
      </c>
      <c r="I3311">
        <v>2250</v>
      </c>
      <c r="J3311" s="4">
        <v>1462.4999999999998</v>
      </c>
      <c r="K3311" s="4">
        <v>438.74999999999994</v>
      </c>
      <c r="L3311" s="5">
        <v>0.3</v>
      </c>
      <c r="M3311" t="s">
        <v>134</v>
      </c>
      <c r="N3311" t="s">
        <v>364</v>
      </c>
    </row>
    <row r="3312" spans="1:14">
      <c r="A3312" t="s">
        <v>29</v>
      </c>
      <c r="B3312">
        <v>1185732</v>
      </c>
      <c r="C3312" s="2">
        <v>44550</v>
      </c>
      <c r="D3312" t="s">
        <v>137</v>
      </c>
      <c r="E3312" t="s">
        <v>260</v>
      </c>
      <c r="F3312" t="s">
        <v>186</v>
      </c>
      <c r="G3312" t="s">
        <v>27</v>
      </c>
      <c r="H3312" s="3">
        <v>0.6</v>
      </c>
      <c r="I3312">
        <v>4500</v>
      </c>
      <c r="J3312" s="4">
        <v>2700</v>
      </c>
      <c r="K3312" s="4">
        <v>1080</v>
      </c>
      <c r="L3312" s="5">
        <v>0.4</v>
      </c>
      <c r="M3312" t="s">
        <v>23</v>
      </c>
      <c r="N3312" t="s">
        <v>364</v>
      </c>
    </row>
    <row r="3313" spans="1:14">
      <c r="A3313" t="s">
        <v>29</v>
      </c>
      <c r="B3313">
        <v>1185732</v>
      </c>
      <c r="C3313" s="2">
        <v>44550</v>
      </c>
      <c r="D3313" t="s">
        <v>137</v>
      </c>
      <c r="E3313" t="s">
        <v>260</v>
      </c>
      <c r="F3313" t="s">
        <v>186</v>
      </c>
      <c r="G3313" t="s">
        <v>145</v>
      </c>
      <c r="H3313" s="3">
        <v>0.5</v>
      </c>
      <c r="I3313">
        <v>2500</v>
      </c>
      <c r="J3313" s="4">
        <v>1250</v>
      </c>
      <c r="K3313" s="4">
        <v>437.5</v>
      </c>
      <c r="L3313" s="5">
        <v>0.35</v>
      </c>
      <c r="M3313" t="s">
        <v>23</v>
      </c>
      <c r="N3313" t="s">
        <v>364</v>
      </c>
    </row>
    <row r="3314" spans="1:14">
      <c r="A3314" t="s">
        <v>29</v>
      </c>
      <c r="B3314">
        <v>1185732</v>
      </c>
      <c r="C3314" s="2">
        <v>44550</v>
      </c>
      <c r="D3314" t="s">
        <v>137</v>
      </c>
      <c r="E3314" t="s">
        <v>260</v>
      </c>
      <c r="F3314" t="s">
        <v>186</v>
      </c>
      <c r="G3314" t="s">
        <v>146</v>
      </c>
      <c r="H3314" s="3">
        <v>0.5</v>
      </c>
      <c r="I3314">
        <v>2250</v>
      </c>
      <c r="J3314" s="4">
        <v>1125</v>
      </c>
      <c r="K3314" s="4">
        <v>393.75</v>
      </c>
      <c r="L3314" s="5">
        <v>0.35</v>
      </c>
      <c r="M3314" t="s">
        <v>23</v>
      </c>
      <c r="N3314" t="s">
        <v>364</v>
      </c>
    </row>
    <row r="3315" spans="1:14">
      <c r="A3315" t="s">
        <v>29</v>
      </c>
      <c r="B3315">
        <v>1185732</v>
      </c>
      <c r="C3315" s="2">
        <v>44550</v>
      </c>
      <c r="D3315" t="s">
        <v>137</v>
      </c>
      <c r="E3315" t="s">
        <v>260</v>
      </c>
      <c r="F3315" t="s">
        <v>186</v>
      </c>
      <c r="G3315" t="s">
        <v>148</v>
      </c>
      <c r="H3315" s="3">
        <v>0.5</v>
      </c>
      <c r="I3315">
        <v>1750</v>
      </c>
      <c r="J3315" s="4">
        <v>875</v>
      </c>
      <c r="K3315" s="4">
        <v>306.25</v>
      </c>
      <c r="L3315" s="5">
        <v>0.35</v>
      </c>
      <c r="M3315" t="s">
        <v>23</v>
      </c>
      <c r="N3315" t="s">
        <v>364</v>
      </c>
    </row>
    <row r="3316" spans="1:14">
      <c r="A3316" t="s">
        <v>29</v>
      </c>
      <c r="B3316">
        <v>1185732</v>
      </c>
      <c r="C3316" s="2">
        <v>44550</v>
      </c>
      <c r="D3316" t="s">
        <v>137</v>
      </c>
      <c r="E3316" t="s">
        <v>260</v>
      </c>
      <c r="F3316" t="s">
        <v>186</v>
      </c>
      <c r="G3316" t="s">
        <v>147</v>
      </c>
      <c r="H3316" s="3">
        <v>0.6</v>
      </c>
      <c r="I3316">
        <v>1750</v>
      </c>
      <c r="J3316" s="4">
        <v>1050</v>
      </c>
      <c r="K3316" s="4">
        <v>315</v>
      </c>
      <c r="L3316" s="5">
        <v>0.3</v>
      </c>
      <c r="M3316" t="s">
        <v>23</v>
      </c>
      <c r="N3316" t="s">
        <v>364</v>
      </c>
    </row>
    <row r="3317" spans="1:14">
      <c r="A3317" t="s">
        <v>29</v>
      </c>
      <c r="B3317">
        <v>1185732</v>
      </c>
      <c r="C3317" s="2">
        <v>44550</v>
      </c>
      <c r="D3317" t="s">
        <v>137</v>
      </c>
      <c r="E3317" t="s">
        <v>260</v>
      </c>
      <c r="F3317" t="s">
        <v>186</v>
      </c>
      <c r="G3317" t="s">
        <v>144</v>
      </c>
      <c r="H3317" s="3">
        <v>0.64999999999999991</v>
      </c>
      <c r="I3317">
        <v>2750</v>
      </c>
      <c r="J3317" s="4">
        <v>1787.4999999999998</v>
      </c>
      <c r="K3317" s="4">
        <v>536.24999999999989</v>
      </c>
      <c r="L3317" s="5">
        <v>0.3</v>
      </c>
      <c r="M3317" t="s">
        <v>23</v>
      </c>
      <c r="N3317" t="s">
        <v>364</v>
      </c>
    </row>
    <row r="3318" spans="1:14">
      <c r="A3318" t="s">
        <v>29</v>
      </c>
      <c r="B3318">
        <v>1185732</v>
      </c>
      <c r="C3318" s="2">
        <v>44213</v>
      </c>
      <c r="D3318" t="s">
        <v>137</v>
      </c>
      <c r="E3318" t="s">
        <v>221</v>
      </c>
      <c r="F3318" t="s">
        <v>230</v>
      </c>
      <c r="G3318" t="s">
        <v>27</v>
      </c>
      <c r="H3318" s="3">
        <v>0.4</v>
      </c>
      <c r="I3318">
        <v>5250</v>
      </c>
      <c r="J3318" s="4">
        <v>2100</v>
      </c>
      <c r="K3318" s="4">
        <v>735</v>
      </c>
      <c r="L3318" s="5">
        <v>0.35</v>
      </c>
      <c r="M3318" t="s">
        <v>125</v>
      </c>
      <c r="N3318" t="s">
        <v>361</v>
      </c>
    </row>
    <row r="3319" spans="1:14">
      <c r="A3319" t="s">
        <v>29</v>
      </c>
      <c r="B3319">
        <v>1185732</v>
      </c>
      <c r="C3319" s="2">
        <v>44213</v>
      </c>
      <c r="D3319" t="s">
        <v>137</v>
      </c>
      <c r="E3319" t="s">
        <v>221</v>
      </c>
      <c r="F3319" t="s">
        <v>230</v>
      </c>
      <c r="G3319" t="s">
        <v>145</v>
      </c>
      <c r="H3319" s="3">
        <v>0.4</v>
      </c>
      <c r="I3319">
        <v>3250</v>
      </c>
      <c r="J3319" s="4">
        <v>1300</v>
      </c>
      <c r="K3319" s="4">
        <v>454.99999999999994</v>
      </c>
      <c r="L3319" s="5">
        <v>0.35</v>
      </c>
      <c r="M3319" t="s">
        <v>125</v>
      </c>
      <c r="N3319" t="s">
        <v>361</v>
      </c>
    </row>
    <row r="3320" spans="1:14">
      <c r="A3320" t="s">
        <v>29</v>
      </c>
      <c r="B3320">
        <v>1185732</v>
      </c>
      <c r="C3320" s="2">
        <v>44213</v>
      </c>
      <c r="D3320" t="s">
        <v>137</v>
      </c>
      <c r="E3320" t="s">
        <v>221</v>
      </c>
      <c r="F3320" t="s">
        <v>230</v>
      </c>
      <c r="G3320" t="s">
        <v>146</v>
      </c>
      <c r="H3320" s="3">
        <v>0.30000000000000004</v>
      </c>
      <c r="I3320">
        <v>3250</v>
      </c>
      <c r="J3320" s="4">
        <v>975.00000000000011</v>
      </c>
      <c r="K3320" s="4">
        <v>390.00000000000006</v>
      </c>
      <c r="L3320" s="5">
        <v>0.4</v>
      </c>
      <c r="M3320" t="s">
        <v>125</v>
      </c>
      <c r="N3320" t="s">
        <v>361</v>
      </c>
    </row>
    <row r="3321" spans="1:14">
      <c r="A3321" t="s">
        <v>29</v>
      </c>
      <c r="B3321">
        <v>1185732</v>
      </c>
      <c r="C3321" s="2">
        <v>44213</v>
      </c>
      <c r="D3321" t="s">
        <v>137</v>
      </c>
      <c r="E3321" t="s">
        <v>221</v>
      </c>
      <c r="F3321" t="s">
        <v>230</v>
      </c>
      <c r="G3321" t="s">
        <v>148</v>
      </c>
      <c r="H3321" s="3">
        <v>0.35</v>
      </c>
      <c r="I3321">
        <v>1750</v>
      </c>
      <c r="J3321" s="4">
        <v>612.5</v>
      </c>
      <c r="K3321" s="4">
        <v>245</v>
      </c>
      <c r="L3321" s="5">
        <v>0.4</v>
      </c>
      <c r="M3321" t="s">
        <v>125</v>
      </c>
      <c r="N3321" t="s">
        <v>361</v>
      </c>
    </row>
    <row r="3322" spans="1:14">
      <c r="A3322" t="s">
        <v>29</v>
      </c>
      <c r="B3322">
        <v>1185732</v>
      </c>
      <c r="C3322" s="2">
        <v>44213</v>
      </c>
      <c r="D3322" t="s">
        <v>137</v>
      </c>
      <c r="E3322" t="s">
        <v>221</v>
      </c>
      <c r="F3322" t="s">
        <v>230</v>
      </c>
      <c r="G3322" t="s">
        <v>147</v>
      </c>
      <c r="H3322" s="3">
        <v>0.5</v>
      </c>
      <c r="I3322">
        <v>2250</v>
      </c>
      <c r="J3322" s="4">
        <v>1125</v>
      </c>
      <c r="K3322" s="4">
        <v>337.5</v>
      </c>
      <c r="L3322" s="5">
        <v>0.3</v>
      </c>
      <c r="M3322" t="s">
        <v>125</v>
      </c>
      <c r="N3322" t="s">
        <v>361</v>
      </c>
    </row>
    <row r="3323" spans="1:14">
      <c r="A3323" t="s">
        <v>29</v>
      </c>
      <c r="B3323">
        <v>1185732</v>
      </c>
      <c r="C3323" s="2">
        <v>44213</v>
      </c>
      <c r="D3323" t="s">
        <v>137</v>
      </c>
      <c r="E3323" t="s">
        <v>221</v>
      </c>
      <c r="F3323" t="s">
        <v>230</v>
      </c>
      <c r="G3323" t="s">
        <v>144</v>
      </c>
      <c r="H3323" s="3">
        <v>0.4</v>
      </c>
      <c r="I3323">
        <v>3250</v>
      </c>
      <c r="J3323" s="4">
        <v>1300</v>
      </c>
      <c r="K3323" s="4">
        <v>520</v>
      </c>
      <c r="L3323" s="5">
        <v>0.4</v>
      </c>
      <c r="M3323" t="s">
        <v>125</v>
      </c>
      <c r="N3323" t="s">
        <v>361</v>
      </c>
    </row>
    <row r="3324" spans="1:14">
      <c r="A3324" t="s">
        <v>29</v>
      </c>
      <c r="B3324">
        <v>1185732</v>
      </c>
      <c r="C3324" s="2">
        <v>44242</v>
      </c>
      <c r="D3324" t="s">
        <v>137</v>
      </c>
      <c r="E3324" t="s">
        <v>221</v>
      </c>
      <c r="F3324" t="s">
        <v>230</v>
      </c>
      <c r="G3324" t="s">
        <v>27</v>
      </c>
      <c r="H3324" s="3">
        <v>0.4</v>
      </c>
      <c r="I3324">
        <v>5750</v>
      </c>
      <c r="J3324" s="4">
        <v>2300</v>
      </c>
      <c r="K3324" s="4">
        <v>805</v>
      </c>
      <c r="L3324" s="5">
        <v>0.35</v>
      </c>
      <c r="M3324" t="s">
        <v>126</v>
      </c>
      <c r="N3324" t="s">
        <v>361</v>
      </c>
    </row>
    <row r="3325" spans="1:14">
      <c r="A3325" t="s">
        <v>29</v>
      </c>
      <c r="B3325">
        <v>1185732</v>
      </c>
      <c r="C3325" s="2">
        <v>44242</v>
      </c>
      <c r="D3325" t="s">
        <v>137</v>
      </c>
      <c r="E3325" t="s">
        <v>221</v>
      </c>
      <c r="F3325" t="s">
        <v>230</v>
      </c>
      <c r="G3325" t="s">
        <v>145</v>
      </c>
      <c r="H3325" s="3">
        <v>0.4</v>
      </c>
      <c r="I3325">
        <v>2250</v>
      </c>
      <c r="J3325" s="4">
        <v>900</v>
      </c>
      <c r="K3325" s="4">
        <v>315</v>
      </c>
      <c r="L3325" s="5">
        <v>0.35</v>
      </c>
      <c r="M3325" t="s">
        <v>126</v>
      </c>
      <c r="N3325" t="s">
        <v>361</v>
      </c>
    </row>
    <row r="3326" spans="1:14">
      <c r="A3326" t="s">
        <v>29</v>
      </c>
      <c r="B3326">
        <v>1185732</v>
      </c>
      <c r="C3326" s="2">
        <v>44242</v>
      </c>
      <c r="D3326" t="s">
        <v>137</v>
      </c>
      <c r="E3326" t="s">
        <v>221</v>
      </c>
      <c r="F3326" t="s">
        <v>230</v>
      </c>
      <c r="G3326" t="s">
        <v>146</v>
      </c>
      <c r="H3326" s="3">
        <v>0.30000000000000004</v>
      </c>
      <c r="I3326">
        <v>2750</v>
      </c>
      <c r="J3326" s="4">
        <v>825.00000000000011</v>
      </c>
      <c r="K3326" s="4">
        <v>330.00000000000006</v>
      </c>
      <c r="L3326" s="5">
        <v>0.4</v>
      </c>
      <c r="M3326" t="s">
        <v>126</v>
      </c>
      <c r="N3326" t="s">
        <v>361</v>
      </c>
    </row>
    <row r="3327" spans="1:14">
      <c r="A3327" t="s">
        <v>29</v>
      </c>
      <c r="B3327">
        <v>1185732</v>
      </c>
      <c r="C3327" s="2">
        <v>44242</v>
      </c>
      <c r="D3327" t="s">
        <v>137</v>
      </c>
      <c r="E3327" t="s">
        <v>221</v>
      </c>
      <c r="F3327" t="s">
        <v>230</v>
      </c>
      <c r="G3327" t="s">
        <v>148</v>
      </c>
      <c r="H3327" s="3">
        <v>0.35</v>
      </c>
      <c r="I3327">
        <v>1500</v>
      </c>
      <c r="J3327" s="4">
        <v>525</v>
      </c>
      <c r="K3327" s="4">
        <v>210</v>
      </c>
      <c r="L3327" s="5">
        <v>0.4</v>
      </c>
      <c r="M3327" t="s">
        <v>126</v>
      </c>
      <c r="N3327" t="s">
        <v>361</v>
      </c>
    </row>
    <row r="3328" spans="1:14">
      <c r="A3328" t="s">
        <v>29</v>
      </c>
      <c r="B3328">
        <v>1185732</v>
      </c>
      <c r="C3328" s="2">
        <v>44242</v>
      </c>
      <c r="D3328" t="s">
        <v>137</v>
      </c>
      <c r="E3328" t="s">
        <v>221</v>
      </c>
      <c r="F3328" t="s">
        <v>230</v>
      </c>
      <c r="G3328" t="s">
        <v>147</v>
      </c>
      <c r="H3328" s="3">
        <v>0.5</v>
      </c>
      <c r="I3328">
        <v>2250</v>
      </c>
      <c r="J3328" s="4">
        <v>1125</v>
      </c>
      <c r="K3328" s="4">
        <v>337.5</v>
      </c>
      <c r="L3328" s="5">
        <v>0.3</v>
      </c>
      <c r="M3328" t="s">
        <v>126</v>
      </c>
      <c r="N3328" t="s">
        <v>361</v>
      </c>
    </row>
    <row r="3329" spans="1:14">
      <c r="A3329" t="s">
        <v>29</v>
      </c>
      <c r="B3329">
        <v>1185732</v>
      </c>
      <c r="C3329" s="2">
        <v>44242</v>
      </c>
      <c r="D3329" t="s">
        <v>137</v>
      </c>
      <c r="E3329" t="s">
        <v>221</v>
      </c>
      <c r="F3329" t="s">
        <v>230</v>
      </c>
      <c r="G3329" t="s">
        <v>144</v>
      </c>
      <c r="H3329" s="3">
        <v>0.4</v>
      </c>
      <c r="I3329">
        <v>3250</v>
      </c>
      <c r="J3329" s="4">
        <v>1300</v>
      </c>
      <c r="K3329" s="4">
        <v>520</v>
      </c>
      <c r="L3329" s="5">
        <v>0.4</v>
      </c>
      <c r="M3329" t="s">
        <v>126</v>
      </c>
      <c r="N3329" t="s">
        <v>361</v>
      </c>
    </row>
    <row r="3330" spans="1:14">
      <c r="A3330" t="s">
        <v>29</v>
      </c>
      <c r="B3330">
        <v>1185732</v>
      </c>
      <c r="C3330" s="2">
        <v>44268</v>
      </c>
      <c r="D3330" t="s">
        <v>137</v>
      </c>
      <c r="E3330" t="s">
        <v>221</v>
      </c>
      <c r="F3330" t="s">
        <v>230</v>
      </c>
      <c r="G3330" t="s">
        <v>27</v>
      </c>
      <c r="H3330" s="3">
        <v>0.4</v>
      </c>
      <c r="I3330">
        <v>5450</v>
      </c>
      <c r="J3330" s="4">
        <v>2180</v>
      </c>
      <c r="K3330" s="4">
        <v>763</v>
      </c>
      <c r="L3330" s="5">
        <v>0.35</v>
      </c>
      <c r="M3330" t="s">
        <v>24</v>
      </c>
      <c r="N3330" t="s">
        <v>361</v>
      </c>
    </row>
    <row r="3331" spans="1:14">
      <c r="A3331" t="s">
        <v>29</v>
      </c>
      <c r="B3331">
        <v>1185732</v>
      </c>
      <c r="C3331" s="2">
        <v>44268</v>
      </c>
      <c r="D3331" t="s">
        <v>137</v>
      </c>
      <c r="E3331" t="s">
        <v>221</v>
      </c>
      <c r="F3331" t="s">
        <v>230</v>
      </c>
      <c r="G3331" t="s">
        <v>145</v>
      </c>
      <c r="H3331" s="3">
        <v>0.4</v>
      </c>
      <c r="I3331">
        <v>2500</v>
      </c>
      <c r="J3331" s="4">
        <v>1000</v>
      </c>
      <c r="K3331" s="4">
        <v>350</v>
      </c>
      <c r="L3331" s="5">
        <v>0.35</v>
      </c>
      <c r="M3331" t="s">
        <v>24</v>
      </c>
      <c r="N3331" t="s">
        <v>361</v>
      </c>
    </row>
    <row r="3332" spans="1:14">
      <c r="A3332" t="s">
        <v>29</v>
      </c>
      <c r="B3332">
        <v>1185732</v>
      </c>
      <c r="C3332" s="2">
        <v>44268</v>
      </c>
      <c r="D3332" t="s">
        <v>137</v>
      </c>
      <c r="E3332" t="s">
        <v>221</v>
      </c>
      <c r="F3332" t="s">
        <v>230</v>
      </c>
      <c r="G3332" t="s">
        <v>146</v>
      </c>
      <c r="H3332" s="3">
        <v>0.30000000000000004</v>
      </c>
      <c r="I3332">
        <v>2750</v>
      </c>
      <c r="J3332" s="4">
        <v>825.00000000000011</v>
      </c>
      <c r="K3332" s="4">
        <v>330.00000000000006</v>
      </c>
      <c r="L3332" s="5">
        <v>0.4</v>
      </c>
      <c r="M3332" t="s">
        <v>24</v>
      </c>
      <c r="N3332" t="s">
        <v>361</v>
      </c>
    </row>
    <row r="3333" spans="1:14">
      <c r="A3333" t="s">
        <v>29</v>
      </c>
      <c r="B3333">
        <v>1185732</v>
      </c>
      <c r="C3333" s="2">
        <v>44268</v>
      </c>
      <c r="D3333" t="s">
        <v>137</v>
      </c>
      <c r="E3333" t="s">
        <v>221</v>
      </c>
      <c r="F3333" t="s">
        <v>230</v>
      </c>
      <c r="G3333" t="s">
        <v>148</v>
      </c>
      <c r="H3333" s="3">
        <v>0.35</v>
      </c>
      <c r="I3333">
        <v>1250</v>
      </c>
      <c r="J3333" s="4">
        <v>437.5</v>
      </c>
      <c r="K3333" s="4">
        <v>175</v>
      </c>
      <c r="L3333" s="5">
        <v>0.4</v>
      </c>
      <c r="M3333" t="s">
        <v>24</v>
      </c>
      <c r="N3333" t="s">
        <v>361</v>
      </c>
    </row>
    <row r="3334" spans="1:14">
      <c r="A3334" t="s">
        <v>29</v>
      </c>
      <c r="B3334">
        <v>1185732</v>
      </c>
      <c r="C3334" s="2">
        <v>44268</v>
      </c>
      <c r="D3334" t="s">
        <v>137</v>
      </c>
      <c r="E3334" t="s">
        <v>221</v>
      </c>
      <c r="F3334" t="s">
        <v>230</v>
      </c>
      <c r="G3334" t="s">
        <v>147</v>
      </c>
      <c r="H3334" s="3">
        <v>0.5</v>
      </c>
      <c r="I3334">
        <v>1750</v>
      </c>
      <c r="J3334" s="4">
        <v>875</v>
      </c>
      <c r="K3334" s="4">
        <v>262.5</v>
      </c>
      <c r="L3334" s="5">
        <v>0.3</v>
      </c>
      <c r="M3334" t="s">
        <v>24</v>
      </c>
      <c r="N3334" t="s">
        <v>361</v>
      </c>
    </row>
    <row r="3335" spans="1:14">
      <c r="A3335" t="s">
        <v>29</v>
      </c>
      <c r="B3335">
        <v>1185732</v>
      </c>
      <c r="C3335" s="2">
        <v>44268</v>
      </c>
      <c r="D3335" t="s">
        <v>137</v>
      </c>
      <c r="E3335" t="s">
        <v>221</v>
      </c>
      <c r="F3335" t="s">
        <v>230</v>
      </c>
      <c r="G3335" t="s">
        <v>144</v>
      </c>
      <c r="H3335" s="3">
        <v>0.4</v>
      </c>
      <c r="I3335">
        <v>2750</v>
      </c>
      <c r="J3335" s="4">
        <v>1100</v>
      </c>
      <c r="K3335" s="4">
        <v>440</v>
      </c>
      <c r="L3335" s="5">
        <v>0.4</v>
      </c>
      <c r="M3335" t="s">
        <v>24</v>
      </c>
      <c r="N3335" t="s">
        <v>361</v>
      </c>
    </row>
    <row r="3336" spans="1:14">
      <c r="A3336" t="s">
        <v>29</v>
      </c>
      <c r="B3336">
        <v>1185732</v>
      </c>
      <c r="C3336" s="2">
        <v>44300</v>
      </c>
      <c r="D3336" t="s">
        <v>137</v>
      </c>
      <c r="E3336" t="s">
        <v>221</v>
      </c>
      <c r="F3336" t="s">
        <v>230</v>
      </c>
      <c r="G3336" t="s">
        <v>27</v>
      </c>
      <c r="H3336" s="3">
        <v>0.4</v>
      </c>
      <c r="I3336">
        <v>5250</v>
      </c>
      <c r="J3336" s="4">
        <v>2100</v>
      </c>
      <c r="K3336" s="4">
        <v>735</v>
      </c>
      <c r="L3336" s="5">
        <v>0.35</v>
      </c>
      <c r="M3336" t="s">
        <v>127</v>
      </c>
      <c r="N3336" t="s">
        <v>362</v>
      </c>
    </row>
    <row r="3337" spans="1:14">
      <c r="A3337" t="s">
        <v>29</v>
      </c>
      <c r="B3337">
        <v>1185732</v>
      </c>
      <c r="C3337" s="2">
        <v>44300</v>
      </c>
      <c r="D3337" t="s">
        <v>137</v>
      </c>
      <c r="E3337" t="s">
        <v>221</v>
      </c>
      <c r="F3337" t="s">
        <v>230</v>
      </c>
      <c r="G3337" t="s">
        <v>145</v>
      </c>
      <c r="H3337" s="3">
        <v>0.4</v>
      </c>
      <c r="I3337">
        <v>2250</v>
      </c>
      <c r="J3337" s="4">
        <v>900</v>
      </c>
      <c r="K3337" s="4">
        <v>315</v>
      </c>
      <c r="L3337" s="5">
        <v>0.35</v>
      </c>
      <c r="M3337" t="s">
        <v>127</v>
      </c>
      <c r="N3337" t="s">
        <v>362</v>
      </c>
    </row>
    <row r="3338" spans="1:14">
      <c r="A3338" t="s">
        <v>29</v>
      </c>
      <c r="B3338">
        <v>1185732</v>
      </c>
      <c r="C3338" s="2">
        <v>44300</v>
      </c>
      <c r="D3338" t="s">
        <v>137</v>
      </c>
      <c r="E3338" t="s">
        <v>221</v>
      </c>
      <c r="F3338" t="s">
        <v>230</v>
      </c>
      <c r="G3338" t="s">
        <v>146</v>
      </c>
      <c r="H3338" s="3">
        <v>0.30000000000000004</v>
      </c>
      <c r="I3338">
        <v>2250</v>
      </c>
      <c r="J3338" s="4">
        <v>675.00000000000011</v>
      </c>
      <c r="K3338" s="4">
        <v>270.00000000000006</v>
      </c>
      <c r="L3338" s="5">
        <v>0.4</v>
      </c>
      <c r="M3338" t="s">
        <v>127</v>
      </c>
      <c r="N3338" t="s">
        <v>362</v>
      </c>
    </row>
    <row r="3339" spans="1:14">
      <c r="A3339" t="s">
        <v>29</v>
      </c>
      <c r="B3339">
        <v>1185732</v>
      </c>
      <c r="C3339" s="2">
        <v>44300</v>
      </c>
      <c r="D3339" t="s">
        <v>137</v>
      </c>
      <c r="E3339" t="s">
        <v>221</v>
      </c>
      <c r="F3339" t="s">
        <v>230</v>
      </c>
      <c r="G3339" t="s">
        <v>148</v>
      </c>
      <c r="H3339" s="3">
        <v>0.35</v>
      </c>
      <c r="I3339">
        <v>1500</v>
      </c>
      <c r="J3339" s="4">
        <v>525</v>
      </c>
      <c r="K3339" s="4">
        <v>210</v>
      </c>
      <c r="L3339" s="5">
        <v>0.4</v>
      </c>
      <c r="M3339" t="s">
        <v>127</v>
      </c>
      <c r="N3339" t="s">
        <v>362</v>
      </c>
    </row>
    <row r="3340" spans="1:14">
      <c r="A3340" t="s">
        <v>29</v>
      </c>
      <c r="B3340">
        <v>1185732</v>
      </c>
      <c r="C3340" s="2">
        <v>44300</v>
      </c>
      <c r="D3340" t="s">
        <v>137</v>
      </c>
      <c r="E3340" t="s">
        <v>221</v>
      </c>
      <c r="F3340" t="s">
        <v>230</v>
      </c>
      <c r="G3340" t="s">
        <v>147</v>
      </c>
      <c r="H3340" s="3">
        <v>0.5</v>
      </c>
      <c r="I3340">
        <v>1500</v>
      </c>
      <c r="J3340" s="4">
        <v>750</v>
      </c>
      <c r="K3340" s="4">
        <v>225</v>
      </c>
      <c r="L3340" s="5">
        <v>0.3</v>
      </c>
      <c r="M3340" t="s">
        <v>127</v>
      </c>
      <c r="N3340" t="s">
        <v>362</v>
      </c>
    </row>
    <row r="3341" spans="1:14">
      <c r="A3341" t="s">
        <v>29</v>
      </c>
      <c r="B3341">
        <v>1185732</v>
      </c>
      <c r="C3341" s="2">
        <v>44300</v>
      </c>
      <c r="D3341" t="s">
        <v>137</v>
      </c>
      <c r="E3341" t="s">
        <v>221</v>
      </c>
      <c r="F3341" t="s">
        <v>230</v>
      </c>
      <c r="G3341" t="s">
        <v>144</v>
      </c>
      <c r="H3341" s="3">
        <v>0.4</v>
      </c>
      <c r="I3341">
        <v>3000</v>
      </c>
      <c r="J3341" s="4">
        <v>1200</v>
      </c>
      <c r="K3341" s="4">
        <v>480</v>
      </c>
      <c r="L3341" s="5">
        <v>0.4</v>
      </c>
      <c r="M3341" t="s">
        <v>127</v>
      </c>
      <c r="N3341" t="s">
        <v>362</v>
      </c>
    </row>
    <row r="3342" spans="1:14">
      <c r="A3342" t="s">
        <v>29</v>
      </c>
      <c r="B3342">
        <v>1185732</v>
      </c>
      <c r="C3342" s="2">
        <v>44329</v>
      </c>
      <c r="D3342" t="s">
        <v>137</v>
      </c>
      <c r="E3342" t="s">
        <v>221</v>
      </c>
      <c r="F3342" t="s">
        <v>230</v>
      </c>
      <c r="G3342" t="s">
        <v>27</v>
      </c>
      <c r="H3342" s="3">
        <v>0.54999999999999993</v>
      </c>
      <c r="I3342">
        <v>5700</v>
      </c>
      <c r="J3342" s="4">
        <v>3134.9999999999995</v>
      </c>
      <c r="K3342" s="4">
        <v>1097.2499999999998</v>
      </c>
      <c r="L3342" s="5">
        <v>0.35</v>
      </c>
      <c r="M3342" t="s">
        <v>128</v>
      </c>
      <c r="N3342" t="s">
        <v>362</v>
      </c>
    </row>
    <row r="3343" spans="1:14">
      <c r="A3343" t="s">
        <v>29</v>
      </c>
      <c r="B3343">
        <v>1185732</v>
      </c>
      <c r="C3343" s="2">
        <v>44329</v>
      </c>
      <c r="D3343" t="s">
        <v>137</v>
      </c>
      <c r="E3343" t="s">
        <v>221</v>
      </c>
      <c r="F3343" t="s">
        <v>230</v>
      </c>
      <c r="G3343" t="s">
        <v>145</v>
      </c>
      <c r="H3343" s="3">
        <v>0.5</v>
      </c>
      <c r="I3343">
        <v>2750</v>
      </c>
      <c r="J3343" s="4">
        <v>1375</v>
      </c>
      <c r="K3343" s="4">
        <v>481.24999999999994</v>
      </c>
      <c r="L3343" s="5">
        <v>0.35</v>
      </c>
      <c r="M3343" t="s">
        <v>128</v>
      </c>
      <c r="N3343" t="s">
        <v>362</v>
      </c>
    </row>
    <row r="3344" spans="1:14">
      <c r="A3344" t="s">
        <v>29</v>
      </c>
      <c r="B3344">
        <v>1185732</v>
      </c>
      <c r="C3344" s="2">
        <v>44329</v>
      </c>
      <c r="D3344" t="s">
        <v>137</v>
      </c>
      <c r="E3344" t="s">
        <v>221</v>
      </c>
      <c r="F3344" t="s">
        <v>230</v>
      </c>
      <c r="G3344" t="s">
        <v>146</v>
      </c>
      <c r="H3344" s="3">
        <v>0.45</v>
      </c>
      <c r="I3344">
        <v>3000</v>
      </c>
      <c r="J3344" s="4">
        <v>1350</v>
      </c>
      <c r="K3344" s="4">
        <v>540</v>
      </c>
      <c r="L3344" s="5">
        <v>0.4</v>
      </c>
      <c r="M3344" t="s">
        <v>128</v>
      </c>
      <c r="N3344" t="s">
        <v>362</v>
      </c>
    </row>
    <row r="3345" spans="1:14">
      <c r="A3345" t="s">
        <v>29</v>
      </c>
      <c r="B3345">
        <v>1185732</v>
      </c>
      <c r="C3345" s="2">
        <v>44329</v>
      </c>
      <c r="D3345" t="s">
        <v>137</v>
      </c>
      <c r="E3345" t="s">
        <v>221</v>
      </c>
      <c r="F3345" t="s">
        <v>230</v>
      </c>
      <c r="G3345" t="s">
        <v>148</v>
      </c>
      <c r="H3345" s="3">
        <v>0.45</v>
      </c>
      <c r="I3345">
        <v>2500</v>
      </c>
      <c r="J3345" s="4">
        <v>1125</v>
      </c>
      <c r="K3345" s="4">
        <v>450</v>
      </c>
      <c r="L3345" s="5">
        <v>0.4</v>
      </c>
      <c r="M3345" t="s">
        <v>128</v>
      </c>
      <c r="N3345" t="s">
        <v>362</v>
      </c>
    </row>
    <row r="3346" spans="1:14">
      <c r="A3346" t="s">
        <v>29</v>
      </c>
      <c r="B3346">
        <v>1185732</v>
      </c>
      <c r="C3346" s="2">
        <v>44329</v>
      </c>
      <c r="D3346" t="s">
        <v>137</v>
      </c>
      <c r="E3346" t="s">
        <v>221</v>
      </c>
      <c r="F3346" t="s">
        <v>230</v>
      </c>
      <c r="G3346" t="s">
        <v>147</v>
      </c>
      <c r="H3346" s="3">
        <v>0.54999999999999993</v>
      </c>
      <c r="I3346">
        <v>2750</v>
      </c>
      <c r="J3346" s="4">
        <v>1512.4999999999998</v>
      </c>
      <c r="K3346" s="4">
        <v>453.74999999999994</v>
      </c>
      <c r="L3346" s="5">
        <v>0.3</v>
      </c>
      <c r="M3346" t="s">
        <v>128</v>
      </c>
      <c r="N3346" t="s">
        <v>362</v>
      </c>
    </row>
    <row r="3347" spans="1:14">
      <c r="A3347" t="s">
        <v>29</v>
      </c>
      <c r="B3347">
        <v>1185732</v>
      </c>
      <c r="C3347" s="2">
        <v>44329</v>
      </c>
      <c r="D3347" t="s">
        <v>137</v>
      </c>
      <c r="E3347" t="s">
        <v>221</v>
      </c>
      <c r="F3347" t="s">
        <v>230</v>
      </c>
      <c r="G3347" t="s">
        <v>144</v>
      </c>
      <c r="H3347" s="3">
        <v>0.6</v>
      </c>
      <c r="I3347">
        <v>4000</v>
      </c>
      <c r="J3347" s="4">
        <v>2400</v>
      </c>
      <c r="K3347" s="4">
        <v>960</v>
      </c>
      <c r="L3347" s="5">
        <v>0.4</v>
      </c>
      <c r="M3347" t="s">
        <v>128</v>
      </c>
      <c r="N3347" t="s">
        <v>362</v>
      </c>
    </row>
    <row r="3348" spans="1:14">
      <c r="A3348" t="s">
        <v>29</v>
      </c>
      <c r="B3348">
        <v>1185732</v>
      </c>
      <c r="C3348" s="2">
        <v>44362</v>
      </c>
      <c r="D3348" t="s">
        <v>137</v>
      </c>
      <c r="E3348" t="s">
        <v>221</v>
      </c>
      <c r="F3348" t="s">
        <v>230</v>
      </c>
      <c r="G3348" t="s">
        <v>27</v>
      </c>
      <c r="H3348" s="3">
        <v>0.54999999999999993</v>
      </c>
      <c r="I3348">
        <v>6500</v>
      </c>
      <c r="J3348" s="4">
        <v>3574.9999999999995</v>
      </c>
      <c r="K3348" s="4">
        <v>1251.2499999999998</v>
      </c>
      <c r="L3348" s="5">
        <v>0.35</v>
      </c>
      <c r="M3348" t="s">
        <v>129</v>
      </c>
      <c r="N3348" t="s">
        <v>362</v>
      </c>
    </row>
    <row r="3349" spans="1:14">
      <c r="A3349" t="s">
        <v>29</v>
      </c>
      <c r="B3349">
        <v>1185732</v>
      </c>
      <c r="C3349" s="2">
        <v>44362</v>
      </c>
      <c r="D3349" t="s">
        <v>137</v>
      </c>
      <c r="E3349" t="s">
        <v>221</v>
      </c>
      <c r="F3349" t="s">
        <v>230</v>
      </c>
      <c r="G3349" t="s">
        <v>145</v>
      </c>
      <c r="H3349" s="3">
        <v>0.5</v>
      </c>
      <c r="I3349">
        <v>4000</v>
      </c>
      <c r="J3349" s="4">
        <v>2000</v>
      </c>
      <c r="K3349" s="4">
        <v>700</v>
      </c>
      <c r="L3349" s="5">
        <v>0.35</v>
      </c>
      <c r="M3349" t="s">
        <v>129</v>
      </c>
      <c r="N3349" t="s">
        <v>362</v>
      </c>
    </row>
    <row r="3350" spans="1:14">
      <c r="A3350" t="s">
        <v>29</v>
      </c>
      <c r="B3350">
        <v>1185732</v>
      </c>
      <c r="C3350" s="2">
        <v>44362</v>
      </c>
      <c r="D3350" t="s">
        <v>137</v>
      </c>
      <c r="E3350" t="s">
        <v>221</v>
      </c>
      <c r="F3350" t="s">
        <v>230</v>
      </c>
      <c r="G3350" t="s">
        <v>146</v>
      </c>
      <c r="H3350" s="3">
        <v>0.45</v>
      </c>
      <c r="I3350">
        <v>3250</v>
      </c>
      <c r="J3350" s="4">
        <v>1462.5</v>
      </c>
      <c r="K3350" s="4">
        <v>585</v>
      </c>
      <c r="L3350" s="5">
        <v>0.4</v>
      </c>
      <c r="M3350" t="s">
        <v>129</v>
      </c>
      <c r="N3350" t="s">
        <v>362</v>
      </c>
    </row>
    <row r="3351" spans="1:14">
      <c r="A3351" t="s">
        <v>29</v>
      </c>
      <c r="B3351">
        <v>1185732</v>
      </c>
      <c r="C3351" s="2">
        <v>44362</v>
      </c>
      <c r="D3351" t="s">
        <v>137</v>
      </c>
      <c r="E3351" t="s">
        <v>221</v>
      </c>
      <c r="F3351" t="s">
        <v>230</v>
      </c>
      <c r="G3351" t="s">
        <v>148</v>
      </c>
      <c r="H3351" s="3">
        <v>0.45</v>
      </c>
      <c r="I3351">
        <v>3000</v>
      </c>
      <c r="J3351" s="4">
        <v>1350</v>
      </c>
      <c r="K3351" s="4">
        <v>540</v>
      </c>
      <c r="L3351" s="5">
        <v>0.4</v>
      </c>
      <c r="M3351" t="s">
        <v>129</v>
      </c>
      <c r="N3351" t="s">
        <v>362</v>
      </c>
    </row>
    <row r="3352" spans="1:14">
      <c r="A3352" t="s">
        <v>29</v>
      </c>
      <c r="B3352">
        <v>1185732</v>
      </c>
      <c r="C3352" s="2">
        <v>44362</v>
      </c>
      <c r="D3352" t="s">
        <v>137</v>
      </c>
      <c r="E3352" t="s">
        <v>221</v>
      </c>
      <c r="F3352" t="s">
        <v>230</v>
      </c>
      <c r="G3352" t="s">
        <v>147</v>
      </c>
      <c r="H3352" s="3">
        <v>0.54999999999999993</v>
      </c>
      <c r="I3352">
        <v>3000</v>
      </c>
      <c r="J3352" s="4">
        <v>1649.9999999999998</v>
      </c>
      <c r="K3352" s="4">
        <v>494.99999999999989</v>
      </c>
      <c r="L3352" s="5">
        <v>0.3</v>
      </c>
      <c r="M3352" t="s">
        <v>129</v>
      </c>
      <c r="N3352" t="s">
        <v>362</v>
      </c>
    </row>
    <row r="3353" spans="1:14">
      <c r="A3353" t="s">
        <v>29</v>
      </c>
      <c r="B3353">
        <v>1185732</v>
      </c>
      <c r="C3353" s="2">
        <v>44362</v>
      </c>
      <c r="D3353" t="s">
        <v>137</v>
      </c>
      <c r="E3353" t="s">
        <v>221</v>
      </c>
      <c r="F3353" t="s">
        <v>230</v>
      </c>
      <c r="G3353" t="s">
        <v>144</v>
      </c>
      <c r="H3353" s="3">
        <v>0.6</v>
      </c>
      <c r="I3353">
        <v>4500</v>
      </c>
      <c r="J3353" s="4">
        <v>2700</v>
      </c>
      <c r="K3353" s="4">
        <v>1080</v>
      </c>
      <c r="L3353" s="5">
        <v>0.4</v>
      </c>
      <c r="M3353" t="s">
        <v>129</v>
      </c>
      <c r="N3353" t="s">
        <v>362</v>
      </c>
    </row>
    <row r="3354" spans="1:14">
      <c r="A3354" t="s">
        <v>29</v>
      </c>
      <c r="B3354">
        <v>1185732</v>
      </c>
      <c r="C3354" s="2">
        <v>44390</v>
      </c>
      <c r="D3354" t="s">
        <v>137</v>
      </c>
      <c r="E3354" t="s">
        <v>221</v>
      </c>
      <c r="F3354" t="s">
        <v>230</v>
      </c>
      <c r="G3354" t="s">
        <v>27</v>
      </c>
      <c r="H3354" s="3">
        <v>0.54999999999999993</v>
      </c>
      <c r="I3354">
        <v>6750</v>
      </c>
      <c r="J3354" s="4">
        <v>3712.4999999999995</v>
      </c>
      <c r="K3354" s="4">
        <v>1299.3749999999998</v>
      </c>
      <c r="L3354" s="5">
        <v>0.35</v>
      </c>
      <c r="M3354" t="s">
        <v>130</v>
      </c>
      <c r="N3354" t="s">
        <v>363</v>
      </c>
    </row>
    <row r="3355" spans="1:14">
      <c r="A3355" t="s">
        <v>29</v>
      </c>
      <c r="B3355">
        <v>1185732</v>
      </c>
      <c r="C3355" s="2">
        <v>44390</v>
      </c>
      <c r="D3355" t="s">
        <v>137</v>
      </c>
      <c r="E3355" t="s">
        <v>221</v>
      </c>
      <c r="F3355" t="s">
        <v>230</v>
      </c>
      <c r="G3355" t="s">
        <v>145</v>
      </c>
      <c r="H3355" s="3">
        <v>0.5</v>
      </c>
      <c r="I3355">
        <v>4250</v>
      </c>
      <c r="J3355" s="4">
        <v>2125</v>
      </c>
      <c r="K3355" s="4">
        <v>743.75</v>
      </c>
      <c r="L3355" s="5">
        <v>0.35</v>
      </c>
      <c r="M3355" t="s">
        <v>130</v>
      </c>
      <c r="N3355" t="s">
        <v>363</v>
      </c>
    </row>
    <row r="3356" spans="1:14">
      <c r="A3356" t="s">
        <v>29</v>
      </c>
      <c r="B3356">
        <v>1185732</v>
      </c>
      <c r="C3356" s="2">
        <v>44390</v>
      </c>
      <c r="D3356" t="s">
        <v>137</v>
      </c>
      <c r="E3356" t="s">
        <v>221</v>
      </c>
      <c r="F3356" t="s">
        <v>230</v>
      </c>
      <c r="G3356" t="s">
        <v>146</v>
      </c>
      <c r="H3356" s="3">
        <v>0.45</v>
      </c>
      <c r="I3356">
        <v>3500</v>
      </c>
      <c r="J3356" s="4">
        <v>1575</v>
      </c>
      <c r="K3356" s="4">
        <v>630</v>
      </c>
      <c r="L3356" s="5">
        <v>0.4</v>
      </c>
      <c r="M3356" t="s">
        <v>130</v>
      </c>
      <c r="N3356" t="s">
        <v>363</v>
      </c>
    </row>
    <row r="3357" spans="1:14">
      <c r="A3357" t="s">
        <v>29</v>
      </c>
      <c r="B3357">
        <v>1185732</v>
      </c>
      <c r="C3357" s="2">
        <v>44390</v>
      </c>
      <c r="D3357" t="s">
        <v>137</v>
      </c>
      <c r="E3357" t="s">
        <v>221</v>
      </c>
      <c r="F3357" t="s">
        <v>230</v>
      </c>
      <c r="G3357" t="s">
        <v>148</v>
      </c>
      <c r="H3357" s="3">
        <v>0.45</v>
      </c>
      <c r="I3357">
        <v>3000</v>
      </c>
      <c r="J3357" s="4">
        <v>1350</v>
      </c>
      <c r="K3357" s="4">
        <v>540</v>
      </c>
      <c r="L3357" s="5">
        <v>0.4</v>
      </c>
      <c r="M3357" t="s">
        <v>130</v>
      </c>
      <c r="N3357" t="s">
        <v>363</v>
      </c>
    </row>
    <row r="3358" spans="1:14">
      <c r="A3358" t="s">
        <v>29</v>
      </c>
      <c r="B3358">
        <v>1185732</v>
      </c>
      <c r="C3358" s="2">
        <v>44390</v>
      </c>
      <c r="D3358" t="s">
        <v>137</v>
      </c>
      <c r="E3358" t="s">
        <v>221</v>
      </c>
      <c r="F3358" t="s">
        <v>230</v>
      </c>
      <c r="G3358" t="s">
        <v>147</v>
      </c>
      <c r="H3358" s="3">
        <v>0.54999999999999993</v>
      </c>
      <c r="I3358">
        <v>3250</v>
      </c>
      <c r="J3358" s="4">
        <v>1787.4999999999998</v>
      </c>
      <c r="K3358" s="4">
        <v>536.24999999999989</v>
      </c>
      <c r="L3358" s="5">
        <v>0.3</v>
      </c>
      <c r="M3358" t="s">
        <v>130</v>
      </c>
      <c r="N3358" t="s">
        <v>363</v>
      </c>
    </row>
    <row r="3359" spans="1:14">
      <c r="A3359" t="s">
        <v>29</v>
      </c>
      <c r="B3359">
        <v>1185732</v>
      </c>
      <c r="C3359" s="2">
        <v>44390</v>
      </c>
      <c r="D3359" t="s">
        <v>137</v>
      </c>
      <c r="E3359" t="s">
        <v>221</v>
      </c>
      <c r="F3359" t="s">
        <v>230</v>
      </c>
      <c r="G3359" t="s">
        <v>144</v>
      </c>
      <c r="H3359" s="3">
        <v>0.6</v>
      </c>
      <c r="I3359">
        <v>5000</v>
      </c>
      <c r="J3359" s="4">
        <v>3000</v>
      </c>
      <c r="K3359" s="4">
        <v>1200</v>
      </c>
      <c r="L3359" s="5">
        <v>0.4</v>
      </c>
      <c r="M3359" t="s">
        <v>130</v>
      </c>
      <c r="N3359" t="s">
        <v>363</v>
      </c>
    </row>
    <row r="3360" spans="1:14">
      <c r="A3360" t="s">
        <v>29</v>
      </c>
      <c r="B3360">
        <v>1185732</v>
      </c>
      <c r="C3360" s="2">
        <v>44422</v>
      </c>
      <c r="D3360" t="s">
        <v>137</v>
      </c>
      <c r="E3360" t="s">
        <v>221</v>
      </c>
      <c r="F3360" t="s">
        <v>230</v>
      </c>
      <c r="G3360" t="s">
        <v>27</v>
      </c>
      <c r="H3360" s="3">
        <v>0.54999999999999993</v>
      </c>
      <c r="I3360">
        <v>6500</v>
      </c>
      <c r="J3360" s="4">
        <v>3574.9999999999995</v>
      </c>
      <c r="K3360" s="4">
        <v>1251.2499999999998</v>
      </c>
      <c r="L3360" s="5">
        <v>0.35</v>
      </c>
      <c r="M3360" t="s">
        <v>131</v>
      </c>
      <c r="N3360" t="s">
        <v>363</v>
      </c>
    </row>
    <row r="3361" spans="1:14">
      <c r="A3361" t="s">
        <v>29</v>
      </c>
      <c r="B3361">
        <v>1185732</v>
      </c>
      <c r="C3361" s="2">
        <v>44422</v>
      </c>
      <c r="D3361" t="s">
        <v>137</v>
      </c>
      <c r="E3361" t="s">
        <v>221</v>
      </c>
      <c r="F3361" t="s">
        <v>230</v>
      </c>
      <c r="G3361" t="s">
        <v>145</v>
      </c>
      <c r="H3361" s="3">
        <v>0.5</v>
      </c>
      <c r="I3361">
        <v>4250</v>
      </c>
      <c r="J3361" s="4">
        <v>2125</v>
      </c>
      <c r="K3361" s="4">
        <v>743.75</v>
      </c>
      <c r="L3361" s="5">
        <v>0.35</v>
      </c>
      <c r="M3361" t="s">
        <v>131</v>
      </c>
      <c r="N3361" t="s">
        <v>363</v>
      </c>
    </row>
    <row r="3362" spans="1:14">
      <c r="A3362" t="s">
        <v>29</v>
      </c>
      <c r="B3362">
        <v>1185732</v>
      </c>
      <c r="C3362" s="2">
        <v>44422</v>
      </c>
      <c r="D3362" t="s">
        <v>137</v>
      </c>
      <c r="E3362" t="s">
        <v>221</v>
      </c>
      <c r="F3362" t="s">
        <v>230</v>
      </c>
      <c r="G3362" t="s">
        <v>146</v>
      </c>
      <c r="H3362" s="3">
        <v>0.45</v>
      </c>
      <c r="I3362">
        <v>3500</v>
      </c>
      <c r="J3362" s="4">
        <v>1575</v>
      </c>
      <c r="K3362" s="4">
        <v>630</v>
      </c>
      <c r="L3362" s="5">
        <v>0.4</v>
      </c>
      <c r="M3362" t="s">
        <v>131</v>
      </c>
      <c r="N3362" t="s">
        <v>363</v>
      </c>
    </row>
    <row r="3363" spans="1:14">
      <c r="A3363" t="s">
        <v>29</v>
      </c>
      <c r="B3363">
        <v>1185732</v>
      </c>
      <c r="C3363" s="2">
        <v>44422</v>
      </c>
      <c r="D3363" t="s">
        <v>137</v>
      </c>
      <c r="E3363" t="s">
        <v>221</v>
      </c>
      <c r="F3363" t="s">
        <v>230</v>
      </c>
      <c r="G3363" t="s">
        <v>148</v>
      </c>
      <c r="H3363" s="3">
        <v>0.45</v>
      </c>
      <c r="I3363">
        <v>2500</v>
      </c>
      <c r="J3363" s="4">
        <v>1125</v>
      </c>
      <c r="K3363" s="4">
        <v>450</v>
      </c>
      <c r="L3363" s="5">
        <v>0.4</v>
      </c>
      <c r="M3363" t="s">
        <v>131</v>
      </c>
      <c r="N3363" t="s">
        <v>363</v>
      </c>
    </row>
    <row r="3364" spans="1:14">
      <c r="A3364" t="s">
        <v>29</v>
      </c>
      <c r="B3364">
        <v>1185732</v>
      </c>
      <c r="C3364" s="2">
        <v>44422</v>
      </c>
      <c r="D3364" t="s">
        <v>137</v>
      </c>
      <c r="E3364" t="s">
        <v>221</v>
      </c>
      <c r="F3364" t="s">
        <v>230</v>
      </c>
      <c r="G3364" t="s">
        <v>147</v>
      </c>
      <c r="H3364" s="3">
        <v>0.54999999999999993</v>
      </c>
      <c r="I3364">
        <v>2250</v>
      </c>
      <c r="J3364" s="4">
        <v>1237.4999999999998</v>
      </c>
      <c r="K3364" s="4">
        <v>371.24999999999994</v>
      </c>
      <c r="L3364" s="5">
        <v>0.3</v>
      </c>
      <c r="M3364" t="s">
        <v>131</v>
      </c>
      <c r="N3364" t="s">
        <v>363</v>
      </c>
    </row>
    <row r="3365" spans="1:14">
      <c r="A3365" t="s">
        <v>29</v>
      </c>
      <c r="B3365">
        <v>1185732</v>
      </c>
      <c r="C3365" s="2">
        <v>44422</v>
      </c>
      <c r="D3365" t="s">
        <v>137</v>
      </c>
      <c r="E3365" t="s">
        <v>221</v>
      </c>
      <c r="F3365" t="s">
        <v>230</v>
      </c>
      <c r="G3365" t="s">
        <v>144</v>
      </c>
      <c r="H3365" s="3">
        <v>0.6</v>
      </c>
      <c r="I3365">
        <v>4000</v>
      </c>
      <c r="J3365" s="4">
        <v>2400</v>
      </c>
      <c r="K3365" s="4">
        <v>960</v>
      </c>
      <c r="L3365" s="5">
        <v>0.4</v>
      </c>
      <c r="M3365" t="s">
        <v>131</v>
      </c>
      <c r="N3365" t="s">
        <v>363</v>
      </c>
    </row>
    <row r="3366" spans="1:14">
      <c r="A3366" t="s">
        <v>29</v>
      </c>
      <c r="B3366">
        <v>1185732</v>
      </c>
      <c r="C3366" s="2">
        <v>44452</v>
      </c>
      <c r="D3366" t="s">
        <v>137</v>
      </c>
      <c r="E3366" t="s">
        <v>221</v>
      </c>
      <c r="F3366" t="s">
        <v>230</v>
      </c>
      <c r="G3366" t="s">
        <v>27</v>
      </c>
      <c r="H3366" s="3">
        <v>0.54999999999999993</v>
      </c>
      <c r="I3366">
        <v>5250</v>
      </c>
      <c r="J3366" s="4">
        <v>2887.4999999999995</v>
      </c>
      <c r="K3366" s="4">
        <v>1010.6249999999998</v>
      </c>
      <c r="L3366" s="5">
        <v>0.35</v>
      </c>
      <c r="M3366" t="s">
        <v>132</v>
      </c>
      <c r="N3366" t="s">
        <v>363</v>
      </c>
    </row>
    <row r="3367" spans="1:14">
      <c r="A3367" t="s">
        <v>29</v>
      </c>
      <c r="B3367">
        <v>1185732</v>
      </c>
      <c r="C3367" s="2">
        <v>44452</v>
      </c>
      <c r="D3367" t="s">
        <v>137</v>
      </c>
      <c r="E3367" t="s">
        <v>221</v>
      </c>
      <c r="F3367" t="s">
        <v>230</v>
      </c>
      <c r="G3367" t="s">
        <v>145</v>
      </c>
      <c r="H3367" s="3">
        <v>0.5</v>
      </c>
      <c r="I3367">
        <v>3250</v>
      </c>
      <c r="J3367" s="4">
        <v>1625</v>
      </c>
      <c r="K3367" s="4">
        <v>568.75</v>
      </c>
      <c r="L3367" s="5">
        <v>0.35</v>
      </c>
      <c r="M3367" t="s">
        <v>132</v>
      </c>
      <c r="N3367" t="s">
        <v>363</v>
      </c>
    </row>
    <row r="3368" spans="1:14">
      <c r="A3368" t="s">
        <v>29</v>
      </c>
      <c r="B3368">
        <v>1185732</v>
      </c>
      <c r="C3368" s="2">
        <v>44452</v>
      </c>
      <c r="D3368" t="s">
        <v>137</v>
      </c>
      <c r="E3368" t="s">
        <v>221</v>
      </c>
      <c r="F3368" t="s">
        <v>230</v>
      </c>
      <c r="G3368" t="s">
        <v>146</v>
      </c>
      <c r="H3368" s="3">
        <v>0.45</v>
      </c>
      <c r="I3368">
        <v>2250</v>
      </c>
      <c r="J3368" s="4">
        <v>1012.5</v>
      </c>
      <c r="K3368" s="4">
        <v>405</v>
      </c>
      <c r="L3368" s="5">
        <v>0.4</v>
      </c>
      <c r="M3368" t="s">
        <v>132</v>
      </c>
      <c r="N3368" t="s">
        <v>363</v>
      </c>
    </row>
    <row r="3369" spans="1:14">
      <c r="A3369" t="s">
        <v>29</v>
      </c>
      <c r="B3369">
        <v>1185732</v>
      </c>
      <c r="C3369" s="2">
        <v>44452</v>
      </c>
      <c r="D3369" t="s">
        <v>137</v>
      </c>
      <c r="E3369" t="s">
        <v>221</v>
      </c>
      <c r="F3369" t="s">
        <v>230</v>
      </c>
      <c r="G3369" t="s">
        <v>148</v>
      </c>
      <c r="H3369" s="3">
        <v>0.45</v>
      </c>
      <c r="I3369">
        <v>2000</v>
      </c>
      <c r="J3369" s="4">
        <v>900</v>
      </c>
      <c r="K3369" s="4">
        <v>360</v>
      </c>
      <c r="L3369" s="5">
        <v>0.4</v>
      </c>
      <c r="M3369" t="s">
        <v>132</v>
      </c>
      <c r="N3369" t="s">
        <v>363</v>
      </c>
    </row>
    <row r="3370" spans="1:14">
      <c r="A3370" t="s">
        <v>29</v>
      </c>
      <c r="B3370">
        <v>1185732</v>
      </c>
      <c r="C3370" s="2">
        <v>44452</v>
      </c>
      <c r="D3370" t="s">
        <v>137</v>
      </c>
      <c r="E3370" t="s">
        <v>221</v>
      </c>
      <c r="F3370" t="s">
        <v>230</v>
      </c>
      <c r="G3370" t="s">
        <v>147</v>
      </c>
      <c r="H3370" s="3">
        <v>0.54999999999999993</v>
      </c>
      <c r="I3370">
        <v>2000</v>
      </c>
      <c r="J3370" s="4">
        <v>1099.9999999999998</v>
      </c>
      <c r="K3370" s="4">
        <v>329.99999999999994</v>
      </c>
      <c r="L3370" s="5">
        <v>0.3</v>
      </c>
      <c r="M3370" t="s">
        <v>132</v>
      </c>
      <c r="N3370" t="s">
        <v>363</v>
      </c>
    </row>
    <row r="3371" spans="1:14">
      <c r="A3371" t="s">
        <v>29</v>
      </c>
      <c r="B3371">
        <v>1185732</v>
      </c>
      <c r="C3371" s="2">
        <v>44452</v>
      </c>
      <c r="D3371" t="s">
        <v>137</v>
      </c>
      <c r="E3371" t="s">
        <v>221</v>
      </c>
      <c r="F3371" t="s">
        <v>230</v>
      </c>
      <c r="G3371" t="s">
        <v>144</v>
      </c>
      <c r="H3371" s="3">
        <v>0.6</v>
      </c>
      <c r="I3371">
        <v>3000</v>
      </c>
      <c r="J3371" s="4">
        <v>1800</v>
      </c>
      <c r="K3371" s="4">
        <v>720</v>
      </c>
      <c r="L3371" s="5">
        <v>0.4</v>
      </c>
      <c r="M3371" t="s">
        <v>132</v>
      </c>
      <c r="N3371" t="s">
        <v>363</v>
      </c>
    </row>
    <row r="3372" spans="1:14">
      <c r="A3372" t="s">
        <v>29</v>
      </c>
      <c r="B3372">
        <v>1185732</v>
      </c>
      <c r="C3372" s="2">
        <v>44484</v>
      </c>
      <c r="D3372" t="s">
        <v>137</v>
      </c>
      <c r="E3372" t="s">
        <v>221</v>
      </c>
      <c r="F3372" t="s">
        <v>230</v>
      </c>
      <c r="G3372" t="s">
        <v>27</v>
      </c>
      <c r="H3372" s="3">
        <v>0.6</v>
      </c>
      <c r="I3372">
        <v>4750</v>
      </c>
      <c r="J3372" s="4">
        <v>2850</v>
      </c>
      <c r="K3372" s="4">
        <v>997.49999999999989</v>
      </c>
      <c r="L3372" s="5">
        <v>0.35</v>
      </c>
      <c r="M3372" t="s">
        <v>133</v>
      </c>
      <c r="N3372" t="s">
        <v>364</v>
      </c>
    </row>
    <row r="3373" spans="1:14">
      <c r="A3373" t="s">
        <v>29</v>
      </c>
      <c r="B3373">
        <v>1185732</v>
      </c>
      <c r="C3373" s="2">
        <v>44484</v>
      </c>
      <c r="D3373" t="s">
        <v>137</v>
      </c>
      <c r="E3373" t="s">
        <v>221</v>
      </c>
      <c r="F3373" t="s">
        <v>230</v>
      </c>
      <c r="G3373" t="s">
        <v>145</v>
      </c>
      <c r="H3373" s="3">
        <v>0.55000000000000004</v>
      </c>
      <c r="I3373">
        <v>3000</v>
      </c>
      <c r="J3373" s="4">
        <v>1650.0000000000002</v>
      </c>
      <c r="K3373" s="4">
        <v>577.5</v>
      </c>
      <c r="L3373" s="5">
        <v>0.35</v>
      </c>
      <c r="M3373" t="s">
        <v>133</v>
      </c>
      <c r="N3373" t="s">
        <v>364</v>
      </c>
    </row>
    <row r="3374" spans="1:14">
      <c r="A3374" t="s">
        <v>29</v>
      </c>
      <c r="B3374">
        <v>1185732</v>
      </c>
      <c r="C3374" s="2">
        <v>44484</v>
      </c>
      <c r="D3374" t="s">
        <v>137</v>
      </c>
      <c r="E3374" t="s">
        <v>221</v>
      </c>
      <c r="F3374" t="s">
        <v>230</v>
      </c>
      <c r="G3374" t="s">
        <v>146</v>
      </c>
      <c r="H3374" s="3">
        <v>0.55000000000000004</v>
      </c>
      <c r="I3374">
        <v>2000</v>
      </c>
      <c r="J3374" s="4">
        <v>1100</v>
      </c>
      <c r="K3374" s="4">
        <v>440</v>
      </c>
      <c r="L3374" s="5">
        <v>0.4</v>
      </c>
      <c r="M3374" t="s">
        <v>133</v>
      </c>
      <c r="N3374" t="s">
        <v>364</v>
      </c>
    </row>
    <row r="3375" spans="1:14">
      <c r="A3375" t="s">
        <v>29</v>
      </c>
      <c r="B3375">
        <v>1185732</v>
      </c>
      <c r="C3375" s="2">
        <v>44484</v>
      </c>
      <c r="D3375" t="s">
        <v>137</v>
      </c>
      <c r="E3375" t="s">
        <v>221</v>
      </c>
      <c r="F3375" t="s">
        <v>230</v>
      </c>
      <c r="G3375" t="s">
        <v>148</v>
      </c>
      <c r="H3375" s="3">
        <v>0.55000000000000004</v>
      </c>
      <c r="I3375">
        <v>1750</v>
      </c>
      <c r="J3375" s="4">
        <v>962.50000000000011</v>
      </c>
      <c r="K3375" s="4">
        <v>385.00000000000006</v>
      </c>
      <c r="L3375" s="5">
        <v>0.4</v>
      </c>
      <c r="M3375" t="s">
        <v>133</v>
      </c>
      <c r="N3375" t="s">
        <v>364</v>
      </c>
    </row>
    <row r="3376" spans="1:14">
      <c r="A3376" t="s">
        <v>29</v>
      </c>
      <c r="B3376">
        <v>1185732</v>
      </c>
      <c r="C3376" s="2">
        <v>44484</v>
      </c>
      <c r="D3376" t="s">
        <v>137</v>
      </c>
      <c r="E3376" t="s">
        <v>221</v>
      </c>
      <c r="F3376" t="s">
        <v>230</v>
      </c>
      <c r="G3376" t="s">
        <v>147</v>
      </c>
      <c r="H3376" s="3">
        <v>0.65</v>
      </c>
      <c r="I3376">
        <v>1750</v>
      </c>
      <c r="J3376" s="4">
        <v>1137.5</v>
      </c>
      <c r="K3376" s="4">
        <v>341.25</v>
      </c>
      <c r="L3376" s="5">
        <v>0.3</v>
      </c>
      <c r="M3376" t="s">
        <v>133</v>
      </c>
      <c r="N3376" t="s">
        <v>364</v>
      </c>
    </row>
    <row r="3377" spans="1:14">
      <c r="A3377" t="s">
        <v>29</v>
      </c>
      <c r="B3377">
        <v>1185732</v>
      </c>
      <c r="C3377" s="2">
        <v>44484</v>
      </c>
      <c r="D3377" t="s">
        <v>137</v>
      </c>
      <c r="E3377" t="s">
        <v>221</v>
      </c>
      <c r="F3377" t="s">
        <v>230</v>
      </c>
      <c r="G3377" t="s">
        <v>144</v>
      </c>
      <c r="H3377" s="3">
        <v>0.7</v>
      </c>
      <c r="I3377">
        <v>3000</v>
      </c>
      <c r="J3377" s="4">
        <v>2100</v>
      </c>
      <c r="K3377" s="4">
        <v>840</v>
      </c>
      <c r="L3377" s="5">
        <v>0.4</v>
      </c>
      <c r="M3377" t="s">
        <v>133</v>
      </c>
      <c r="N3377" t="s">
        <v>364</v>
      </c>
    </row>
    <row r="3378" spans="1:14">
      <c r="A3378" t="s">
        <v>29</v>
      </c>
      <c r="B3378">
        <v>1185732</v>
      </c>
      <c r="C3378" s="2">
        <v>44514</v>
      </c>
      <c r="D3378" t="s">
        <v>137</v>
      </c>
      <c r="E3378" t="s">
        <v>221</v>
      </c>
      <c r="F3378" t="s">
        <v>230</v>
      </c>
      <c r="G3378" t="s">
        <v>27</v>
      </c>
      <c r="H3378" s="3">
        <v>0.65</v>
      </c>
      <c r="I3378">
        <v>4500</v>
      </c>
      <c r="J3378" s="4">
        <v>2925</v>
      </c>
      <c r="K3378" s="4">
        <v>1023.7499999999999</v>
      </c>
      <c r="L3378" s="5">
        <v>0.35</v>
      </c>
      <c r="M3378" t="s">
        <v>134</v>
      </c>
      <c r="N3378" t="s">
        <v>364</v>
      </c>
    </row>
    <row r="3379" spans="1:14">
      <c r="A3379" t="s">
        <v>29</v>
      </c>
      <c r="B3379">
        <v>1185732</v>
      </c>
      <c r="C3379" s="2">
        <v>44514</v>
      </c>
      <c r="D3379" t="s">
        <v>137</v>
      </c>
      <c r="E3379" t="s">
        <v>221</v>
      </c>
      <c r="F3379" t="s">
        <v>230</v>
      </c>
      <c r="G3379" t="s">
        <v>145</v>
      </c>
      <c r="H3379" s="3">
        <v>0.55000000000000004</v>
      </c>
      <c r="I3379">
        <v>3250</v>
      </c>
      <c r="J3379" s="4">
        <v>1787.5000000000002</v>
      </c>
      <c r="K3379" s="4">
        <v>625.625</v>
      </c>
      <c r="L3379" s="5">
        <v>0.35</v>
      </c>
      <c r="M3379" t="s">
        <v>134</v>
      </c>
      <c r="N3379" t="s">
        <v>364</v>
      </c>
    </row>
    <row r="3380" spans="1:14">
      <c r="A3380" t="s">
        <v>29</v>
      </c>
      <c r="B3380">
        <v>1185732</v>
      </c>
      <c r="C3380" s="2">
        <v>44514</v>
      </c>
      <c r="D3380" t="s">
        <v>137</v>
      </c>
      <c r="E3380" t="s">
        <v>221</v>
      </c>
      <c r="F3380" t="s">
        <v>230</v>
      </c>
      <c r="G3380" t="s">
        <v>146</v>
      </c>
      <c r="H3380" s="3">
        <v>0.55000000000000004</v>
      </c>
      <c r="I3380">
        <v>3200</v>
      </c>
      <c r="J3380" s="4">
        <v>1760.0000000000002</v>
      </c>
      <c r="K3380" s="4">
        <v>704.00000000000011</v>
      </c>
      <c r="L3380" s="5">
        <v>0.4</v>
      </c>
      <c r="M3380" t="s">
        <v>134</v>
      </c>
      <c r="N3380" t="s">
        <v>364</v>
      </c>
    </row>
    <row r="3381" spans="1:14">
      <c r="A3381" t="s">
        <v>29</v>
      </c>
      <c r="B3381">
        <v>1185732</v>
      </c>
      <c r="C3381" s="2">
        <v>44514</v>
      </c>
      <c r="D3381" t="s">
        <v>137</v>
      </c>
      <c r="E3381" t="s">
        <v>221</v>
      </c>
      <c r="F3381" t="s">
        <v>230</v>
      </c>
      <c r="G3381" t="s">
        <v>148</v>
      </c>
      <c r="H3381" s="3">
        <v>0.55000000000000004</v>
      </c>
      <c r="I3381">
        <v>3000</v>
      </c>
      <c r="J3381" s="4">
        <v>1650.0000000000002</v>
      </c>
      <c r="K3381" s="4">
        <v>660.00000000000011</v>
      </c>
      <c r="L3381" s="5">
        <v>0.4</v>
      </c>
      <c r="M3381" t="s">
        <v>134</v>
      </c>
      <c r="N3381" t="s">
        <v>364</v>
      </c>
    </row>
    <row r="3382" spans="1:14">
      <c r="A3382" t="s">
        <v>29</v>
      </c>
      <c r="B3382">
        <v>1185732</v>
      </c>
      <c r="C3382" s="2">
        <v>44514</v>
      </c>
      <c r="D3382" t="s">
        <v>137</v>
      </c>
      <c r="E3382" t="s">
        <v>221</v>
      </c>
      <c r="F3382" t="s">
        <v>230</v>
      </c>
      <c r="G3382" t="s">
        <v>147</v>
      </c>
      <c r="H3382" s="3">
        <v>0.65</v>
      </c>
      <c r="I3382">
        <v>2750</v>
      </c>
      <c r="J3382" s="4">
        <v>1787.5</v>
      </c>
      <c r="K3382" s="4">
        <v>536.25</v>
      </c>
      <c r="L3382" s="5">
        <v>0.3</v>
      </c>
      <c r="M3382" t="s">
        <v>134</v>
      </c>
      <c r="N3382" t="s">
        <v>364</v>
      </c>
    </row>
    <row r="3383" spans="1:14">
      <c r="A3383" t="s">
        <v>29</v>
      </c>
      <c r="B3383">
        <v>1185732</v>
      </c>
      <c r="C3383" s="2">
        <v>44514</v>
      </c>
      <c r="D3383" t="s">
        <v>137</v>
      </c>
      <c r="E3383" t="s">
        <v>221</v>
      </c>
      <c r="F3383" t="s">
        <v>230</v>
      </c>
      <c r="G3383" t="s">
        <v>144</v>
      </c>
      <c r="H3383" s="3">
        <v>0.7</v>
      </c>
      <c r="I3383">
        <v>3750</v>
      </c>
      <c r="J3383" s="4">
        <v>2625</v>
      </c>
      <c r="K3383" s="4">
        <v>1050</v>
      </c>
      <c r="L3383" s="5">
        <v>0.4</v>
      </c>
      <c r="M3383" t="s">
        <v>134</v>
      </c>
      <c r="N3383" t="s">
        <v>364</v>
      </c>
    </row>
    <row r="3384" spans="1:14">
      <c r="A3384" t="s">
        <v>29</v>
      </c>
      <c r="B3384">
        <v>1185732</v>
      </c>
      <c r="C3384" s="2">
        <v>44543</v>
      </c>
      <c r="D3384" t="s">
        <v>137</v>
      </c>
      <c r="E3384" t="s">
        <v>221</v>
      </c>
      <c r="F3384" t="s">
        <v>230</v>
      </c>
      <c r="G3384" t="s">
        <v>27</v>
      </c>
      <c r="H3384" s="3">
        <v>0.65</v>
      </c>
      <c r="I3384">
        <v>6000</v>
      </c>
      <c r="J3384" s="4">
        <v>3900</v>
      </c>
      <c r="K3384" s="4">
        <v>1365</v>
      </c>
      <c r="L3384" s="5">
        <v>0.35</v>
      </c>
      <c r="M3384" t="s">
        <v>23</v>
      </c>
      <c r="N3384" t="s">
        <v>364</v>
      </c>
    </row>
    <row r="3385" spans="1:14">
      <c r="A3385" t="s">
        <v>29</v>
      </c>
      <c r="B3385">
        <v>1185732</v>
      </c>
      <c r="C3385" s="2">
        <v>44543</v>
      </c>
      <c r="D3385" t="s">
        <v>137</v>
      </c>
      <c r="E3385" t="s">
        <v>221</v>
      </c>
      <c r="F3385" t="s">
        <v>230</v>
      </c>
      <c r="G3385" t="s">
        <v>145</v>
      </c>
      <c r="H3385" s="3">
        <v>0.55000000000000004</v>
      </c>
      <c r="I3385">
        <v>4000</v>
      </c>
      <c r="J3385" s="4">
        <v>2200</v>
      </c>
      <c r="K3385" s="4">
        <v>770</v>
      </c>
      <c r="L3385" s="5">
        <v>0.35</v>
      </c>
      <c r="M3385" t="s">
        <v>23</v>
      </c>
      <c r="N3385" t="s">
        <v>364</v>
      </c>
    </row>
    <row r="3386" spans="1:14">
      <c r="A3386" t="s">
        <v>29</v>
      </c>
      <c r="B3386">
        <v>1185732</v>
      </c>
      <c r="C3386" s="2">
        <v>44543</v>
      </c>
      <c r="D3386" t="s">
        <v>137</v>
      </c>
      <c r="E3386" t="s">
        <v>221</v>
      </c>
      <c r="F3386" t="s">
        <v>230</v>
      </c>
      <c r="G3386" t="s">
        <v>146</v>
      </c>
      <c r="H3386" s="3">
        <v>0.55000000000000004</v>
      </c>
      <c r="I3386">
        <v>3750</v>
      </c>
      <c r="J3386" s="4">
        <v>2062.5</v>
      </c>
      <c r="K3386" s="4">
        <v>825</v>
      </c>
      <c r="L3386" s="5">
        <v>0.4</v>
      </c>
      <c r="M3386" t="s">
        <v>23</v>
      </c>
      <c r="N3386" t="s">
        <v>364</v>
      </c>
    </row>
    <row r="3387" spans="1:14">
      <c r="A3387" t="s">
        <v>29</v>
      </c>
      <c r="B3387">
        <v>1185732</v>
      </c>
      <c r="C3387" s="2">
        <v>44543</v>
      </c>
      <c r="D3387" t="s">
        <v>137</v>
      </c>
      <c r="E3387" t="s">
        <v>221</v>
      </c>
      <c r="F3387" t="s">
        <v>230</v>
      </c>
      <c r="G3387" t="s">
        <v>148</v>
      </c>
      <c r="H3387" s="3">
        <v>0.55000000000000004</v>
      </c>
      <c r="I3387">
        <v>3250</v>
      </c>
      <c r="J3387" s="4">
        <v>1787.5000000000002</v>
      </c>
      <c r="K3387" s="4">
        <v>715.00000000000011</v>
      </c>
      <c r="L3387" s="5">
        <v>0.4</v>
      </c>
      <c r="M3387" t="s">
        <v>23</v>
      </c>
      <c r="N3387" t="s">
        <v>364</v>
      </c>
    </row>
    <row r="3388" spans="1:14">
      <c r="A3388" t="s">
        <v>29</v>
      </c>
      <c r="B3388">
        <v>1185732</v>
      </c>
      <c r="C3388" s="2">
        <v>44543</v>
      </c>
      <c r="D3388" t="s">
        <v>137</v>
      </c>
      <c r="E3388" t="s">
        <v>221</v>
      </c>
      <c r="F3388" t="s">
        <v>230</v>
      </c>
      <c r="G3388" t="s">
        <v>147</v>
      </c>
      <c r="H3388" s="3">
        <v>0.65</v>
      </c>
      <c r="I3388">
        <v>3250</v>
      </c>
      <c r="J3388" s="4">
        <v>2112.5</v>
      </c>
      <c r="K3388" s="4">
        <v>633.75</v>
      </c>
      <c r="L3388" s="5">
        <v>0.3</v>
      </c>
      <c r="M3388" t="s">
        <v>23</v>
      </c>
      <c r="N3388" t="s">
        <v>364</v>
      </c>
    </row>
    <row r="3389" spans="1:14">
      <c r="A3389" t="s">
        <v>29</v>
      </c>
      <c r="B3389">
        <v>1185732</v>
      </c>
      <c r="C3389" s="2">
        <v>44543</v>
      </c>
      <c r="D3389" t="s">
        <v>137</v>
      </c>
      <c r="E3389" t="s">
        <v>221</v>
      </c>
      <c r="F3389" t="s">
        <v>230</v>
      </c>
      <c r="G3389" t="s">
        <v>144</v>
      </c>
      <c r="H3389" s="3">
        <v>0.7</v>
      </c>
      <c r="I3389">
        <v>4250</v>
      </c>
      <c r="J3389" s="4">
        <v>2975</v>
      </c>
      <c r="K3389" s="4">
        <v>1190</v>
      </c>
      <c r="L3389" s="5">
        <v>0.4</v>
      </c>
      <c r="M3389" t="s">
        <v>23</v>
      </c>
      <c r="N3389" t="s">
        <v>364</v>
      </c>
    </row>
    <row r="3390" spans="1:14">
      <c r="A3390" t="s">
        <v>29</v>
      </c>
      <c r="B3390">
        <v>1185732</v>
      </c>
      <c r="C3390" s="2">
        <v>44206</v>
      </c>
      <c r="D3390" t="s">
        <v>137</v>
      </c>
      <c r="E3390" t="s">
        <v>241</v>
      </c>
      <c r="F3390" t="s">
        <v>250</v>
      </c>
      <c r="G3390" t="s">
        <v>27</v>
      </c>
      <c r="H3390" s="3">
        <v>0.35000000000000003</v>
      </c>
      <c r="I3390">
        <v>4750</v>
      </c>
      <c r="J3390" s="4">
        <v>1662.5000000000002</v>
      </c>
      <c r="K3390" s="4">
        <v>581.875</v>
      </c>
      <c r="L3390" s="5">
        <v>0.35</v>
      </c>
      <c r="M3390" t="s">
        <v>125</v>
      </c>
      <c r="N3390" t="s">
        <v>361</v>
      </c>
    </row>
    <row r="3391" spans="1:14">
      <c r="A3391" t="s">
        <v>29</v>
      </c>
      <c r="B3391">
        <v>1185732</v>
      </c>
      <c r="C3391" s="2">
        <v>44206</v>
      </c>
      <c r="D3391" t="s">
        <v>137</v>
      </c>
      <c r="E3391" t="s">
        <v>241</v>
      </c>
      <c r="F3391" t="s">
        <v>250</v>
      </c>
      <c r="G3391" t="s">
        <v>145</v>
      </c>
      <c r="H3391" s="3">
        <v>0.35000000000000003</v>
      </c>
      <c r="I3391">
        <v>2750</v>
      </c>
      <c r="J3391" s="4">
        <v>962.50000000000011</v>
      </c>
      <c r="K3391" s="4">
        <v>336.875</v>
      </c>
      <c r="L3391" s="5">
        <v>0.35</v>
      </c>
      <c r="M3391" t="s">
        <v>125</v>
      </c>
      <c r="N3391" t="s">
        <v>361</v>
      </c>
    </row>
    <row r="3392" spans="1:14">
      <c r="A3392" t="s">
        <v>29</v>
      </c>
      <c r="B3392">
        <v>1185732</v>
      </c>
      <c r="C3392" s="2">
        <v>44206</v>
      </c>
      <c r="D3392" t="s">
        <v>137</v>
      </c>
      <c r="E3392" t="s">
        <v>241</v>
      </c>
      <c r="F3392" t="s">
        <v>250</v>
      </c>
      <c r="G3392" t="s">
        <v>146</v>
      </c>
      <c r="H3392" s="3">
        <v>0.25000000000000006</v>
      </c>
      <c r="I3392">
        <v>2750</v>
      </c>
      <c r="J3392" s="4">
        <v>687.50000000000011</v>
      </c>
      <c r="K3392" s="4">
        <v>275.00000000000006</v>
      </c>
      <c r="L3392" s="5">
        <v>0.4</v>
      </c>
      <c r="M3392" t="s">
        <v>125</v>
      </c>
      <c r="N3392" t="s">
        <v>361</v>
      </c>
    </row>
    <row r="3393" spans="1:14">
      <c r="A3393" t="s">
        <v>29</v>
      </c>
      <c r="B3393">
        <v>1185732</v>
      </c>
      <c r="C3393" s="2">
        <v>44206</v>
      </c>
      <c r="D3393" t="s">
        <v>137</v>
      </c>
      <c r="E3393" t="s">
        <v>241</v>
      </c>
      <c r="F3393" t="s">
        <v>250</v>
      </c>
      <c r="G3393" t="s">
        <v>148</v>
      </c>
      <c r="H3393" s="3">
        <v>0.3</v>
      </c>
      <c r="I3393">
        <v>1250</v>
      </c>
      <c r="J3393" s="4">
        <v>375</v>
      </c>
      <c r="K3393" s="4">
        <v>150</v>
      </c>
      <c r="L3393" s="5">
        <v>0.4</v>
      </c>
      <c r="M3393" t="s">
        <v>125</v>
      </c>
      <c r="N3393" t="s">
        <v>361</v>
      </c>
    </row>
    <row r="3394" spans="1:14">
      <c r="A3394" t="s">
        <v>29</v>
      </c>
      <c r="B3394">
        <v>1185732</v>
      </c>
      <c r="C3394" s="2">
        <v>44206</v>
      </c>
      <c r="D3394" t="s">
        <v>137</v>
      </c>
      <c r="E3394" t="s">
        <v>241</v>
      </c>
      <c r="F3394" t="s">
        <v>250</v>
      </c>
      <c r="G3394" t="s">
        <v>147</v>
      </c>
      <c r="H3394" s="3">
        <v>0.45</v>
      </c>
      <c r="I3394">
        <v>1750</v>
      </c>
      <c r="J3394" s="4">
        <v>787.5</v>
      </c>
      <c r="K3394" s="4">
        <v>236.25</v>
      </c>
      <c r="L3394" s="5">
        <v>0.3</v>
      </c>
      <c r="M3394" t="s">
        <v>125</v>
      </c>
      <c r="N3394" t="s">
        <v>361</v>
      </c>
    </row>
    <row r="3395" spans="1:14">
      <c r="A3395" t="s">
        <v>29</v>
      </c>
      <c r="B3395">
        <v>1185732</v>
      </c>
      <c r="C3395" s="2">
        <v>44206</v>
      </c>
      <c r="D3395" t="s">
        <v>137</v>
      </c>
      <c r="E3395" t="s">
        <v>241</v>
      </c>
      <c r="F3395" t="s">
        <v>250</v>
      </c>
      <c r="G3395" t="s">
        <v>144</v>
      </c>
      <c r="H3395" s="3">
        <v>0.35000000000000003</v>
      </c>
      <c r="I3395">
        <v>2750</v>
      </c>
      <c r="J3395" s="4">
        <v>962.50000000000011</v>
      </c>
      <c r="K3395" s="4">
        <v>385.00000000000006</v>
      </c>
      <c r="L3395" s="5">
        <v>0.4</v>
      </c>
      <c r="M3395" t="s">
        <v>125</v>
      </c>
      <c r="N3395" t="s">
        <v>361</v>
      </c>
    </row>
    <row r="3396" spans="1:14">
      <c r="A3396" t="s">
        <v>29</v>
      </c>
      <c r="B3396">
        <v>1185732</v>
      </c>
      <c r="C3396" s="2">
        <v>44235</v>
      </c>
      <c r="D3396" t="s">
        <v>137</v>
      </c>
      <c r="E3396" t="s">
        <v>241</v>
      </c>
      <c r="F3396" t="s">
        <v>250</v>
      </c>
      <c r="G3396" t="s">
        <v>27</v>
      </c>
      <c r="H3396" s="3">
        <v>0.35000000000000003</v>
      </c>
      <c r="I3396">
        <v>5250</v>
      </c>
      <c r="J3396" s="4">
        <v>1837.5000000000002</v>
      </c>
      <c r="K3396" s="4">
        <v>643.125</v>
      </c>
      <c r="L3396" s="5">
        <v>0.35</v>
      </c>
      <c r="M3396" t="s">
        <v>126</v>
      </c>
      <c r="N3396" t="s">
        <v>361</v>
      </c>
    </row>
    <row r="3397" spans="1:14">
      <c r="A3397" t="s">
        <v>29</v>
      </c>
      <c r="B3397">
        <v>1185732</v>
      </c>
      <c r="C3397" s="2">
        <v>44235</v>
      </c>
      <c r="D3397" t="s">
        <v>137</v>
      </c>
      <c r="E3397" t="s">
        <v>241</v>
      </c>
      <c r="F3397" t="s">
        <v>250</v>
      </c>
      <c r="G3397" t="s">
        <v>145</v>
      </c>
      <c r="H3397" s="3">
        <v>0.35000000000000003</v>
      </c>
      <c r="I3397">
        <v>1750</v>
      </c>
      <c r="J3397" s="4">
        <v>612.50000000000011</v>
      </c>
      <c r="K3397" s="4">
        <v>214.37500000000003</v>
      </c>
      <c r="L3397" s="5">
        <v>0.35</v>
      </c>
      <c r="M3397" t="s">
        <v>126</v>
      </c>
      <c r="N3397" t="s">
        <v>361</v>
      </c>
    </row>
    <row r="3398" spans="1:14">
      <c r="A3398" t="s">
        <v>29</v>
      </c>
      <c r="B3398">
        <v>1185732</v>
      </c>
      <c r="C3398" s="2">
        <v>44235</v>
      </c>
      <c r="D3398" t="s">
        <v>137</v>
      </c>
      <c r="E3398" t="s">
        <v>241</v>
      </c>
      <c r="F3398" t="s">
        <v>250</v>
      </c>
      <c r="G3398" t="s">
        <v>146</v>
      </c>
      <c r="H3398" s="3">
        <v>0.25000000000000006</v>
      </c>
      <c r="I3398">
        <v>2250</v>
      </c>
      <c r="J3398" s="4">
        <v>562.50000000000011</v>
      </c>
      <c r="K3398" s="4">
        <v>225.00000000000006</v>
      </c>
      <c r="L3398" s="5">
        <v>0.4</v>
      </c>
      <c r="M3398" t="s">
        <v>126</v>
      </c>
      <c r="N3398" t="s">
        <v>361</v>
      </c>
    </row>
    <row r="3399" spans="1:14">
      <c r="A3399" t="s">
        <v>29</v>
      </c>
      <c r="B3399">
        <v>1185732</v>
      </c>
      <c r="C3399" s="2">
        <v>44235</v>
      </c>
      <c r="D3399" t="s">
        <v>137</v>
      </c>
      <c r="E3399" t="s">
        <v>241</v>
      </c>
      <c r="F3399" t="s">
        <v>250</v>
      </c>
      <c r="G3399" t="s">
        <v>148</v>
      </c>
      <c r="H3399" s="3">
        <v>0.3</v>
      </c>
      <c r="I3399">
        <v>1000</v>
      </c>
      <c r="J3399" s="4">
        <v>300</v>
      </c>
      <c r="K3399" s="4">
        <v>120</v>
      </c>
      <c r="L3399" s="5">
        <v>0.4</v>
      </c>
      <c r="M3399" t="s">
        <v>126</v>
      </c>
      <c r="N3399" t="s">
        <v>361</v>
      </c>
    </row>
    <row r="3400" spans="1:14">
      <c r="A3400" t="s">
        <v>29</v>
      </c>
      <c r="B3400">
        <v>1185732</v>
      </c>
      <c r="C3400" s="2">
        <v>44235</v>
      </c>
      <c r="D3400" t="s">
        <v>137</v>
      </c>
      <c r="E3400" t="s">
        <v>241</v>
      </c>
      <c r="F3400" t="s">
        <v>250</v>
      </c>
      <c r="G3400" t="s">
        <v>147</v>
      </c>
      <c r="H3400" s="3">
        <v>0.45</v>
      </c>
      <c r="I3400">
        <v>1750</v>
      </c>
      <c r="J3400" s="4">
        <v>787.5</v>
      </c>
      <c r="K3400" s="4">
        <v>236.25</v>
      </c>
      <c r="L3400" s="5">
        <v>0.3</v>
      </c>
      <c r="M3400" t="s">
        <v>126</v>
      </c>
      <c r="N3400" t="s">
        <v>361</v>
      </c>
    </row>
    <row r="3401" spans="1:14">
      <c r="A3401" t="s">
        <v>29</v>
      </c>
      <c r="B3401">
        <v>1185732</v>
      </c>
      <c r="C3401" s="2">
        <v>44235</v>
      </c>
      <c r="D3401" t="s">
        <v>137</v>
      </c>
      <c r="E3401" t="s">
        <v>241</v>
      </c>
      <c r="F3401" t="s">
        <v>250</v>
      </c>
      <c r="G3401" t="s">
        <v>144</v>
      </c>
      <c r="H3401" s="3">
        <v>0.35000000000000003</v>
      </c>
      <c r="I3401">
        <v>2750</v>
      </c>
      <c r="J3401" s="4">
        <v>962.50000000000011</v>
      </c>
      <c r="K3401" s="4">
        <v>385.00000000000006</v>
      </c>
      <c r="L3401" s="5">
        <v>0.4</v>
      </c>
      <c r="M3401" t="s">
        <v>126</v>
      </c>
      <c r="N3401" t="s">
        <v>361</v>
      </c>
    </row>
    <row r="3402" spans="1:14">
      <c r="A3402" t="s">
        <v>29</v>
      </c>
      <c r="B3402">
        <v>1185732</v>
      </c>
      <c r="C3402" s="2">
        <v>44261</v>
      </c>
      <c r="D3402" t="s">
        <v>137</v>
      </c>
      <c r="E3402" t="s">
        <v>241</v>
      </c>
      <c r="F3402" t="s">
        <v>250</v>
      </c>
      <c r="G3402" t="s">
        <v>27</v>
      </c>
      <c r="H3402" s="3">
        <v>0.35000000000000003</v>
      </c>
      <c r="I3402">
        <v>4950</v>
      </c>
      <c r="J3402" s="4">
        <v>1732.5000000000002</v>
      </c>
      <c r="K3402" s="4">
        <v>606.375</v>
      </c>
      <c r="L3402" s="5">
        <v>0.35</v>
      </c>
      <c r="M3402" t="s">
        <v>24</v>
      </c>
      <c r="N3402" t="s">
        <v>361</v>
      </c>
    </row>
    <row r="3403" spans="1:14">
      <c r="A3403" t="s">
        <v>29</v>
      </c>
      <c r="B3403">
        <v>1185732</v>
      </c>
      <c r="C3403" s="2">
        <v>44261</v>
      </c>
      <c r="D3403" t="s">
        <v>137</v>
      </c>
      <c r="E3403" t="s">
        <v>241</v>
      </c>
      <c r="F3403" t="s">
        <v>250</v>
      </c>
      <c r="G3403" t="s">
        <v>145</v>
      </c>
      <c r="H3403" s="3">
        <v>0.35000000000000003</v>
      </c>
      <c r="I3403">
        <v>2000</v>
      </c>
      <c r="J3403" s="4">
        <v>700.00000000000011</v>
      </c>
      <c r="K3403" s="4">
        <v>245.00000000000003</v>
      </c>
      <c r="L3403" s="5">
        <v>0.35</v>
      </c>
      <c r="M3403" t="s">
        <v>24</v>
      </c>
      <c r="N3403" t="s">
        <v>361</v>
      </c>
    </row>
    <row r="3404" spans="1:14">
      <c r="A3404" t="s">
        <v>29</v>
      </c>
      <c r="B3404">
        <v>1185732</v>
      </c>
      <c r="C3404" s="2">
        <v>44261</v>
      </c>
      <c r="D3404" t="s">
        <v>137</v>
      </c>
      <c r="E3404" t="s">
        <v>241</v>
      </c>
      <c r="F3404" t="s">
        <v>250</v>
      </c>
      <c r="G3404" t="s">
        <v>146</v>
      </c>
      <c r="H3404" s="3">
        <v>0.25000000000000006</v>
      </c>
      <c r="I3404">
        <v>2250</v>
      </c>
      <c r="J3404" s="4">
        <v>562.50000000000011</v>
      </c>
      <c r="K3404" s="4">
        <v>225.00000000000006</v>
      </c>
      <c r="L3404" s="5">
        <v>0.4</v>
      </c>
      <c r="M3404" t="s">
        <v>24</v>
      </c>
      <c r="N3404" t="s">
        <v>361</v>
      </c>
    </row>
    <row r="3405" spans="1:14">
      <c r="A3405" t="s">
        <v>29</v>
      </c>
      <c r="B3405">
        <v>1185732</v>
      </c>
      <c r="C3405" s="2">
        <v>44261</v>
      </c>
      <c r="D3405" t="s">
        <v>137</v>
      </c>
      <c r="E3405" t="s">
        <v>241</v>
      </c>
      <c r="F3405" t="s">
        <v>250</v>
      </c>
      <c r="G3405" t="s">
        <v>148</v>
      </c>
      <c r="H3405" s="3">
        <v>0.3</v>
      </c>
      <c r="I3405">
        <v>750</v>
      </c>
      <c r="J3405" s="4">
        <v>225</v>
      </c>
      <c r="K3405" s="4">
        <v>90</v>
      </c>
      <c r="L3405" s="5">
        <v>0.4</v>
      </c>
      <c r="M3405" t="s">
        <v>24</v>
      </c>
      <c r="N3405" t="s">
        <v>361</v>
      </c>
    </row>
    <row r="3406" spans="1:14">
      <c r="A3406" t="s">
        <v>29</v>
      </c>
      <c r="B3406">
        <v>1185732</v>
      </c>
      <c r="C3406" s="2">
        <v>44261</v>
      </c>
      <c r="D3406" t="s">
        <v>137</v>
      </c>
      <c r="E3406" t="s">
        <v>241</v>
      </c>
      <c r="F3406" t="s">
        <v>250</v>
      </c>
      <c r="G3406" t="s">
        <v>147</v>
      </c>
      <c r="H3406" s="3">
        <v>0.45</v>
      </c>
      <c r="I3406">
        <v>1250</v>
      </c>
      <c r="J3406" s="4">
        <v>562.5</v>
      </c>
      <c r="K3406" s="4">
        <v>168.75</v>
      </c>
      <c r="L3406" s="5">
        <v>0.3</v>
      </c>
      <c r="M3406" t="s">
        <v>24</v>
      </c>
      <c r="N3406" t="s">
        <v>361</v>
      </c>
    </row>
    <row r="3407" spans="1:14">
      <c r="A3407" t="s">
        <v>29</v>
      </c>
      <c r="B3407">
        <v>1185732</v>
      </c>
      <c r="C3407" s="2">
        <v>44261</v>
      </c>
      <c r="D3407" t="s">
        <v>137</v>
      </c>
      <c r="E3407" t="s">
        <v>241</v>
      </c>
      <c r="F3407" t="s">
        <v>250</v>
      </c>
      <c r="G3407" t="s">
        <v>144</v>
      </c>
      <c r="H3407" s="3">
        <v>0.35000000000000003</v>
      </c>
      <c r="I3407">
        <v>2250</v>
      </c>
      <c r="J3407" s="4">
        <v>787.50000000000011</v>
      </c>
      <c r="K3407" s="4">
        <v>315.00000000000006</v>
      </c>
      <c r="L3407" s="5">
        <v>0.4</v>
      </c>
      <c r="M3407" t="s">
        <v>24</v>
      </c>
      <c r="N3407" t="s">
        <v>361</v>
      </c>
    </row>
    <row r="3408" spans="1:14">
      <c r="A3408" t="s">
        <v>29</v>
      </c>
      <c r="B3408">
        <v>1185732</v>
      </c>
      <c r="C3408" s="2">
        <v>44293</v>
      </c>
      <c r="D3408" t="s">
        <v>137</v>
      </c>
      <c r="E3408" t="s">
        <v>241</v>
      </c>
      <c r="F3408" t="s">
        <v>250</v>
      </c>
      <c r="G3408" t="s">
        <v>27</v>
      </c>
      <c r="H3408" s="3">
        <v>0.35000000000000003</v>
      </c>
      <c r="I3408">
        <v>4750</v>
      </c>
      <c r="J3408" s="4">
        <v>1662.5000000000002</v>
      </c>
      <c r="K3408" s="4">
        <v>581.875</v>
      </c>
      <c r="L3408" s="5">
        <v>0.35</v>
      </c>
      <c r="M3408" t="s">
        <v>127</v>
      </c>
      <c r="N3408" t="s">
        <v>362</v>
      </c>
    </row>
    <row r="3409" spans="1:14">
      <c r="A3409" t="s">
        <v>29</v>
      </c>
      <c r="B3409">
        <v>1185732</v>
      </c>
      <c r="C3409" s="2">
        <v>44293</v>
      </c>
      <c r="D3409" t="s">
        <v>137</v>
      </c>
      <c r="E3409" t="s">
        <v>241</v>
      </c>
      <c r="F3409" t="s">
        <v>250</v>
      </c>
      <c r="G3409" t="s">
        <v>145</v>
      </c>
      <c r="H3409" s="3">
        <v>0.35000000000000003</v>
      </c>
      <c r="I3409">
        <v>1750</v>
      </c>
      <c r="J3409" s="4">
        <v>612.50000000000011</v>
      </c>
      <c r="K3409" s="4">
        <v>214.37500000000003</v>
      </c>
      <c r="L3409" s="5">
        <v>0.35</v>
      </c>
      <c r="M3409" t="s">
        <v>127</v>
      </c>
      <c r="N3409" t="s">
        <v>362</v>
      </c>
    </row>
    <row r="3410" spans="1:14">
      <c r="A3410" t="s">
        <v>29</v>
      </c>
      <c r="B3410">
        <v>1185732</v>
      </c>
      <c r="C3410" s="2">
        <v>44293</v>
      </c>
      <c r="D3410" t="s">
        <v>137</v>
      </c>
      <c r="E3410" t="s">
        <v>241</v>
      </c>
      <c r="F3410" t="s">
        <v>250</v>
      </c>
      <c r="G3410" t="s">
        <v>146</v>
      </c>
      <c r="H3410" s="3">
        <v>0.25000000000000006</v>
      </c>
      <c r="I3410">
        <v>1750</v>
      </c>
      <c r="J3410" s="4">
        <v>437.50000000000011</v>
      </c>
      <c r="K3410" s="4">
        <v>175.00000000000006</v>
      </c>
      <c r="L3410" s="5">
        <v>0.4</v>
      </c>
      <c r="M3410" t="s">
        <v>127</v>
      </c>
      <c r="N3410" t="s">
        <v>362</v>
      </c>
    </row>
    <row r="3411" spans="1:14">
      <c r="A3411" t="s">
        <v>29</v>
      </c>
      <c r="B3411">
        <v>1185732</v>
      </c>
      <c r="C3411" s="2">
        <v>44293</v>
      </c>
      <c r="D3411" t="s">
        <v>137</v>
      </c>
      <c r="E3411" t="s">
        <v>241</v>
      </c>
      <c r="F3411" t="s">
        <v>250</v>
      </c>
      <c r="G3411" t="s">
        <v>148</v>
      </c>
      <c r="H3411" s="3">
        <v>0.3</v>
      </c>
      <c r="I3411">
        <v>1000</v>
      </c>
      <c r="J3411" s="4">
        <v>300</v>
      </c>
      <c r="K3411" s="4">
        <v>120</v>
      </c>
      <c r="L3411" s="5">
        <v>0.4</v>
      </c>
      <c r="M3411" t="s">
        <v>127</v>
      </c>
      <c r="N3411" t="s">
        <v>362</v>
      </c>
    </row>
    <row r="3412" spans="1:14">
      <c r="A3412" t="s">
        <v>29</v>
      </c>
      <c r="B3412">
        <v>1185732</v>
      </c>
      <c r="C3412" s="2">
        <v>44293</v>
      </c>
      <c r="D3412" t="s">
        <v>137</v>
      </c>
      <c r="E3412" t="s">
        <v>241</v>
      </c>
      <c r="F3412" t="s">
        <v>250</v>
      </c>
      <c r="G3412" t="s">
        <v>147</v>
      </c>
      <c r="H3412" s="3">
        <v>0.45</v>
      </c>
      <c r="I3412">
        <v>1000</v>
      </c>
      <c r="J3412" s="4">
        <v>450</v>
      </c>
      <c r="K3412" s="4">
        <v>135</v>
      </c>
      <c r="L3412" s="5">
        <v>0.3</v>
      </c>
      <c r="M3412" t="s">
        <v>127</v>
      </c>
      <c r="N3412" t="s">
        <v>362</v>
      </c>
    </row>
    <row r="3413" spans="1:14">
      <c r="A3413" t="s">
        <v>29</v>
      </c>
      <c r="B3413">
        <v>1185732</v>
      </c>
      <c r="C3413" s="2">
        <v>44293</v>
      </c>
      <c r="D3413" t="s">
        <v>137</v>
      </c>
      <c r="E3413" t="s">
        <v>241</v>
      </c>
      <c r="F3413" t="s">
        <v>250</v>
      </c>
      <c r="G3413" t="s">
        <v>144</v>
      </c>
      <c r="H3413" s="3">
        <v>0.35000000000000003</v>
      </c>
      <c r="I3413">
        <v>2500</v>
      </c>
      <c r="J3413" s="4">
        <v>875.00000000000011</v>
      </c>
      <c r="K3413" s="4">
        <v>350.00000000000006</v>
      </c>
      <c r="L3413" s="5">
        <v>0.4</v>
      </c>
      <c r="M3413" t="s">
        <v>127</v>
      </c>
      <c r="N3413" t="s">
        <v>362</v>
      </c>
    </row>
    <row r="3414" spans="1:14">
      <c r="A3414" t="s">
        <v>29</v>
      </c>
      <c r="B3414">
        <v>1185732</v>
      </c>
      <c r="C3414" s="2">
        <v>44322</v>
      </c>
      <c r="D3414" t="s">
        <v>137</v>
      </c>
      <c r="E3414" t="s">
        <v>241</v>
      </c>
      <c r="F3414" t="s">
        <v>250</v>
      </c>
      <c r="G3414" t="s">
        <v>27</v>
      </c>
      <c r="H3414" s="3">
        <v>0.49999999999999994</v>
      </c>
      <c r="I3414">
        <v>5200</v>
      </c>
      <c r="J3414" s="4">
        <v>2599.9999999999995</v>
      </c>
      <c r="K3414" s="4">
        <v>909.99999999999977</v>
      </c>
      <c r="L3414" s="5">
        <v>0.35</v>
      </c>
      <c r="M3414" t="s">
        <v>128</v>
      </c>
      <c r="N3414" t="s">
        <v>362</v>
      </c>
    </row>
    <row r="3415" spans="1:14">
      <c r="A3415" t="s">
        <v>29</v>
      </c>
      <c r="B3415">
        <v>1185732</v>
      </c>
      <c r="C3415" s="2">
        <v>44322</v>
      </c>
      <c r="D3415" t="s">
        <v>137</v>
      </c>
      <c r="E3415" t="s">
        <v>241</v>
      </c>
      <c r="F3415" t="s">
        <v>250</v>
      </c>
      <c r="G3415" t="s">
        <v>145</v>
      </c>
      <c r="H3415" s="3">
        <v>0.45</v>
      </c>
      <c r="I3415">
        <v>2250</v>
      </c>
      <c r="J3415" s="4">
        <v>1012.5</v>
      </c>
      <c r="K3415" s="4">
        <v>354.375</v>
      </c>
      <c r="L3415" s="5">
        <v>0.35</v>
      </c>
      <c r="M3415" t="s">
        <v>128</v>
      </c>
      <c r="N3415" t="s">
        <v>362</v>
      </c>
    </row>
    <row r="3416" spans="1:14">
      <c r="A3416" t="s">
        <v>29</v>
      </c>
      <c r="B3416">
        <v>1185732</v>
      </c>
      <c r="C3416" s="2">
        <v>44322</v>
      </c>
      <c r="D3416" t="s">
        <v>137</v>
      </c>
      <c r="E3416" t="s">
        <v>241</v>
      </c>
      <c r="F3416" t="s">
        <v>250</v>
      </c>
      <c r="G3416" t="s">
        <v>146</v>
      </c>
      <c r="H3416" s="3">
        <v>0.4</v>
      </c>
      <c r="I3416">
        <v>2500</v>
      </c>
      <c r="J3416" s="4">
        <v>1000</v>
      </c>
      <c r="K3416" s="4">
        <v>400</v>
      </c>
      <c r="L3416" s="5">
        <v>0.4</v>
      </c>
      <c r="M3416" t="s">
        <v>128</v>
      </c>
      <c r="N3416" t="s">
        <v>362</v>
      </c>
    </row>
    <row r="3417" spans="1:14">
      <c r="A3417" t="s">
        <v>29</v>
      </c>
      <c r="B3417">
        <v>1185732</v>
      </c>
      <c r="C3417" s="2">
        <v>44322</v>
      </c>
      <c r="D3417" t="s">
        <v>137</v>
      </c>
      <c r="E3417" t="s">
        <v>241</v>
      </c>
      <c r="F3417" t="s">
        <v>250</v>
      </c>
      <c r="G3417" t="s">
        <v>148</v>
      </c>
      <c r="H3417" s="3">
        <v>0.4</v>
      </c>
      <c r="I3417">
        <v>2000</v>
      </c>
      <c r="J3417" s="4">
        <v>800</v>
      </c>
      <c r="K3417" s="4">
        <v>320</v>
      </c>
      <c r="L3417" s="5">
        <v>0.4</v>
      </c>
      <c r="M3417" t="s">
        <v>128</v>
      </c>
      <c r="N3417" t="s">
        <v>362</v>
      </c>
    </row>
    <row r="3418" spans="1:14">
      <c r="A3418" t="s">
        <v>29</v>
      </c>
      <c r="B3418">
        <v>1185732</v>
      </c>
      <c r="C3418" s="2">
        <v>44322</v>
      </c>
      <c r="D3418" t="s">
        <v>137</v>
      </c>
      <c r="E3418" t="s">
        <v>241</v>
      </c>
      <c r="F3418" t="s">
        <v>250</v>
      </c>
      <c r="G3418" t="s">
        <v>147</v>
      </c>
      <c r="H3418" s="3">
        <v>0.49999999999999994</v>
      </c>
      <c r="I3418">
        <v>2250</v>
      </c>
      <c r="J3418" s="4">
        <v>1124.9999999999998</v>
      </c>
      <c r="K3418" s="4">
        <v>337.49999999999994</v>
      </c>
      <c r="L3418" s="5">
        <v>0.3</v>
      </c>
      <c r="M3418" t="s">
        <v>128</v>
      </c>
      <c r="N3418" t="s">
        <v>362</v>
      </c>
    </row>
    <row r="3419" spans="1:14">
      <c r="A3419" t="s">
        <v>29</v>
      </c>
      <c r="B3419">
        <v>1185732</v>
      </c>
      <c r="C3419" s="2">
        <v>44322</v>
      </c>
      <c r="D3419" t="s">
        <v>137</v>
      </c>
      <c r="E3419" t="s">
        <v>241</v>
      </c>
      <c r="F3419" t="s">
        <v>250</v>
      </c>
      <c r="G3419" t="s">
        <v>144</v>
      </c>
      <c r="H3419" s="3">
        <v>0.54999999999999993</v>
      </c>
      <c r="I3419">
        <v>3500</v>
      </c>
      <c r="J3419" s="4">
        <v>1924.9999999999998</v>
      </c>
      <c r="K3419" s="4">
        <v>770</v>
      </c>
      <c r="L3419" s="5">
        <v>0.4</v>
      </c>
      <c r="M3419" t="s">
        <v>128</v>
      </c>
      <c r="N3419" t="s">
        <v>362</v>
      </c>
    </row>
    <row r="3420" spans="1:14">
      <c r="A3420" t="s">
        <v>29</v>
      </c>
      <c r="B3420">
        <v>1185732</v>
      </c>
      <c r="C3420" s="2">
        <v>44355</v>
      </c>
      <c r="D3420" t="s">
        <v>137</v>
      </c>
      <c r="E3420" t="s">
        <v>241</v>
      </c>
      <c r="F3420" t="s">
        <v>250</v>
      </c>
      <c r="G3420" t="s">
        <v>27</v>
      </c>
      <c r="H3420" s="3">
        <v>0.49999999999999994</v>
      </c>
      <c r="I3420">
        <v>6000</v>
      </c>
      <c r="J3420" s="4">
        <v>2999.9999999999995</v>
      </c>
      <c r="K3420" s="4">
        <v>1049.9999999999998</v>
      </c>
      <c r="L3420" s="5">
        <v>0.35</v>
      </c>
      <c r="M3420" t="s">
        <v>129</v>
      </c>
      <c r="N3420" t="s">
        <v>362</v>
      </c>
    </row>
    <row r="3421" spans="1:14">
      <c r="A3421" t="s">
        <v>29</v>
      </c>
      <c r="B3421">
        <v>1185732</v>
      </c>
      <c r="C3421" s="2">
        <v>44355</v>
      </c>
      <c r="D3421" t="s">
        <v>137</v>
      </c>
      <c r="E3421" t="s">
        <v>241</v>
      </c>
      <c r="F3421" t="s">
        <v>250</v>
      </c>
      <c r="G3421" t="s">
        <v>145</v>
      </c>
      <c r="H3421" s="3">
        <v>0.45</v>
      </c>
      <c r="I3421">
        <v>3500</v>
      </c>
      <c r="J3421" s="4">
        <v>1575</v>
      </c>
      <c r="K3421" s="4">
        <v>551.25</v>
      </c>
      <c r="L3421" s="5">
        <v>0.35</v>
      </c>
      <c r="M3421" t="s">
        <v>129</v>
      </c>
      <c r="N3421" t="s">
        <v>362</v>
      </c>
    </row>
    <row r="3422" spans="1:14">
      <c r="A3422" t="s">
        <v>29</v>
      </c>
      <c r="B3422">
        <v>1185732</v>
      </c>
      <c r="C3422" s="2">
        <v>44355</v>
      </c>
      <c r="D3422" t="s">
        <v>137</v>
      </c>
      <c r="E3422" t="s">
        <v>241</v>
      </c>
      <c r="F3422" t="s">
        <v>250</v>
      </c>
      <c r="G3422" t="s">
        <v>146</v>
      </c>
      <c r="H3422" s="3">
        <v>0.4</v>
      </c>
      <c r="I3422">
        <v>2750</v>
      </c>
      <c r="J3422" s="4">
        <v>1100</v>
      </c>
      <c r="K3422" s="4">
        <v>440</v>
      </c>
      <c r="L3422" s="5">
        <v>0.4</v>
      </c>
      <c r="M3422" t="s">
        <v>129</v>
      </c>
      <c r="N3422" t="s">
        <v>362</v>
      </c>
    </row>
    <row r="3423" spans="1:14">
      <c r="A3423" t="s">
        <v>29</v>
      </c>
      <c r="B3423">
        <v>1185732</v>
      </c>
      <c r="C3423" s="2">
        <v>44355</v>
      </c>
      <c r="D3423" t="s">
        <v>137</v>
      </c>
      <c r="E3423" t="s">
        <v>241</v>
      </c>
      <c r="F3423" t="s">
        <v>250</v>
      </c>
      <c r="G3423" t="s">
        <v>148</v>
      </c>
      <c r="H3423" s="3">
        <v>0.4</v>
      </c>
      <c r="I3423">
        <v>2500</v>
      </c>
      <c r="J3423" s="4">
        <v>1000</v>
      </c>
      <c r="K3423" s="4">
        <v>400</v>
      </c>
      <c r="L3423" s="5">
        <v>0.4</v>
      </c>
      <c r="M3423" t="s">
        <v>129</v>
      </c>
      <c r="N3423" t="s">
        <v>362</v>
      </c>
    </row>
    <row r="3424" spans="1:14">
      <c r="A3424" t="s">
        <v>29</v>
      </c>
      <c r="B3424">
        <v>1185732</v>
      </c>
      <c r="C3424" s="2">
        <v>44355</v>
      </c>
      <c r="D3424" t="s">
        <v>137</v>
      </c>
      <c r="E3424" t="s">
        <v>241</v>
      </c>
      <c r="F3424" t="s">
        <v>250</v>
      </c>
      <c r="G3424" t="s">
        <v>147</v>
      </c>
      <c r="H3424" s="3">
        <v>0.49999999999999994</v>
      </c>
      <c r="I3424">
        <v>2500</v>
      </c>
      <c r="J3424" s="4">
        <v>1249.9999999999998</v>
      </c>
      <c r="K3424" s="4">
        <v>374.99999999999994</v>
      </c>
      <c r="L3424" s="5">
        <v>0.3</v>
      </c>
      <c r="M3424" t="s">
        <v>129</v>
      </c>
      <c r="N3424" t="s">
        <v>362</v>
      </c>
    </row>
    <row r="3425" spans="1:14">
      <c r="A3425" t="s">
        <v>29</v>
      </c>
      <c r="B3425">
        <v>1185732</v>
      </c>
      <c r="C3425" s="2">
        <v>44355</v>
      </c>
      <c r="D3425" t="s">
        <v>137</v>
      </c>
      <c r="E3425" t="s">
        <v>241</v>
      </c>
      <c r="F3425" t="s">
        <v>250</v>
      </c>
      <c r="G3425" t="s">
        <v>144</v>
      </c>
      <c r="H3425" s="3">
        <v>0.54999999999999993</v>
      </c>
      <c r="I3425">
        <v>4000</v>
      </c>
      <c r="J3425" s="4">
        <v>2199.9999999999995</v>
      </c>
      <c r="K3425" s="4">
        <v>879.99999999999989</v>
      </c>
      <c r="L3425" s="5">
        <v>0.4</v>
      </c>
      <c r="M3425" t="s">
        <v>129</v>
      </c>
      <c r="N3425" t="s">
        <v>362</v>
      </c>
    </row>
    <row r="3426" spans="1:14">
      <c r="A3426" t="s">
        <v>29</v>
      </c>
      <c r="B3426">
        <v>1185732</v>
      </c>
      <c r="C3426" s="2">
        <v>44383</v>
      </c>
      <c r="D3426" t="s">
        <v>137</v>
      </c>
      <c r="E3426" t="s">
        <v>241</v>
      </c>
      <c r="F3426" t="s">
        <v>250</v>
      </c>
      <c r="G3426" t="s">
        <v>27</v>
      </c>
      <c r="H3426" s="3">
        <v>0.49999999999999994</v>
      </c>
      <c r="I3426">
        <v>6250</v>
      </c>
      <c r="J3426" s="4">
        <v>3124.9999999999995</v>
      </c>
      <c r="K3426" s="4">
        <v>1093.7499999999998</v>
      </c>
      <c r="L3426" s="5">
        <v>0.35</v>
      </c>
      <c r="M3426" t="s">
        <v>130</v>
      </c>
      <c r="N3426" t="s">
        <v>363</v>
      </c>
    </row>
    <row r="3427" spans="1:14">
      <c r="A3427" t="s">
        <v>29</v>
      </c>
      <c r="B3427">
        <v>1185732</v>
      </c>
      <c r="C3427" s="2">
        <v>44383</v>
      </c>
      <c r="D3427" t="s">
        <v>137</v>
      </c>
      <c r="E3427" t="s">
        <v>241</v>
      </c>
      <c r="F3427" t="s">
        <v>250</v>
      </c>
      <c r="G3427" t="s">
        <v>145</v>
      </c>
      <c r="H3427" s="3">
        <v>0.45</v>
      </c>
      <c r="I3427">
        <v>3750</v>
      </c>
      <c r="J3427" s="4">
        <v>1687.5</v>
      </c>
      <c r="K3427" s="4">
        <v>590.625</v>
      </c>
      <c r="L3427" s="5">
        <v>0.35</v>
      </c>
      <c r="M3427" t="s">
        <v>130</v>
      </c>
      <c r="N3427" t="s">
        <v>363</v>
      </c>
    </row>
    <row r="3428" spans="1:14">
      <c r="A3428" t="s">
        <v>29</v>
      </c>
      <c r="B3428">
        <v>1185732</v>
      </c>
      <c r="C3428" s="2">
        <v>44383</v>
      </c>
      <c r="D3428" t="s">
        <v>137</v>
      </c>
      <c r="E3428" t="s">
        <v>241</v>
      </c>
      <c r="F3428" t="s">
        <v>250</v>
      </c>
      <c r="G3428" t="s">
        <v>146</v>
      </c>
      <c r="H3428" s="3">
        <v>0.4</v>
      </c>
      <c r="I3428">
        <v>3000</v>
      </c>
      <c r="J3428" s="4">
        <v>1200</v>
      </c>
      <c r="K3428" s="4">
        <v>480</v>
      </c>
      <c r="L3428" s="5">
        <v>0.4</v>
      </c>
      <c r="M3428" t="s">
        <v>130</v>
      </c>
      <c r="N3428" t="s">
        <v>363</v>
      </c>
    </row>
    <row r="3429" spans="1:14">
      <c r="A3429" t="s">
        <v>29</v>
      </c>
      <c r="B3429">
        <v>1185732</v>
      </c>
      <c r="C3429" s="2">
        <v>44383</v>
      </c>
      <c r="D3429" t="s">
        <v>137</v>
      </c>
      <c r="E3429" t="s">
        <v>241</v>
      </c>
      <c r="F3429" t="s">
        <v>250</v>
      </c>
      <c r="G3429" t="s">
        <v>148</v>
      </c>
      <c r="H3429" s="3">
        <v>0.4</v>
      </c>
      <c r="I3429">
        <v>2500</v>
      </c>
      <c r="J3429" s="4">
        <v>1000</v>
      </c>
      <c r="K3429" s="4">
        <v>400</v>
      </c>
      <c r="L3429" s="5">
        <v>0.4</v>
      </c>
      <c r="M3429" t="s">
        <v>130</v>
      </c>
      <c r="N3429" t="s">
        <v>363</v>
      </c>
    </row>
    <row r="3430" spans="1:14">
      <c r="A3430" t="s">
        <v>29</v>
      </c>
      <c r="B3430">
        <v>1185732</v>
      </c>
      <c r="C3430" s="2">
        <v>44383</v>
      </c>
      <c r="D3430" t="s">
        <v>137</v>
      </c>
      <c r="E3430" t="s">
        <v>241</v>
      </c>
      <c r="F3430" t="s">
        <v>250</v>
      </c>
      <c r="G3430" t="s">
        <v>147</v>
      </c>
      <c r="H3430" s="3">
        <v>0.49999999999999994</v>
      </c>
      <c r="I3430">
        <v>2750</v>
      </c>
      <c r="J3430" s="4">
        <v>1374.9999999999998</v>
      </c>
      <c r="K3430" s="4">
        <v>412.49999999999994</v>
      </c>
      <c r="L3430" s="5">
        <v>0.3</v>
      </c>
      <c r="M3430" t="s">
        <v>130</v>
      </c>
      <c r="N3430" t="s">
        <v>363</v>
      </c>
    </row>
    <row r="3431" spans="1:14">
      <c r="A3431" t="s">
        <v>29</v>
      </c>
      <c r="B3431">
        <v>1185732</v>
      </c>
      <c r="C3431" s="2">
        <v>44383</v>
      </c>
      <c r="D3431" t="s">
        <v>137</v>
      </c>
      <c r="E3431" t="s">
        <v>241</v>
      </c>
      <c r="F3431" t="s">
        <v>250</v>
      </c>
      <c r="G3431" t="s">
        <v>144</v>
      </c>
      <c r="H3431" s="3">
        <v>0.54999999999999993</v>
      </c>
      <c r="I3431">
        <v>4500</v>
      </c>
      <c r="J3431" s="4">
        <v>2474.9999999999995</v>
      </c>
      <c r="K3431" s="4">
        <v>989.99999999999989</v>
      </c>
      <c r="L3431" s="5">
        <v>0.4</v>
      </c>
      <c r="M3431" t="s">
        <v>130</v>
      </c>
      <c r="N3431" t="s">
        <v>363</v>
      </c>
    </row>
    <row r="3432" spans="1:14">
      <c r="A3432" t="s">
        <v>29</v>
      </c>
      <c r="B3432">
        <v>1185732</v>
      </c>
      <c r="C3432" s="2">
        <v>44415</v>
      </c>
      <c r="D3432" t="s">
        <v>137</v>
      </c>
      <c r="E3432" t="s">
        <v>241</v>
      </c>
      <c r="F3432" t="s">
        <v>250</v>
      </c>
      <c r="G3432" t="s">
        <v>27</v>
      </c>
      <c r="H3432" s="3">
        <v>0.49999999999999994</v>
      </c>
      <c r="I3432">
        <v>6000</v>
      </c>
      <c r="J3432" s="4">
        <v>2999.9999999999995</v>
      </c>
      <c r="K3432" s="4">
        <v>1049.9999999999998</v>
      </c>
      <c r="L3432" s="5">
        <v>0.35</v>
      </c>
      <c r="M3432" t="s">
        <v>131</v>
      </c>
      <c r="N3432" t="s">
        <v>363</v>
      </c>
    </row>
    <row r="3433" spans="1:14">
      <c r="A3433" t="s">
        <v>29</v>
      </c>
      <c r="B3433">
        <v>1185732</v>
      </c>
      <c r="C3433" s="2">
        <v>44415</v>
      </c>
      <c r="D3433" t="s">
        <v>137</v>
      </c>
      <c r="E3433" t="s">
        <v>241</v>
      </c>
      <c r="F3433" t="s">
        <v>250</v>
      </c>
      <c r="G3433" t="s">
        <v>145</v>
      </c>
      <c r="H3433" s="3">
        <v>0.45</v>
      </c>
      <c r="I3433">
        <v>3750</v>
      </c>
      <c r="J3433" s="4">
        <v>1687.5</v>
      </c>
      <c r="K3433" s="4">
        <v>590.625</v>
      </c>
      <c r="L3433" s="5">
        <v>0.35</v>
      </c>
      <c r="M3433" t="s">
        <v>131</v>
      </c>
      <c r="N3433" t="s">
        <v>363</v>
      </c>
    </row>
    <row r="3434" spans="1:14">
      <c r="A3434" t="s">
        <v>29</v>
      </c>
      <c r="B3434">
        <v>1185732</v>
      </c>
      <c r="C3434" s="2">
        <v>44415</v>
      </c>
      <c r="D3434" t="s">
        <v>137</v>
      </c>
      <c r="E3434" t="s">
        <v>241</v>
      </c>
      <c r="F3434" t="s">
        <v>250</v>
      </c>
      <c r="G3434" t="s">
        <v>146</v>
      </c>
      <c r="H3434" s="3">
        <v>0.4</v>
      </c>
      <c r="I3434">
        <v>3000</v>
      </c>
      <c r="J3434" s="4">
        <v>1200</v>
      </c>
      <c r="K3434" s="4">
        <v>480</v>
      </c>
      <c r="L3434" s="5">
        <v>0.4</v>
      </c>
      <c r="M3434" t="s">
        <v>131</v>
      </c>
      <c r="N3434" t="s">
        <v>363</v>
      </c>
    </row>
    <row r="3435" spans="1:14">
      <c r="A3435" t="s">
        <v>29</v>
      </c>
      <c r="B3435">
        <v>1185732</v>
      </c>
      <c r="C3435" s="2">
        <v>44415</v>
      </c>
      <c r="D3435" t="s">
        <v>137</v>
      </c>
      <c r="E3435" t="s">
        <v>241</v>
      </c>
      <c r="F3435" t="s">
        <v>250</v>
      </c>
      <c r="G3435" t="s">
        <v>148</v>
      </c>
      <c r="H3435" s="3">
        <v>0.4</v>
      </c>
      <c r="I3435">
        <v>2000</v>
      </c>
      <c r="J3435" s="4">
        <v>800</v>
      </c>
      <c r="K3435" s="4">
        <v>320</v>
      </c>
      <c r="L3435" s="5">
        <v>0.4</v>
      </c>
      <c r="M3435" t="s">
        <v>131</v>
      </c>
      <c r="N3435" t="s">
        <v>363</v>
      </c>
    </row>
    <row r="3436" spans="1:14">
      <c r="A3436" t="s">
        <v>29</v>
      </c>
      <c r="B3436">
        <v>1185732</v>
      </c>
      <c r="C3436" s="2">
        <v>44415</v>
      </c>
      <c r="D3436" t="s">
        <v>137</v>
      </c>
      <c r="E3436" t="s">
        <v>241</v>
      </c>
      <c r="F3436" t="s">
        <v>250</v>
      </c>
      <c r="G3436" t="s">
        <v>147</v>
      </c>
      <c r="H3436" s="3">
        <v>0.49999999999999994</v>
      </c>
      <c r="I3436">
        <v>1750</v>
      </c>
      <c r="J3436" s="4">
        <v>874.99999999999989</v>
      </c>
      <c r="K3436" s="4">
        <v>262.49999999999994</v>
      </c>
      <c r="L3436" s="5">
        <v>0.3</v>
      </c>
      <c r="M3436" t="s">
        <v>131</v>
      </c>
      <c r="N3436" t="s">
        <v>363</v>
      </c>
    </row>
    <row r="3437" spans="1:14">
      <c r="A3437" t="s">
        <v>29</v>
      </c>
      <c r="B3437">
        <v>1185732</v>
      </c>
      <c r="C3437" s="2">
        <v>44415</v>
      </c>
      <c r="D3437" t="s">
        <v>137</v>
      </c>
      <c r="E3437" t="s">
        <v>241</v>
      </c>
      <c r="F3437" t="s">
        <v>250</v>
      </c>
      <c r="G3437" t="s">
        <v>144</v>
      </c>
      <c r="H3437" s="3">
        <v>0.54999999999999993</v>
      </c>
      <c r="I3437">
        <v>3500</v>
      </c>
      <c r="J3437" s="4">
        <v>1924.9999999999998</v>
      </c>
      <c r="K3437" s="4">
        <v>770</v>
      </c>
      <c r="L3437" s="5">
        <v>0.4</v>
      </c>
      <c r="M3437" t="s">
        <v>131</v>
      </c>
      <c r="N3437" t="s">
        <v>363</v>
      </c>
    </row>
    <row r="3438" spans="1:14">
      <c r="A3438" t="s">
        <v>29</v>
      </c>
      <c r="B3438">
        <v>1185732</v>
      </c>
      <c r="C3438" s="2">
        <v>44445</v>
      </c>
      <c r="D3438" t="s">
        <v>137</v>
      </c>
      <c r="E3438" t="s">
        <v>241</v>
      </c>
      <c r="F3438" t="s">
        <v>250</v>
      </c>
      <c r="G3438" t="s">
        <v>27</v>
      </c>
      <c r="H3438" s="3">
        <v>0.49999999999999994</v>
      </c>
      <c r="I3438">
        <v>4750</v>
      </c>
      <c r="J3438" s="4">
        <v>2374.9999999999995</v>
      </c>
      <c r="K3438" s="4">
        <v>831.24999999999977</v>
      </c>
      <c r="L3438" s="5">
        <v>0.35</v>
      </c>
      <c r="M3438" t="s">
        <v>132</v>
      </c>
      <c r="N3438" t="s">
        <v>363</v>
      </c>
    </row>
    <row r="3439" spans="1:14">
      <c r="A3439" t="s">
        <v>29</v>
      </c>
      <c r="B3439">
        <v>1185732</v>
      </c>
      <c r="C3439" s="2">
        <v>44445</v>
      </c>
      <c r="D3439" t="s">
        <v>137</v>
      </c>
      <c r="E3439" t="s">
        <v>241</v>
      </c>
      <c r="F3439" t="s">
        <v>250</v>
      </c>
      <c r="G3439" t="s">
        <v>145</v>
      </c>
      <c r="H3439" s="3">
        <v>0.45</v>
      </c>
      <c r="I3439">
        <v>2750</v>
      </c>
      <c r="J3439" s="4">
        <v>1237.5</v>
      </c>
      <c r="K3439" s="4">
        <v>433.125</v>
      </c>
      <c r="L3439" s="5">
        <v>0.35</v>
      </c>
      <c r="M3439" t="s">
        <v>132</v>
      </c>
      <c r="N3439" t="s">
        <v>363</v>
      </c>
    </row>
    <row r="3440" spans="1:14">
      <c r="A3440" t="s">
        <v>29</v>
      </c>
      <c r="B3440">
        <v>1185732</v>
      </c>
      <c r="C3440" s="2">
        <v>44445</v>
      </c>
      <c r="D3440" t="s">
        <v>137</v>
      </c>
      <c r="E3440" t="s">
        <v>241</v>
      </c>
      <c r="F3440" t="s">
        <v>250</v>
      </c>
      <c r="G3440" t="s">
        <v>146</v>
      </c>
      <c r="H3440" s="3">
        <v>0.4</v>
      </c>
      <c r="I3440">
        <v>1750</v>
      </c>
      <c r="J3440" s="4">
        <v>700</v>
      </c>
      <c r="K3440" s="4">
        <v>280</v>
      </c>
      <c r="L3440" s="5">
        <v>0.4</v>
      </c>
      <c r="M3440" t="s">
        <v>132</v>
      </c>
      <c r="N3440" t="s">
        <v>363</v>
      </c>
    </row>
    <row r="3441" spans="1:14">
      <c r="A3441" t="s">
        <v>29</v>
      </c>
      <c r="B3441">
        <v>1185732</v>
      </c>
      <c r="C3441" s="2">
        <v>44445</v>
      </c>
      <c r="D3441" t="s">
        <v>137</v>
      </c>
      <c r="E3441" t="s">
        <v>241</v>
      </c>
      <c r="F3441" t="s">
        <v>250</v>
      </c>
      <c r="G3441" t="s">
        <v>148</v>
      </c>
      <c r="H3441" s="3">
        <v>0.4</v>
      </c>
      <c r="I3441">
        <v>1500</v>
      </c>
      <c r="J3441" s="4">
        <v>600</v>
      </c>
      <c r="K3441" s="4">
        <v>240</v>
      </c>
      <c r="L3441" s="5">
        <v>0.4</v>
      </c>
      <c r="M3441" t="s">
        <v>132</v>
      </c>
      <c r="N3441" t="s">
        <v>363</v>
      </c>
    </row>
    <row r="3442" spans="1:14">
      <c r="A3442" t="s">
        <v>29</v>
      </c>
      <c r="B3442">
        <v>1185732</v>
      </c>
      <c r="C3442" s="2">
        <v>44445</v>
      </c>
      <c r="D3442" t="s">
        <v>137</v>
      </c>
      <c r="E3442" t="s">
        <v>241</v>
      </c>
      <c r="F3442" t="s">
        <v>250</v>
      </c>
      <c r="G3442" t="s">
        <v>147</v>
      </c>
      <c r="H3442" s="3">
        <v>0.49999999999999994</v>
      </c>
      <c r="I3442">
        <v>1500</v>
      </c>
      <c r="J3442" s="4">
        <v>749.99999999999989</v>
      </c>
      <c r="K3442" s="4">
        <v>224.99999999999997</v>
      </c>
      <c r="L3442" s="5">
        <v>0.3</v>
      </c>
      <c r="M3442" t="s">
        <v>132</v>
      </c>
      <c r="N3442" t="s">
        <v>363</v>
      </c>
    </row>
    <row r="3443" spans="1:14">
      <c r="A3443" t="s">
        <v>29</v>
      </c>
      <c r="B3443">
        <v>1185732</v>
      </c>
      <c r="C3443" s="2">
        <v>44445</v>
      </c>
      <c r="D3443" t="s">
        <v>137</v>
      </c>
      <c r="E3443" t="s">
        <v>241</v>
      </c>
      <c r="F3443" t="s">
        <v>250</v>
      </c>
      <c r="G3443" t="s">
        <v>144</v>
      </c>
      <c r="H3443" s="3">
        <v>0.54999999999999993</v>
      </c>
      <c r="I3443">
        <v>2500</v>
      </c>
      <c r="J3443" s="4">
        <v>1374.9999999999998</v>
      </c>
      <c r="K3443" s="4">
        <v>549.99999999999989</v>
      </c>
      <c r="L3443" s="5">
        <v>0.4</v>
      </c>
      <c r="M3443" t="s">
        <v>132</v>
      </c>
      <c r="N3443" t="s">
        <v>363</v>
      </c>
    </row>
    <row r="3444" spans="1:14">
      <c r="A3444" t="s">
        <v>29</v>
      </c>
      <c r="B3444">
        <v>1185732</v>
      </c>
      <c r="C3444" s="2">
        <v>44477</v>
      </c>
      <c r="D3444" t="s">
        <v>137</v>
      </c>
      <c r="E3444" t="s">
        <v>241</v>
      </c>
      <c r="F3444" t="s">
        <v>250</v>
      </c>
      <c r="G3444" t="s">
        <v>27</v>
      </c>
      <c r="H3444" s="3">
        <v>0.54999999999999993</v>
      </c>
      <c r="I3444">
        <v>4250</v>
      </c>
      <c r="J3444" s="4">
        <v>2337.4999999999995</v>
      </c>
      <c r="K3444" s="4">
        <v>818.12499999999977</v>
      </c>
      <c r="L3444" s="5">
        <v>0.35</v>
      </c>
      <c r="M3444" t="s">
        <v>133</v>
      </c>
      <c r="N3444" t="s">
        <v>364</v>
      </c>
    </row>
    <row r="3445" spans="1:14">
      <c r="A3445" t="s">
        <v>29</v>
      </c>
      <c r="B3445">
        <v>1185732</v>
      </c>
      <c r="C3445" s="2">
        <v>44477</v>
      </c>
      <c r="D3445" t="s">
        <v>137</v>
      </c>
      <c r="E3445" t="s">
        <v>241</v>
      </c>
      <c r="F3445" t="s">
        <v>250</v>
      </c>
      <c r="G3445" t="s">
        <v>145</v>
      </c>
      <c r="H3445" s="3">
        <v>0.5</v>
      </c>
      <c r="I3445">
        <v>2500</v>
      </c>
      <c r="J3445" s="4">
        <v>1250</v>
      </c>
      <c r="K3445" s="4">
        <v>437.5</v>
      </c>
      <c r="L3445" s="5">
        <v>0.35</v>
      </c>
      <c r="M3445" t="s">
        <v>133</v>
      </c>
      <c r="N3445" t="s">
        <v>364</v>
      </c>
    </row>
    <row r="3446" spans="1:14">
      <c r="A3446" t="s">
        <v>29</v>
      </c>
      <c r="B3446">
        <v>1185732</v>
      </c>
      <c r="C3446" s="2">
        <v>44477</v>
      </c>
      <c r="D3446" t="s">
        <v>137</v>
      </c>
      <c r="E3446" t="s">
        <v>241</v>
      </c>
      <c r="F3446" t="s">
        <v>250</v>
      </c>
      <c r="G3446" t="s">
        <v>146</v>
      </c>
      <c r="H3446" s="3">
        <v>0.5</v>
      </c>
      <c r="I3446">
        <v>1500</v>
      </c>
      <c r="J3446" s="4">
        <v>750</v>
      </c>
      <c r="K3446" s="4">
        <v>300</v>
      </c>
      <c r="L3446" s="5">
        <v>0.4</v>
      </c>
      <c r="M3446" t="s">
        <v>133</v>
      </c>
      <c r="N3446" t="s">
        <v>364</v>
      </c>
    </row>
    <row r="3447" spans="1:14">
      <c r="A3447" t="s">
        <v>29</v>
      </c>
      <c r="B3447">
        <v>1185732</v>
      </c>
      <c r="C3447" s="2">
        <v>44477</v>
      </c>
      <c r="D3447" t="s">
        <v>137</v>
      </c>
      <c r="E3447" t="s">
        <v>241</v>
      </c>
      <c r="F3447" t="s">
        <v>250</v>
      </c>
      <c r="G3447" t="s">
        <v>148</v>
      </c>
      <c r="H3447" s="3">
        <v>0.5</v>
      </c>
      <c r="I3447">
        <v>1250</v>
      </c>
      <c r="J3447" s="4">
        <v>625</v>
      </c>
      <c r="K3447" s="4">
        <v>250</v>
      </c>
      <c r="L3447" s="5">
        <v>0.4</v>
      </c>
      <c r="M3447" t="s">
        <v>133</v>
      </c>
      <c r="N3447" t="s">
        <v>364</v>
      </c>
    </row>
    <row r="3448" spans="1:14">
      <c r="A3448" t="s">
        <v>29</v>
      </c>
      <c r="B3448">
        <v>1185732</v>
      </c>
      <c r="C3448" s="2">
        <v>44477</v>
      </c>
      <c r="D3448" t="s">
        <v>137</v>
      </c>
      <c r="E3448" t="s">
        <v>241</v>
      </c>
      <c r="F3448" t="s">
        <v>250</v>
      </c>
      <c r="G3448" t="s">
        <v>147</v>
      </c>
      <c r="H3448" s="3">
        <v>0.6</v>
      </c>
      <c r="I3448">
        <v>1250</v>
      </c>
      <c r="J3448" s="4">
        <v>750</v>
      </c>
      <c r="K3448" s="4">
        <v>225</v>
      </c>
      <c r="L3448" s="5">
        <v>0.3</v>
      </c>
      <c r="M3448" t="s">
        <v>133</v>
      </c>
      <c r="N3448" t="s">
        <v>364</v>
      </c>
    </row>
    <row r="3449" spans="1:14">
      <c r="A3449" t="s">
        <v>29</v>
      </c>
      <c r="B3449">
        <v>1185732</v>
      </c>
      <c r="C3449" s="2">
        <v>44477</v>
      </c>
      <c r="D3449" t="s">
        <v>137</v>
      </c>
      <c r="E3449" t="s">
        <v>241</v>
      </c>
      <c r="F3449" t="s">
        <v>250</v>
      </c>
      <c r="G3449" t="s">
        <v>144</v>
      </c>
      <c r="H3449" s="3">
        <v>0.64999999999999991</v>
      </c>
      <c r="I3449">
        <v>2500</v>
      </c>
      <c r="J3449" s="4">
        <v>1624.9999999999998</v>
      </c>
      <c r="K3449" s="4">
        <v>650</v>
      </c>
      <c r="L3449" s="5">
        <v>0.4</v>
      </c>
      <c r="M3449" t="s">
        <v>133</v>
      </c>
      <c r="N3449" t="s">
        <v>364</v>
      </c>
    </row>
    <row r="3450" spans="1:14">
      <c r="A3450" t="s">
        <v>29</v>
      </c>
      <c r="B3450">
        <v>1185732</v>
      </c>
      <c r="C3450" s="2">
        <v>44507</v>
      </c>
      <c r="D3450" t="s">
        <v>137</v>
      </c>
      <c r="E3450" t="s">
        <v>241</v>
      </c>
      <c r="F3450" t="s">
        <v>250</v>
      </c>
      <c r="G3450" t="s">
        <v>27</v>
      </c>
      <c r="H3450" s="3">
        <v>0.6</v>
      </c>
      <c r="I3450">
        <v>4000</v>
      </c>
      <c r="J3450" s="4">
        <v>2400</v>
      </c>
      <c r="K3450" s="4">
        <v>840</v>
      </c>
      <c r="L3450" s="5">
        <v>0.35</v>
      </c>
      <c r="M3450" t="s">
        <v>134</v>
      </c>
      <c r="N3450" t="s">
        <v>364</v>
      </c>
    </row>
    <row r="3451" spans="1:14">
      <c r="A3451" t="s">
        <v>29</v>
      </c>
      <c r="B3451">
        <v>1185732</v>
      </c>
      <c r="C3451" s="2">
        <v>44507</v>
      </c>
      <c r="D3451" t="s">
        <v>137</v>
      </c>
      <c r="E3451" t="s">
        <v>241</v>
      </c>
      <c r="F3451" t="s">
        <v>250</v>
      </c>
      <c r="G3451" t="s">
        <v>145</v>
      </c>
      <c r="H3451" s="3">
        <v>0.5</v>
      </c>
      <c r="I3451">
        <v>2750</v>
      </c>
      <c r="J3451" s="4">
        <v>1375</v>
      </c>
      <c r="K3451" s="4">
        <v>481.24999999999994</v>
      </c>
      <c r="L3451" s="5">
        <v>0.35</v>
      </c>
      <c r="M3451" t="s">
        <v>134</v>
      </c>
      <c r="N3451" t="s">
        <v>364</v>
      </c>
    </row>
    <row r="3452" spans="1:14">
      <c r="A3452" t="s">
        <v>29</v>
      </c>
      <c r="B3452">
        <v>1185732</v>
      </c>
      <c r="C3452" s="2">
        <v>44507</v>
      </c>
      <c r="D3452" t="s">
        <v>137</v>
      </c>
      <c r="E3452" t="s">
        <v>241</v>
      </c>
      <c r="F3452" t="s">
        <v>250</v>
      </c>
      <c r="G3452" t="s">
        <v>146</v>
      </c>
      <c r="H3452" s="3">
        <v>0.5</v>
      </c>
      <c r="I3452">
        <v>2700</v>
      </c>
      <c r="J3452" s="4">
        <v>1350</v>
      </c>
      <c r="K3452" s="4">
        <v>540</v>
      </c>
      <c r="L3452" s="5">
        <v>0.4</v>
      </c>
      <c r="M3452" t="s">
        <v>134</v>
      </c>
      <c r="N3452" t="s">
        <v>364</v>
      </c>
    </row>
    <row r="3453" spans="1:14">
      <c r="A3453" t="s">
        <v>29</v>
      </c>
      <c r="B3453">
        <v>1185732</v>
      </c>
      <c r="C3453" s="2">
        <v>44507</v>
      </c>
      <c r="D3453" t="s">
        <v>137</v>
      </c>
      <c r="E3453" t="s">
        <v>241</v>
      </c>
      <c r="F3453" t="s">
        <v>250</v>
      </c>
      <c r="G3453" t="s">
        <v>148</v>
      </c>
      <c r="H3453" s="3">
        <v>0.5</v>
      </c>
      <c r="I3453">
        <v>2500</v>
      </c>
      <c r="J3453" s="4">
        <v>1250</v>
      </c>
      <c r="K3453" s="4">
        <v>500</v>
      </c>
      <c r="L3453" s="5">
        <v>0.4</v>
      </c>
      <c r="M3453" t="s">
        <v>134</v>
      </c>
      <c r="N3453" t="s">
        <v>364</v>
      </c>
    </row>
    <row r="3454" spans="1:14">
      <c r="A3454" t="s">
        <v>29</v>
      </c>
      <c r="B3454">
        <v>1185732</v>
      </c>
      <c r="C3454" s="2">
        <v>44507</v>
      </c>
      <c r="D3454" t="s">
        <v>137</v>
      </c>
      <c r="E3454" t="s">
        <v>241</v>
      </c>
      <c r="F3454" t="s">
        <v>250</v>
      </c>
      <c r="G3454" t="s">
        <v>147</v>
      </c>
      <c r="H3454" s="3">
        <v>0.6</v>
      </c>
      <c r="I3454">
        <v>2250</v>
      </c>
      <c r="J3454" s="4">
        <v>1350</v>
      </c>
      <c r="K3454" s="4">
        <v>405</v>
      </c>
      <c r="L3454" s="5">
        <v>0.3</v>
      </c>
      <c r="M3454" t="s">
        <v>134</v>
      </c>
      <c r="N3454" t="s">
        <v>364</v>
      </c>
    </row>
    <row r="3455" spans="1:14">
      <c r="A3455" t="s">
        <v>29</v>
      </c>
      <c r="B3455">
        <v>1185732</v>
      </c>
      <c r="C3455" s="2">
        <v>44507</v>
      </c>
      <c r="D3455" t="s">
        <v>137</v>
      </c>
      <c r="E3455" t="s">
        <v>241</v>
      </c>
      <c r="F3455" t="s">
        <v>250</v>
      </c>
      <c r="G3455" t="s">
        <v>144</v>
      </c>
      <c r="H3455" s="3">
        <v>0.64999999999999991</v>
      </c>
      <c r="I3455">
        <v>3250</v>
      </c>
      <c r="J3455" s="4">
        <v>2112.4999999999995</v>
      </c>
      <c r="K3455" s="4">
        <v>844.99999999999989</v>
      </c>
      <c r="L3455" s="5">
        <v>0.4</v>
      </c>
      <c r="M3455" t="s">
        <v>134</v>
      </c>
      <c r="N3455" t="s">
        <v>364</v>
      </c>
    </row>
    <row r="3456" spans="1:14">
      <c r="A3456" t="s">
        <v>29</v>
      </c>
      <c r="B3456">
        <v>1185732</v>
      </c>
      <c r="C3456" s="2">
        <v>44536</v>
      </c>
      <c r="D3456" t="s">
        <v>137</v>
      </c>
      <c r="E3456" t="s">
        <v>241</v>
      </c>
      <c r="F3456" t="s">
        <v>250</v>
      </c>
      <c r="G3456" t="s">
        <v>27</v>
      </c>
      <c r="H3456" s="3">
        <v>0.6</v>
      </c>
      <c r="I3456">
        <v>5500</v>
      </c>
      <c r="J3456" s="4">
        <v>3300</v>
      </c>
      <c r="K3456" s="4">
        <v>1155</v>
      </c>
      <c r="L3456" s="5">
        <v>0.35</v>
      </c>
      <c r="M3456" t="s">
        <v>23</v>
      </c>
      <c r="N3456" t="s">
        <v>364</v>
      </c>
    </row>
    <row r="3457" spans="1:14">
      <c r="A3457" t="s">
        <v>29</v>
      </c>
      <c r="B3457">
        <v>1185732</v>
      </c>
      <c r="C3457" s="2">
        <v>44536</v>
      </c>
      <c r="D3457" t="s">
        <v>137</v>
      </c>
      <c r="E3457" t="s">
        <v>241</v>
      </c>
      <c r="F3457" t="s">
        <v>250</v>
      </c>
      <c r="G3457" t="s">
        <v>145</v>
      </c>
      <c r="H3457" s="3">
        <v>0.5</v>
      </c>
      <c r="I3457">
        <v>3500</v>
      </c>
      <c r="J3457" s="4">
        <v>1750</v>
      </c>
      <c r="K3457" s="4">
        <v>612.5</v>
      </c>
      <c r="L3457" s="5">
        <v>0.35</v>
      </c>
      <c r="M3457" t="s">
        <v>23</v>
      </c>
      <c r="N3457" t="s">
        <v>364</v>
      </c>
    </row>
    <row r="3458" spans="1:14">
      <c r="A3458" t="s">
        <v>29</v>
      </c>
      <c r="B3458">
        <v>1185732</v>
      </c>
      <c r="C3458" s="2">
        <v>44536</v>
      </c>
      <c r="D3458" t="s">
        <v>137</v>
      </c>
      <c r="E3458" t="s">
        <v>241</v>
      </c>
      <c r="F3458" t="s">
        <v>250</v>
      </c>
      <c r="G3458" t="s">
        <v>146</v>
      </c>
      <c r="H3458" s="3">
        <v>0.5</v>
      </c>
      <c r="I3458">
        <v>3250</v>
      </c>
      <c r="J3458" s="4">
        <v>1625</v>
      </c>
      <c r="K3458" s="4">
        <v>650</v>
      </c>
      <c r="L3458" s="5">
        <v>0.4</v>
      </c>
      <c r="M3458" t="s">
        <v>23</v>
      </c>
      <c r="N3458" t="s">
        <v>364</v>
      </c>
    </row>
    <row r="3459" spans="1:14">
      <c r="A3459" t="s">
        <v>29</v>
      </c>
      <c r="B3459">
        <v>1185732</v>
      </c>
      <c r="C3459" s="2">
        <v>44536</v>
      </c>
      <c r="D3459" t="s">
        <v>137</v>
      </c>
      <c r="E3459" t="s">
        <v>241</v>
      </c>
      <c r="F3459" t="s">
        <v>250</v>
      </c>
      <c r="G3459" t="s">
        <v>148</v>
      </c>
      <c r="H3459" s="3">
        <v>0.5</v>
      </c>
      <c r="I3459">
        <v>2750</v>
      </c>
      <c r="J3459" s="4">
        <v>1375</v>
      </c>
      <c r="K3459" s="4">
        <v>550</v>
      </c>
      <c r="L3459" s="5">
        <v>0.4</v>
      </c>
      <c r="M3459" t="s">
        <v>23</v>
      </c>
      <c r="N3459" t="s">
        <v>364</v>
      </c>
    </row>
    <row r="3460" spans="1:14">
      <c r="A3460" t="s">
        <v>29</v>
      </c>
      <c r="B3460">
        <v>1185732</v>
      </c>
      <c r="C3460" s="2">
        <v>44536</v>
      </c>
      <c r="D3460" t="s">
        <v>137</v>
      </c>
      <c r="E3460" t="s">
        <v>241</v>
      </c>
      <c r="F3460" t="s">
        <v>250</v>
      </c>
      <c r="G3460" t="s">
        <v>147</v>
      </c>
      <c r="H3460" s="3">
        <v>0.6</v>
      </c>
      <c r="I3460">
        <v>2750</v>
      </c>
      <c r="J3460" s="4">
        <v>1650</v>
      </c>
      <c r="K3460" s="4">
        <v>495</v>
      </c>
      <c r="L3460" s="5">
        <v>0.3</v>
      </c>
      <c r="M3460" t="s">
        <v>23</v>
      </c>
      <c r="N3460" t="s">
        <v>364</v>
      </c>
    </row>
    <row r="3461" spans="1:14">
      <c r="A3461" t="s">
        <v>29</v>
      </c>
      <c r="B3461">
        <v>1185732</v>
      </c>
      <c r="C3461" s="2">
        <v>44536</v>
      </c>
      <c r="D3461" t="s">
        <v>137</v>
      </c>
      <c r="E3461" t="s">
        <v>241</v>
      </c>
      <c r="F3461" t="s">
        <v>250</v>
      </c>
      <c r="G3461" t="s">
        <v>144</v>
      </c>
      <c r="H3461" s="3">
        <v>0.64999999999999991</v>
      </c>
      <c r="I3461">
        <v>3750</v>
      </c>
      <c r="J3461" s="4">
        <v>2437.4999999999995</v>
      </c>
      <c r="K3461" s="4">
        <v>974.99999999999989</v>
      </c>
      <c r="L3461" s="5">
        <v>0.4</v>
      </c>
      <c r="M3461" t="s">
        <v>23</v>
      </c>
      <c r="N3461" t="s">
        <v>364</v>
      </c>
    </row>
    <row r="3462" spans="1:14">
      <c r="A3462" t="s">
        <v>29</v>
      </c>
      <c r="B3462">
        <v>1185732</v>
      </c>
      <c r="C3462" s="2">
        <v>44203</v>
      </c>
      <c r="D3462" t="s">
        <v>137</v>
      </c>
      <c r="E3462" t="s">
        <v>225</v>
      </c>
      <c r="F3462" t="s">
        <v>234</v>
      </c>
      <c r="G3462" t="s">
        <v>27</v>
      </c>
      <c r="H3462" s="3">
        <v>0.4</v>
      </c>
      <c r="I3462">
        <v>5000</v>
      </c>
      <c r="J3462" s="4">
        <v>2000</v>
      </c>
      <c r="K3462" s="4">
        <v>800</v>
      </c>
      <c r="L3462" s="5">
        <v>0.4</v>
      </c>
      <c r="M3462" t="s">
        <v>125</v>
      </c>
      <c r="N3462" t="s">
        <v>361</v>
      </c>
    </row>
    <row r="3463" spans="1:14">
      <c r="A3463" t="s">
        <v>29</v>
      </c>
      <c r="B3463">
        <v>1185732</v>
      </c>
      <c r="C3463" s="2">
        <v>44203</v>
      </c>
      <c r="D3463" t="s">
        <v>137</v>
      </c>
      <c r="E3463" t="s">
        <v>225</v>
      </c>
      <c r="F3463" t="s">
        <v>234</v>
      </c>
      <c r="G3463" t="s">
        <v>145</v>
      </c>
      <c r="H3463" s="3">
        <v>0.4</v>
      </c>
      <c r="I3463">
        <v>3000</v>
      </c>
      <c r="J3463" s="4">
        <v>1200</v>
      </c>
      <c r="K3463" s="4">
        <v>480</v>
      </c>
      <c r="L3463" s="5">
        <v>0.4</v>
      </c>
      <c r="M3463" t="s">
        <v>125</v>
      </c>
      <c r="N3463" t="s">
        <v>361</v>
      </c>
    </row>
    <row r="3464" spans="1:14">
      <c r="A3464" t="s">
        <v>29</v>
      </c>
      <c r="B3464">
        <v>1185732</v>
      </c>
      <c r="C3464" s="2">
        <v>44203</v>
      </c>
      <c r="D3464" t="s">
        <v>137</v>
      </c>
      <c r="E3464" t="s">
        <v>225</v>
      </c>
      <c r="F3464" t="s">
        <v>234</v>
      </c>
      <c r="G3464" t="s">
        <v>146</v>
      </c>
      <c r="H3464" s="3">
        <v>0.30000000000000004</v>
      </c>
      <c r="I3464">
        <v>3000</v>
      </c>
      <c r="J3464" s="4">
        <v>900.00000000000011</v>
      </c>
      <c r="K3464" s="4">
        <v>270</v>
      </c>
      <c r="L3464" s="5">
        <v>0.3</v>
      </c>
      <c r="M3464" t="s">
        <v>125</v>
      </c>
      <c r="N3464" t="s">
        <v>361</v>
      </c>
    </row>
    <row r="3465" spans="1:14">
      <c r="A3465" t="s">
        <v>29</v>
      </c>
      <c r="B3465">
        <v>1185732</v>
      </c>
      <c r="C3465" s="2">
        <v>44203</v>
      </c>
      <c r="D3465" t="s">
        <v>137</v>
      </c>
      <c r="E3465" t="s">
        <v>225</v>
      </c>
      <c r="F3465" t="s">
        <v>234</v>
      </c>
      <c r="G3465" t="s">
        <v>148</v>
      </c>
      <c r="H3465" s="3">
        <v>0.35</v>
      </c>
      <c r="I3465">
        <v>1500</v>
      </c>
      <c r="J3465" s="4">
        <v>525</v>
      </c>
      <c r="K3465" s="4">
        <v>157.5</v>
      </c>
      <c r="L3465" s="5">
        <v>0.3</v>
      </c>
      <c r="M3465" t="s">
        <v>125</v>
      </c>
      <c r="N3465" t="s">
        <v>361</v>
      </c>
    </row>
    <row r="3466" spans="1:14">
      <c r="A3466" t="s">
        <v>29</v>
      </c>
      <c r="B3466">
        <v>1185732</v>
      </c>
      <c r="C3466" s="2">
        <v>44203</v>
      </c>
      <c r="D3466" t="s">
        <v>137</v>
      </c>
      <c r="E3466" t="s">
        <v>225</v>
      </c>
      <c r="F3466" t="s">
        <v>234</v>
      </c>
      <c r="G3466" t="s">
        <v>147</v>
      </c>
      <c r="H3466" s="3">
        <v>0.5</v>
      </c>
      <c r="I3466">
        <v>2000</v>
      </c>
      <c r="J3466" s="4">
        <v>1000</v>
      </c>
      <c r="K3466" s="4">
        <v>300</v>
      </c>
      <c r="L3466" s="5">
        <v>0.3</v>
      </c>
      <c r="M3466" t="s">
        <v>125</v>
      </c>
      <c r="N3466" t="s">
        <v>361</v>
      </c>
    </row>
    <row r="3467" spans="1:14">
      <c r="A3467" t="s">
        <v>29</v>
      </c>
      <c r="B3467">
        <v>1185732</v>
      </c>
      <c r="C3467" s="2">
        <v>44203</v>
      </c>
      <c r="D3467" t="s">
        <v>137</v>
      </c>
      <c r="E3467" t="s">
        <v>225</v>
      </c>
      <c r="F3467" t="s">
        <v>234</v>
      </c>
      <c r="G3467" t="s">
        <v>144</v>
      </c>
      <c r="H3467" s="3">
        <v>0.4</v>
      </c>
      <c r="I3467">
        <v>3000</v>
      </c>
      <c r="J3467" s="4">
        <v>1200</v>
      </c>
      <c r="K3467" s="4">
        <v>420</v>
      </c>
      <c r="L3467" s="5">
        <v>0.35</v>
      </c>
      <c r="M3467" t="s">
        <v>125</v>
      </c>
      <c r="N3467" t="s">
        <v>361</v>
      </c>
    </row>
    <row r="3468" spans="1:14">
      <c r="A3468" t="s">
        <v>29</v>
      </c>
      <c r="B3468">
        <v>1185732</v>
      </c>
      <c r="C3468" s="2">
        <v>44232</v>
      </c>
      <c r="D3468" t="s">
        <v>137</v>
      </c>
      <c r="E3468" t="s">
        <v>225</v>
      </c>
      <c r="F3468" t="s">
        <v>234</v>
      </c>
      <c r="G3468" t="s">
        <v>27</v>
      </c>
      <c r="H3468" s="3">
        <v>0.4</v>
      </c>
      <c r="I3468">
        <v>5500</v>
      </c>
      <c r="J3468" s="4">
        <v>2200</v>
      </c>
      <c r="K3468" s="4">
        <v>880</v>
      </c>
      <c r="L3468" s="5">
        <v>0.4</v>
      </c>
      <c r="M3468" t="s">
        <v>126</v>
      </c>
      <c r="N3468" t="s">
        <v>361</v>
      </c>
    </row>
    <row r="3469" spans="1:14">
      <c r="A3469" t="s">
        <v>29</v>
      </c>
      <c r="B3469">
        <v>1185732</v>
      </c>
      <c r="C3469" s="2">
        <v>44232</v>
      </c>
      <c r="D3469" t="s">
        <v>137</v>
      </c>
      <c r="E3469" t="s">
        <v>225</v>
      </c>
      <c r="F3469" t="s">
        <v>234</v>
      </c>
      <c r="G3469" t="s">
        <v>145</v>
      </c>
      <c r="H3469" s="3">
        <v>0.4</v>
      </c>
      <c r="I3469">
        <v>2000</v>
      </c>
      <c r="J3469" s="4">
        <v>800</v>
      </c>
      <c r="K3469" s="4">
        <v>320</v>
      </c>
      <c r="L3469" s="5">
        <v>0.4</v>
      </c>
      <c r="M3469" t="s">
        <v>126</v>
      </c>
      <c r="N3469" t="s">
        <v>361</v>
      </c>
    </row>
    <row r="3470" spans="1:14">
      <c r="A3470" t="s">
        <v>29</v>
      </c>
      <c r="B3470">
        <v>1185732</v>
      </c>
      <c r="C3470" s="2">
        <v>44232</v>
      </c>
      <c r="D3470" t="s">
        <v>137</v>
      </c>
      <c r="E3470" t="s">
        <v>225</v>
      </c>
      <c r="F3470" t="s">
        <v>234</v>
      </c>
      <c r="G3470" t="s">
        <v>146</v>
      </c>
      <c r="H3470" s="3">
        <v>0.30000000000000004</v>
      </c>
      <c r="I3470">
        <v>2500</v>
      </c>
      <c r="J3470" s="4">
        <v>750.00000000000011</v>
      </c>
      <c r="K3470" s="4">
        <v>225.00000000000003</v>
      </c>
      <c r="L3470" s="5">
        <v>0.3</v>
      </c>
      <c r="M3470" t="s">
        <v>126</v>
      </c>
      <c r="N3470" t="s">
        <v>361</v>
      </c>
    </row>
    <row r="3471" spans="1:14">
      <c r="A3471" t="s">
        <v>29</v>
      </c>
      <c r="B3471">
        <v>1185732</v>
      </c>
      <c r="C3471" s="2">
        <v>44232</v>
      </c>
      <c r="D3471" t="s">
        <v>137</v>
      </c>
      <c r="E3471" t="s">
        <v>225</v>
      </c>
      <c r="F3471" t="s">
        <v>234</v>
      </c>
      <c r="G3471" t="s">
        <v>148</v>
      </c>
      <c r="H3471" s="3">
        <v>0.35</v>
      </c>
      <c r="I3471">
        <v>1250</v>
      </c>
      <c r="J3471" s="4">
        <v>437.5</v>
      </c>
      <c r="K3471" s="4">
        <v>131.25</v>
      </c>
      <c r="L3471" s="5">
        <v>0.3</v>
      </c>
      <c r="M3471" t="s">
        <v>126</v>
      </c>
      <c r="N3471" t="s">
        <v>361</v>
      </c>
    </row>
    <row r="3472" spans="1:14">
      <c r="A3472" t="s">
        <v>29</v>
      </c>
      <c r="B3472">
        <v>1185732</v>
      </c>
      <c r="C3472" s="2">
        <v>44232</v>
      </c>
      <c r="D3472" t="s">
        <v>137</v>
      </c>
      <c r="E3472" t="s">
        <v>225</v>
      </c>
      <c r="F3472" t="s">
        <v>234</v>
      </c>
      <c r="G3472" t="s">
        <v>147</v>
      </c>
      <c r="H3472" s="3">
        <v>0.5</v>
      </c>
      <c r="I3472">
        <v>2000</v>
      </c>
      <c r="J3472" s="4">
        <v>1000</v>
      </c>
      <c r="K3472" s="4">
        <v>300</v>
      </c>
      <c r="L3472" s="5">
        <v>0.3</v>
      </c>
      <c r="M3472" t="s">
        <v>126</v>
      </c>
      <c r="N3472" t="s">
        <v>361</v>
      </c>
    </row>
    <row r="3473" spans="1:14">
      <c r="A3473" t="s">
        <v>29</v>
      </c>
      <c r="B3473">
        <v>1185732</v>
      </c>
      <c r="C3473" s="2">
        <v>44232</v>
      </c>
      <c r="D3473" t="s">
        <v>137</v>
      </c>
      <c r="E3473" t="s">
        <v>225</v>
      </c>
      <c r="F3473" t="s">
        <v>234</v>
      </c>
      <c r="G3473" t="s">
        <v>144</v>
      </c>
      <c r="H3473" s="3">
        <v>0.4</v>
      </c>
      <c r="I3473">
        <v>3000</v>
      </c>
      <c r="J3473" s="4">
        <v>1200</v>
      </c>
      <c r="K3473" s="4">
        <v>420</v>
      </c>
      <c r="L3473" s="5">
        <v>0.35</v>
      </c>
      <c r="M3473" t="s">
        <v>126</v>
      </c>
      <c r="N3473" t="s">
        <v>361</v>
      </c>
    </row>
    <row r="3474" spans="1:14">
      <c r="A3474" t="s">
        <v>29</v>
      </c>
      <c r="B3474">
        <v>1185732</v>
      </c>
      <c r="C3474" s="2">
        <v>44258</v>
      </c>
      <c r="D3474" t="s">
        <v>137</v>
      </c>
      <c r="E3474" t="s">
        <v>225</v>
      </c>
      <c r="F3474" t="s">
        <v>234</v>
      </c>
      <c r="G3474" t="s">
        <v>27</v>
      </c>
      <c r="H3474" s="3">
        <v>0.4</v>
      </c>
      <c r="I3474">
        <v>5200</v>
      </c>
      <c r="J3474" s="4">
        <v>2080</v>
      </c>
      <c r="K3474" s="4">
        <v>832</v>
      </c>
      <c r="L3474" s="5">
        <v>0.4</v>
      </c>
      <c r="M3474" t="s">
        <v>24</v>
      </c>
      <c r="N3474" t="s">
        <v>361</v>
      </c>
    </row>
    <row r="3475" spans="1:14">
      <c r="A3475" t="s">
        <v>29</v>
      </c>
      <c r="B3475">
        <v>1185732</v>
      </c>
      <c r="C3475" s="2">
        <v>44258</v>
      </c>
      <c r="D3475" t="s">
        <v>137</v>
      </c>
      <c r="E3475" t="s">
        <v>225</v>
      </c>
      <c r="F3475" t="s">
        <v>234</v>
      </c>
      <c r="G3475" t="s">
        <v>145</v>
      </c>
      <c r="H3475" s="3">
        <v>0.4</v>
      </c>
      <c r="I3475">
        <v>2250</v>
      </c>
      <c r="J3475" s="4">
        <v>900</v>
      </c>
      <c r="K3475" s="4">
        <v>360</v>
      </c>
      <c r="L3475" s="5">
        <v>0.4</v>
      </c>
      <c r="M3475" t="s">
        <v>24</v>
      </c>
      <c r="N3475" t="s">
        <v>361</v>
      </c>
    </row>
    <row r="3476" spans="1:14">
      <c r="A3476" t="s">
        <v>29</v>
      </c>
      <c r="B3476">
        <v>1185732</v>
      </c>
      <c r="C3476" s="2">
        <v>44258</v>
      </c>
      <c r="D3476" t="s">
        <v>137</v>
      </c>
      <c r="E3476" t="s">
        <v>225</v>
      </c>
      <c r="F3476" t="s">
        <v>234</v>
      </c>
      <c r="G3476" t="s">
        <v>146</v>
      </c>
      <c r="H3476" s="3">
        <v>0.30000000000000004</v>
      </c>
      <c r="I3476">
        <v>2500</v>
      </c>
      <c r="J3476" s="4">
        <v>750.00000000000011</v>
      </c>
      <c r="K3476" s="4">
        <v>225.00000000000003</v>
      </c>
      <c r="L3476" s="5">
        <v>0.3</v>
      </c>
      <c r="M3476" t="s">
        <v>24</v>
      </c>
      <c r="N3476" t="s">
        <v>361</v>
      </c>
    </row>
    <row r="3477" spans="1:14">
      <c r="A3477" t="s">
        <v>29</v>
      </c>
      <c r="B3477">
        <v>1185732</v>
      </c>
      <c r="C3477" s="2">
        <v>44258</v>
      </c>
      <c r="D3477" t="s">
        <v>137</v>
      </c>
      <c r="E3477" t="s">
        <v>225</v>
      </c>
      <c r="F3477" t="s">
        <v>234</v>
      </c>
      <c r="G3477" t="s">
        <v>148</v>
      </c>
      <c r="H3477" s="3">
        <v>0.35</v>
      </c>
      <c r="I3477">
        <v>1000</v>
      </c>
      <c r="J3477" s="4">
        <v>350</v>
      </c>
      <c r="K3477" s="4">
        <v>105</v>
      </c>
      <c r="L3477" s="5">
        <v>0.3</v>
      </c>
      <c r="M3477" t="s">
        <v>24</v>
      </c>
      <c r="N3477" t="s">
        <v>361</v>
      </c>
    </row>
    <row r="3478" spans="1:14">
      <c r="A3478" t="s">
        <v>29</v>
      </c>
      <c r="B3478">
        <v>1185732</v>
      </c>
      <c r="C3478" s="2">
        <v>44258</v>
      </c>
      <c r="D3478" t="s">
        <v>137</v>
      </c>
      <c r="E3478" t="s">
        <v>225</v>
      </c>
      <c r="F3478" t="s">
        <v>234</v>
      </c>
      <c r="G3478" t="s">
        <v>147</v>
      </c>
      <c r="H3478" s="3">
        <v>0.5</v>
      </c>
      <c r="I3478">
        <v>1500</v>
      </c>
      <c r="J3478" s="4">
        <v>750</v>
      </c>
      <c r="K3478" s="4">
        <v>225</v>
      </c>
      <c r="L3478" s="5">
        <v>0.3</v>
      </c>
      <c r="M3478" t="s">
        <v>24</v>
      </c>
      <c r="N3478" t="s">
        <v>361</v>
      </c>
    </row>
    <row r="3479" spans="1:14">
      <c r="A3479" t="s">
        <v>29</v>
      </c>
      <c r="B3479">
        <v>1185732</v>
      </c>
      <c r="C3479" s="2">
        <v>44258</v>
      </c>
      <c r="D3479" t="s">
        <v>137</v>
      </c>
      <c r="E3479" t="s">
        <v>225</v>
      </c>
      <c r="F3479" t="s">
        <v>234</v>
      </c>
      <c r="G3479" t="s">
        <v>144</v>
      </c>
      <c r="H3479" s="3">
        <v>0.4</v>
      </c>
      <c r="I3479">
        <v>2500</v>
      </c>
      <c r="J3479" s="4">
        <v>1000</v>
      </c>
      <c r="K3479" s="4">
        <v>350</v>
      </c>
      <c r="L3479" s="5">
        <v>0.35</v>
      </c>
      <c r="M3479" t="s">
        <v>24</v>
      </c>
      <c r="N3479" t="s">
        <v>361</v>
      </c>
    </row>
    <row r="3480" spans="1:14">
      <c r="A3480" t="s">
        <v>29</v>
      </c>
      <c r="B3480">
        <v>1185732</v>
      </c>
      <c r="C3480" s="2">
        <v>44290</v>
      </c>
      <c r="D3480" t="s">
        <v>137</v>
      </c>
      <c r="E3480" t="s">
        <v>225</v>
      </c>
      <c r="F3480" t="s">
        <v>234</v>
      </c>
      <c r="G3480" t="s">
        <v>27</v>
      </c>
      <c r="H3480" s="3">
        <v>0.4</v>
      </c>
      <c r="I3480">
        <v>5000</v>
      </c>
      <c r="J3480" s="4">
        <v>2000</v>
      </c>
      <c r="K3480" s="4">
        <v>800</v>
      </c>
      <c r="L3480" s="5">
        <v>0.4</v>
      </c>
      <c r="M3480" t="s">
        <v>127</v>
      </c>
      <c r="N3480" t="s">
        <v>362</v>
      </c>
    </row>
    <row r="3481" spans="1:14">
      <c r="A3481" t="s">
        <v>29</v>
      </c>
      <c r="B3481">
        <v>1185732</v>
      </c>
      <c r="C3481" s="2">
        <v>44290</v>
      </c>
      <c r="D3481" t="s">
        <v>137</v>
      </c>
      <c r="E3481" t="s">
        <v>225</v>
      </c>
      <c r="F3481" t="s">
        <v>234</v>
      </c>
      <c r="G3481" t="s">
        <v>145</v>
      </c>
      <c r="H3481" s="3">
        <v>0.4</v>
      </c>
      <c r="I3481">
        <v>2000</v>
      </c>
      <c r="J3481" s="4">
        <v>800</v>
      </c>
      <c r="K3481" s="4">
        <v>320</v>
      </c>
      <c r="L3481" s="5">
        <v>0.4</v>
      </c>
      <c r="M3481" t="s">
        <v>127</v>
      </c>
      <c r="N3481" t="s">
        <v>362</v>
      </c>
    </row>
    <row r="3482" spans="1:14">
      <c r="A3482" t="s">
        <v>29</v>
      </c>
      <c r="B3482">
        <v>1185732</v>
      </c>
      <c r="C3482" s="2">
        <v>44290</v>
      </c>
      <c r="D3482" t="s">
        <v>137</v>
      </c>
      <c r="E3482" t="s">
        <v>225</v>
      </c>
      <c r="F3482" t="s">
        <v>234</v>
      </c>
      <c r="G3482" t="s">
        <v>146</v>
      </c>
      <c r="H3482" s="3">
        <v>0.30000000000000004</v>
      </c>
      <c r="I3482">
        <v>2000</v>
      </c>
      <c r="J3482" s="4">
        <v>600.00000000000011</v>
      </c>
      <c r="K3482" s="4">
        <v>180.00000000000003</v>
      </c>
      <c r="L3482" s="5">
        <v>0.3</v>
      </c>
      <c r="M3482" t="s">
        <v>127</v>
      </c>
      <c r="N3482" t="s">
        <v>362</v>
      </c>
    </row>
    <row r="3483" spans="1:14">
      <c r="A3483" t="s">
        <v>29</v>
      </c>
      <c r="B3483">
        <v>1185732</v>
      </c>
      <c r="C3483" s="2">
        <v>44290</v>
      </c>
      <c r="D3483" t="s">
        <v>137</v>
      </c>
      <c r="E3483" t="s">
        <v>225</v>
      </c>
      <c r="F3483" t="s">
        <v>234</v>
      </c>
      <c r="G3483" t="s">
        <v>148</v>
      </c>
      <c r="H3483" s="3">
        <v>0.35</v>
      </c>
      <c r="I3483">
        <v>1250</v>
      </c>
      <c r="J3483" s="4">
        <v>437.5</v>
      </c>
      <c r="K3483" s="4">
        <v>131.25</v>
      </c>
      <c r="L3483" s="5">
        <v>0.3</v>
      </c>
      <c r="M3483" t="s">
        <v>127</v>
      </c>
      <c r="N3483" t="s">
        <v>362</v>
      </c>
    </row>
    <row r="3484" spans="1:14">
      <c r="A3484" t="s">
        <v>29</v>
      </c>
      <c r="B3484">
        <v>1185732</v>
      </c>
      <c r="C3484" s="2">
        <v>44290</v>
      </c>
      <c r="D3484" t="s">
        <v>137</v>
      </c>
      <c r="E3484" t="s">
        <v>225</v>
      </c>
      <c r="F3484" t="s">
        <v>234</v>
      </c>
      <c r="G3484" t="s">
        <v>147</v>
      </c>
      <c r="H3484" s="3">
        <v>0.5</v>
      </c>
      <c r="I3484">
        <v>1250</v>
      </c>
      <c r="J3484" s="4">
        <v>625</v>
      </c>
      <c r="K3484" s="4">
        <v>187.5</v>
      </c>
      <c r="L3484" s="5">
        <v>0.3</v>
      </c>
      <c r="M3484" t="s">
        <v>127</v>
      </c>
      <c r="N3484" t="s">
        <v>362</v>
      </c>
    </row>
    <row r="3485" spans="1:14">
      <c r="A3485" t="s">
        <v>29</v>
      </c>
      <c r="B3485">
        <v>1185732</v>
      </c>
      <c r="C3485" s="2">
        <v>44290</v>
      </c>
      <c r="D3485" t="s">
        <v>137</v>
      </c>
      <c r="E3485" t="s">
        <v>225</v>
      </c>
      <c r="F3485" t="s">
        <v>234</v>
      </c>
      <c r="G3485" t="s">
        <v>144</v>
      </c>
      <c r="H3485" s="3">
        <v>0.4</v>
      </c>
      <c r="I3485">
        <v>2750</v>
      </c>
      <c r="J3485" s="4">
        <v>1100</v>
      </c>
      <c r="K3485" s="4">
        <v>385</v>
      </c>
      <c r="L3485" s="5">
        <v>0.35</v>
      </c>
      <c r="M3485" t="s">
        <v>127</v>
      </c>
      <c r="N3485" t="s">
        <v>362</v>
      </c>
    </row>
    <row r="3486" spans="1:14">
      <c r="A3486" t="s">
        <v>29</v>
      </c>
      <c r="B3486">
        <v>1185732</v>
      </c>
      <c r="C3486" s="2">
        <v>44319</v>
      </c>
      <c r="D3486" t="s">
        <v>137</v>
      </c>
      <c r="E3486" t="s">
        <v>225</v>
      </c>
      <c r="F3486" t="s">
        <v>234</v>
      </c>
      <c r="G3486" t="s">
        <v>27</v>
      </c>
      <c r="H3486" s="3">
        <v>0.54999999999999993</v>
      </c>
      <c r="I3486">
        <v>5450</v>
      </c>
      <c r="J3486" s="4">
        <v>2997.4999999999995</v>
      </c>
      <c r="K3486" s="4">
        <v>1198.9999999999998</v>
      </c>
      <c r="L3486" s="5">
        <v>0.4</v>
      </c>
      <c r="M3486" t="s">
        <v>128</v>
      </c>
      <c r="N3486" t="s">
        <v>362</v>
      </c>
    </row>
    <row r="3487" spans="1:14">
      <c r="A3487" t="s">
        <v>29</v>
      </c>
      <c r="B3487">
        <v>1185732</v>
      </c>
      <c r="C3487" s="2">
        <v>44319</v>
      </c>
      <c r="D3487" t="s">
        <v>137</v>
      </c>
      <c r="E3487" t="s">
        <v>225</v>
      </c>
      <c r="F3487" t="s">
        <v>234</v>
      </c>
      <c r="G3487" t="s">
        <v>145</v>
      </c>
      <c r="H3487" s="3">
        <v>0.5</v>
      </c>
      <c r="I3487">
        <v>2500</v>
      </c>
      <c r="J3487" s="4">
        <v>1250</v>
      </c>
      <c r="K3487" s="4">
        <v>500</v>
      </c>
      <c r="L3487" s="5">
        <v>0.4</v>
      </c>
      <c r="M3487" t="s">
        <v>128</v>
      </c>
      <c r="N3487" t="s">
        <v>362</v>
      </c>
    </row>
    <row r="3488" spans="1:14">
      <c r="A3488" t="s">
        <v>29</v>
      </c>
      <c r="B3488">
        <v>1185732</v>
      </c>
      <c r="C3488" s="2">
        <v>44319</v>
      </c>
      <c r="D3488" t="s">
        <v>137</v>
      </c>
      <c r="E3488" t="s">
        <v>225</v>
      </c>
      <c r="F3488" t="s">
        <v>234</v>
      </c>
      <c r="G3488" t="s">
        <v>146</v>
      </c>
      <c r="H3488" s="3">
        <v>0.45</v>
      </c>
      <c r="I3488">
        <v>2750</v>
      </c>
      <c r="J3488" s="4">
        <v>1237.5</v>
      </c>
      <c r="K3488" s="4">
        <v>371.25</v>
      </c>
      <c r="L3488" s="5">
        <v>0.3</v>
      </c>
      <c r="M3488" t="s">
        <v>128</v>
      </c>
      <c r="N3488" t="s">
        <v>362</v>
      </c>
    </row>
    <row r="3489" spans="1:14">
      <c r="A3489" t="s">
        <v>29</v>
      </c>
      <c r="B3489">
        <v>1185732</v>
      </c>
      <c r="C3489" s="2">
        <v>44319</v>
      </c>
      <c r="D3489" t="s">
        <v>137</v>
      </c>
      <c r="E3489" t="s">
        <v>225</v>
      </c>
      <c r="F3489" t="s">
        <v>234</v>
      </c>
      <c r="G3489" t="s">
        <v>148</v>
      </c>
      <c r="H3489" s="3">
        <v>0.45</v>
      </c>
      <c r="I3489">
        <v>2250</v>
      </c>
      <c r="J3489" s="4">
        <v>1012.5</v>
      </c>
      <c r="K3489" s="4">
        <v>303.75</v>
      </c>
      <c r="L3489" s="5">
        <v>0.3</v>
      </c>
      <c r="M3489" t="s">
        <v>128</v>
      </c>
      <c r="N3489" t="s">
        <v>362</v>
      </c>
    </row>
    <row r="3490" spans="1:14">
      <c r="A3490" t="s">
        <v>29</v>
      </c>
      <c r="B3490">
        <v>1185732</v>
      </c>
      <c r="C3490" s="2">
        <v>44319</v>
      </c>
      <c r="D3490" t="s">
        <v>137</v>
      </c>
      <c r="E3490" t="s">
        <v>225</v>
      </c>
      <c r="F3490" t="s">
        <v>234</v>
      </c>
      <c r="G3490" t="s">
        <v>147</v>
      </c>
      <c r="H3490" s="3">
        <v>0.54999999999999993</v>
      </c>
      <c r="I3490">
        <v>2500</v>
      </c>
      <c r="J3490" s="4">
        <v>1374.9999999999998</v>
      </c>
      <c r="K3490" s="4">
        <v>412.49999999999994</v>
      </c>
      <c r="L3490" s="5">
        <v>0.3</v>
      </c>
      <c r="M3490" t="s">
        <v>128</v>
      </c>
      <c r="N3490" t="s">
        <v>362</v>
      </c>
    </row>
    <row r="3491" spans="1:14">
      <c r="A3491" t="s">
        <v>29</v>
      </c>
      <c r="B3491">
        <v>1185732</v>
      </c>
      <c r="C3491" s="2">
        <v>44319</v>
      </c>
      <c r="D3491" t="s">
        <v>137</v>
      </c>
      <c r="E3491" t="s">
        <v>225</v>
      </c>
      <c r="F3491" t="s">
        <v>234</v>
      </c>
      <c r="G3491" t="s">
        <v>144</v>
      </c>
      <c r="H3491" s="3">
        <v>0.6</v>
      </c>
      <c r="I3491">
        <v>3750</v>
      </c>
      <c r="J3491" s="4">
        <v>2250</v>
      </c>
      <c r="K3491" s="4">
        <v>787.5</v>
      </c>
      <c r="L3491" s="5">
        <v>0.35</v>
      </c>
      <c r="M3491" t="s">
        <v>128</v>
      </c>
      <c r="N3491" t="s">
        <v>362</v>
      </c>
    </row>
    <row r="3492" spans="1:14">
      <c r="A3492" t="s">
        <v>29</v>
      </c>
      <c r="B3492">
        <v>1185732</v>
      </c>
      <c r="C3492" s="2">
        <v>44352</v>
      </c>
      <c r="D3492" t="s">
        <v>137</v>
      </c>
      <c r="E3492" t="s">
        <v>225</v>
      </c>
      <c r="F3492" t="s">
        <v>234</v>
      </c>
      <c r="G3492" t="s">
        <v>27</v>
      </c>
      <c r="H3492" s="3">
        <v>0.54999999999999993</v>
      </c>
      <c r="I3492">
        <v>6250</v>
      </c>
      <c r="J3492" s="4">
        <v>3437.4999999999995</v>
      </c>
      <c r="K3492" s="4">
        <v>1375</v>
      </c>
      <c r="L3492" s="5">
        <v>0.4</v>
      </c>
      <c r="M3492" t="s">
        <v>129</v>
      </c>
      <c r="N3492" t="s">
        <v>362</v>
      </c>
    </row>
    <row r="3493" spans="1:14">
      <c r="A3493" t="s">
        <v>29</v>
      </c>
      <c r="B3493">
        <v>1185732</v>
      </c>
      <c r="C3493" s="2">
        <v>44352</v>
      </c>
      <c r="D3493" t="s">
        <v>137</v>
      </c>
      <c r="E3493" t="s">
        <v>225</v>
      </c>
      <c r="F3493" t="s">
        <v>234</v>
      </c>
      <c r="G3493" t="s">
        <v>145</v>
      </c>
      <c r="H3493" s="3">
        <v>0.5</v>
      </c>
      <c r="I3493">
        <v>3750</v>
      </c>
      <c r="J3493" s="4">
        <v>1875</v>
      </c>
      <c r="K3493" s="4">
        <v>750</v>
      </c>
      <c r="L3493" s="5">
        <v>0.4</v>
      </c>
      <c r="M3493" t="s">
        <v>129</v>
      </c>
      <c r="N3493" t="s">
        <v>362</v>
      </c>
    </row>
    <row r="3494" spans="1:14">
      <c r="A3494" t="s">
        <v>29</v>
      </c>
      <c r="B3494">
        <v>1185732</v>
      </c>
      <c r="C3494" s="2">
        <v>44352</v>
      </c>
      <c r="D3494" t="s">
        <v>137</v>
      </c>
      <c r="E3494" t="s">
        <v>225</v>
      </c>
      <c r="F3494" t="s">
        <v>234</v>
      </c>
      <c r="G3494" t="s">
        <v>146</v>
      </c>
      <c r="H3494" s="3">
        <v>0.45</v>
      </c>
      <c r="I3494">
        <v>3000</v>
      </c>
      <c r="J3494" s="4">
        <v>1350</v>
      </c>
      <c r="K3494" s="4">
        <v>405</v>
      </c>
      <c r="L3494" s="5">
        <v>0.3</v>
      </c>
      <c r="M3494" t="s">
        <v>129</v>
      </c>
      <c r="N3494" t="s">
        <v>362</v>
      </c>
    </row>
    <row r="3495" spans="1:14">
      <c r="A3495" t="s">
        <v>29</v>
      </c>
      <c r="B3495">
        <v>1185732</v>
      </c>
      <c r="C3495" s="2">
        <v>44352</v>
      </c>
      <c r="D3495" t="s">
        <v>137</v>
      </c>
      <c r="E3495" t="s">
        <v>225</v>
      </c>
      <c r="F3495" t="s">
        <v>234</v>
      </c>
      <c r="G3495" t="s">
        <v>148</v>
      </c>
      <c r="H3495" s="3">
        <v>0.45</v>
      </c>
      <c r="I3495">
        <v>2750</v>
      </c>
      <c r="J3495" s="4">
        <v>1237.5</v>
      </c>
      <c r="K3495" s="4">
        <v>371.25</v>
      </c>
      <c r="L3495" s="5">
        <v>0.3</v>
      </c>
      <c r="M3495" t="s">
        <v>129</v>
      </c>
      <c r="N3495" t="s">
        <v>362</v>
      </c>
    </row>
    <row r="3496" spans="1:14">
      <c r="A3496" t="s">
        <v>29</v>
      </c>
      <c r="B3496">
        <v>1185732</v>
      </c>
      <c r="C3496" s="2">
        <v>44352</v>
      </c>
      <c r="D3496" t="s">
        <v>137</v>
      </c>
      <c r="E3496" t="s">
        <v>225</v>
      </c>
      <c r="F3496" t="s">
        <v>234</v>
      </c>
      <c r="G3496" t="s">
        <v>147</v>
      </c>
      <c r="H3496" s="3">
        <v>0.54999999999999993</v>
      </c>
      <c r="I3496">
        <v>2750</v>
      </c>
      <c r="J3496" s="4">
        <v>1512.4999999999998</v>
      </c>
      <c r="K3496" s="4">
        <v>453.74999999999994</v>
      </c>
      <c r="L3496" s="5">
        <v>0.3</v>
      </c>
      <c r="M3496" t="s">
        <v>129</v>
      </c>
      <c r="N3496" t="s">
        <v>362</v>
      </c>
    </row>
    <row r="3497" spans="1:14">
      <c r="A3497" t="s">
        <v>29</v>
      </c>
      <c r="B3497">
        <v>1185732</v>
      </c>
      <c r="C3497" s="2">
        <v>44352</v>
      </c>
      <c r="D3497" t="s">
        <v>137</v>
      </c>
      <c r="E3497" t="s">
        <v>225</v>
      </c>
      <c r="F3497" t="s">
        <v>234</v>
      </c>
      <c r="G3497" t="s">
        <v>144</v>
      </c>
      <c r="H3497" s="3">
        <v>0.6</v>
      </c>
      <c r="I3497">
        <v>4250</v>
      </c>
      <c r="J3497" s="4">
        <v>2550</v>
      </c>
      <c r="K3497" s="4">
        <v>892.5</v>
      </c>
      <c r="L3497" s="5">
        <v>0.35</v>
      </c>
      <c r="M3497" t="s">
        <v>129</v>
      </c>
      <c r="N3497" t="s">
        <v>362</v>
      </c>
    </row>
    <row r="3498" spans="1:14">
      <c r="A3498" t="s">
        <v>29</v>
      </c>
      <c r="B3498">
        <v>1185732</v>
      </c>
      <c r="C3498" s="2">
        <v>44380</v>
      </c>
      <c r="D3498" t="s">
        <v>137</v>
      </c>
      <c r="E3498" t="s">
        <v>225</v>
      </c>
      <c r="F3498" t="s">
        <v>234</v>
      </c>
      <c r="G3498" t="s">
        <v>27</v>
      </c>
      <c r="H3498" s="3">
        <v>0.54999999999999993</v>
      </c>
      <c r="I3498">
        <v>6500</v>
      </c>
      <c r="J3498" s="4">
        <v>3574.9999999999995</v>
      </c>
      <c r="K3498" s="4">
        <v>1430</v>
      </c>
      <c r="L3498" s="5">
        <v>0.4</v>
      </c>
      <c r="M3498" t="s">
        <v>130</v>
      </c>
      <c r="N3498" t="s">
        <v>363</v>
      </c>
    </row>
    <row r="3499" spans="1:14">
      <c r="A3499" t="s">
        <v>29</v>
      </c>
      <c r="B3499">
        <v>1185732</v>
      </c>
      <c r="C3499" s="2">
        <v>44380</v>
      </c>
      <c r="D3499" t="s">
        <v>137</v>
      </c>
      <c r="E3499" t="s">
        <v>225</v>
      </c>
      <c r="F3499" t="s">
        <v>234</v>
      </c>
      <c r="G3499" t="s">
        <v>145</v>
      </c>
      <c r="H3499" s="3">
        <v>0.5</v>
      </c>
      <c r="I3499">
        <v>4000</v>
      </c>
      <c r="J3499" s="4">
        <v>2000</v>
      </c>
      <c r="K3499" s="4">
        <v>800</v>
      </c>
      <c r="L3499" s="5">
        <v>0.4</v>
      </c>
      <c r="M3499" t="s">
        <v>130</v>
      </c>
      <c r="N3499" t="s">
        <v>363</v>
      </c>
    </row>
    <row r="3500" spans="1:14">
      <c r="A3500" t="s">
        <v>29</v>
      </c>
      <c r="B3500">
        <v>1185732</v>
      </c>
      <c r="C3500" s="2">
        <v>44380</v>
      </c>
      <c r="D3500" t="s">
        <v>137</v>
      </c>
      <c r="E3500" t="s">
        <v>225</v>
      </c>
      <c r="F3500" t="s">
        <v>234</v>
      </c>
      <c r="G3500" t="s">
        <v>146</v>
      </c>
      <c r="H3500" s="3">
        <v>0.45</v>
      </c>
      <c r="I3500">
        <v>3250</v>
      </c>
      <c r="J3500" s="4">
        <v>1462.5</v>
      </c>
      <c r="K3500" s="4">
        <v>438.75</v>
      </c>
      <c r="L3500" s="5">
        <v>0.3</v>
      </c>
      <c r="M3500" t="s">
        <v>130</v>
      </c>
      <c r="N3500" t="s">
        <v>363</v>
      </c>
    </row>
    <row r="3501" spans="1:14">
      <c r="A3501" t="s">
        <v>29</v>
      </c>
      <c r="B3501">
        <v>1185732</v>
      </c>
      <c r="C3501" s="2">
        <v>44380</v>
      </c>
      <c r="D3501" t="s">
        <v>137</v>
      </c>
      <c r="E3501" t="s">
        <v>225</v>
      </c>
      <c r="F3501" t="s">
        <v>234</v>
      </c>
      <c r="G3501" t="s">
        <v>148</v>
      </c>
      <c r="H3501" s="3">
        <v>0.45</v>
      </c>
      <c r="I3501">
        <v>2750</v>
      </c>
      <c r="J3501" s="4">
        <v>1237.5</v>
      </c>
      <c r="K3501" s="4">
        <v>371.25</v>
      </c>
      <c r="L3501" s="5">
        <v>0.3</v>
      </c>
      <c r="M3501" t="s">
        <v>130</v>
      </c>
      <c r="N3501" t="s">
        <v>363</v>
      </c>
    </row>
    <row r="3502" spans="1:14">
      <c r="A3502" t="s">
        <v>29</v>
      </c>
      <c r="B3502">
        <v>1185732</v>
      </c>
      <c r="C3502" s="2">
        <v>44380</v>
      </c>
      <c r="D3502" t="s">
        <v>137</v>
      </c>
      <c r="E3502" t="s">
        <v>225</v>
      </c>
      <c r="F3502" t="s">
        <v>234</v>
      </c>
      <c r="G3502" t="s">
        <v>147</v>
      </c>
      <c r="H3502" s="3">
        <v>0.54999999999999993</v>
      </c>
      <c r="I3502">
        <v>3000</v>
      </c>
      <c r="J3502" s="4">
        <v>1649.9999999999998</v>
      </c>
      <c r="K3502" s="4">
        <v>494.99999999999989</v>
      </c>
      <c r="L3502" s="5">
        <v>0.3</v>
      </c>
      <c r="M3502" t="s">
        <v>130</v>
      </c>
      <c r="N3502" t="s">
        <v>363</v>
      </c>
    </row>
    <row r="3503" spans="1:14">
      <c r="A3503" t="s">
        <v>29</v>
      </c>
      <c r="B3503">
        <v>1185732</v>
      </c>
      <c r="C3503" s="2">
        <v>44380</v>
      </c>
      <c r="D3503" t="s">
        <v>137</v>
      </c>
      <c r="E3503" t="s">
        <v>225</v>
      </c>
      <c r="F3503" t="s">
        <v>234</v>
      </c>
      <c r="G3503" t="s">
        <v>144</v>
      </c>
      <c r="H3503" s="3">
        <v>0.6</v>
      </c>
      <c r="I3503">
        <v>4750</v>
      </c>
      <c r="J3503" s="4">
        <v>2850</v>
      </c>
      <c r="K3503" s="4">
        <v>997.49999999999989</v>
      </c>
      <c r="L3503" s="5">
        <v>0.35</v>
      </c>
      <c r="M3503" t="s">
        <v>130</v>
      </c>
      <c r="N3503" t="s">
        <v>363</v>
      </c>
    </row>
    <row r="3504" spans="1:14">
      <c r="A3504" t="s">
        <v>29</v>
      </c>
      <c r="B3504">
        <v>1185732</v>
      </c>
      <c r="C3504" s="2">
        <v>44412</v>
      </c>
      <c r="D3504" t="s">
        <v>137</v>
      </c>
      <c r="E3504" t="s">
        <v>225</v>
      </c>
      <c r="F3504" t="s">
        <v>234</v>
      </c>
      <c r="G3504" t="s">
        <v>27</v>
      </c>
      <c r="H3504" s="3">
        <v>0.54999999999999993</v>
      </c>
      <c r="I3504">
        <v>6250</v>
      </c>
      <c r="J3504" s="4">
        <v>3437.4999999999995</v>
      </c>
      <c r="K3504" s="4">
        <v>1375</v>
      </c>
      <c r="L3504" s="5">
        <v>0.4</v>
      </c>
      <c r="M3504" t="s">
        <v>131</v>
      </c>
      <c r="N3504" t="s">
        <v>363</v>
      </c>
    </row>
    <row r="3505" spans="1:14">
      <c r="A3505" t="s">
        <v>29</v>
      </c>
      <c r="B3505">
        <v>1185732</v>
      </c>
      <c r="C3505" s="2">
        <v>44412</v>
      </c>
      <c r="D3505" t="s">
        <v>137</v>
      </c>
      <c r="E3505" t="s">
        <v>225</v>
      </c>
      <c r="F3505" t="s">
        <v>234</v>
      </c>
      <c r="G3505" t="s">
        <v>145</v>
      </c>
      <c r="H3505" s="3">
        <v>0.5</v>
      </c>
      <c r="I3505">
        <v>4000</v>
      </c>
      <c r="J3505" s="4">
        <v>2000</v>
      </c>
      <c r="K3505" s="4">
        <v>800</v>
      </c>
      <c r="L3505" s="5">
        <v>0.4</v>
      </c>
      <c r="M3505" t="s">
        <v>131</v>
      </c>
      <c r="N3505" t="s">
        <v>363</v>
      </c>
    </row>
    <row r="3506" spans="1:14">
      <c r="A3506" t="s">
        <v>29</v>
      </c>
      <c r="B3506">
        <v>1185732</v>
      </c>
      <c r="C3506" s="2">
        <v>44412</v>
      </c>
      <c r="D3506" t="s">
        <v>137</v>
      </c>
      <c r="E3506" t="s">
        <v>225</v>
      </c>
      <c r="F3506" t="s">
        <v>234</v>
      </c>
      <c r="G3506" t="s">
        <v>146</v>
      </c>
      <c r="H3506" s="3">
        <v>0.45</v>
      </c>
      <c r="I3506">
        <v>3250</v>
      </c>
      <c r="J3506" s="4">
        <v>1462.5</v>
      </c>
      <c r="K3506" s="4">
        <v>438.75</v>
      </c>
      <c r="L3506" s="5">
        <v>0.3</v>
      </c>
      <c r="M3506" t="s">
        <v>131</v>
      </c>
      <c r="N3506" t="s">
        <v>363</v>
      </c>
    </row>
    <row r="3507" spans="1:14">
      <c r="A3507" t="s">
        <v>29</v>
      </c>
      <c r="B3507">
        <v>1185732</v>
      </c>
      <c r="C3507" s="2">
        <v>44412</v>
      </c>
      <c r="D3507" t="s">
        <v>137</v>
      </c>
      <c r="E3507" t="s">
        <v>225</v>
      </c>
      <c r="F3507" t="s">
        <v>234</v>
      </c>
      <c r="G3507" t="s">
        <v>148</v>
      </c>
      <c r="H3507" s="3">
        <v>0.45</v>
      </c>
      <c r="I3507">
        <v>2250</v>
      </c>
      <c r="J3507" s="4">
        <v>1012.5</v>
      </c>
      <c r="K3507" s="4">
        <v>303.75</v>
      </c>
      <c r="L3507" s="5">
        <v>0.3</v>
      </c>
      <c r="M3507" t="s">
        <v>131</v>
      </c>
      <c r="N3507" t="s">
        <v>363</v>
      </c>
    </row>
    <row r="3508" spans="1:14">
      <c r="A3508" t="s">
        <v>29</v>
      </c>
      <c r="B3508">
        <v>1185732</v>
      </c>
      <c r="C3508" s="2">
        <v>44412</v>
      </c>
      <c r="D3508" t="s">
        <v>137</v>
      </c>
      <c r="E3508" t="s">
        <v>225</v>
      </c>
      <c r="F3508" t="s">
        <v>234</v>
      </c>
      <c r="G3508" t="s">
        <v>147</v>
      </c>
      <c r="H3508" s="3">
        <v>0.54999999999999993</v>
      </c>
      <c r="I3508">
        <v>2000</v>
      </c>
      <c r="J3508" s="4">
        <v>1099.9999999999998</v>
      </c>
      <c r="K3508" s="4">
        <v>329.99999999999994</v>
      </c>
      <c r="L3508" s="5">
        <v>0.3</v>
      </c>
      <c r="M3508" t="s">
        <v>131</v>
      </c>
      <c r="N3508" t="s">
        <v>363</v>
      </c>
    </row>
    <row r="3509" spans="1:14">
      <c r="A3509" t="s">
        <v>29</v>
      </c>
      <c r="B3509">
        <v>1185732</v>
      </c>
      <c r="C3509" s="2">
        <v>44412</v>
      </c>
      <c r="D3509" t="s">
        <v>137</v>
      </c>
      <c r="E3509" t="s">
        <v>225</v>
      </c>
      <c r="F3509" t="s">
        <v>234</v>
      </c>
      <c r="G3509" t="s">
        <v>144</v>
      </c>
      <c r="H3509" s="3">
        <v>0.6</v>
      </c>
      <c r="I3509">
        <v>3750</v>
      </c>
      <c r="J3509" s="4">
        <v>2250</v>
      </c>
      <c r="K3509" s="4">
        <v>787.5</v>
      </c>
      <c r="L3509" s="5">
        <v>0.35</v>
      </c>
      <c r="M3509" t="s">
        <v>131</v>
      </c>
      <c r="N3509" t="s">
        <v>363</v>
      </c>
    </row>
    <row r="3510" spans="1:14">
      <c r="A3510" t="s">
        <v>29</v>
      </c>
      <c r="B3510">
        <v>1185732</v>
      </c>
      <c r="C3510" s="2">
        <v>44442</v>
      </c>
      <c r="D3510" t="s">
        <v>137</v>
      </c>
      <c r="E3510" t="s">
        <v>225</v>
      </c>
      <c r="F3510" t="s">
        <v>234</v>
      </c>
      <c r="G3510" t="s">
        <v>27</v>
      </c>
      <c r="H3510" s="3">
        <v>0.54999999999999993</v>
      </c>
      <c r="I3510">
        <v>5000</v>
      </c>
      <c r="J3510" s="4">
        <v>2749.9999999999995</v>
      </c>
      <c r="K3510" s="4">
        <v>1099.9999999999998</v>
      </c>
      <c r="L3510" s="5">
        <v>0.4</v>
      </c>
      <c r="M3510" t="s">
        <v>132</v>
      </c>
      <c r="N3510" t="s">
        <v>363</v>
      </c>
    </row>
    <row r="3511" spans="1:14">
      <c r="A3511" t="s">
        <v>29</v>
      </c>
      <c r="B3511">
        <v>1185732</v>
      </c>
      <c r="C3511" s="2">
        <v>44442</v>
      </c>
      <c r="D3511" t="s">
        <v>137</v>
      </c>
      <c r="E3511" t="s">
        <v>225</v>
      </c>
      <c r="F3511" t="s">
        <v>234</v>
      </c>
      <c r="G3511" t="s">
        <v>145</v>
      </c>
      <c r="H3511" s="3">
        <v>0.5</v>
      </c>
      <c r="I3511">
        <v>3000</v>
      </c>
      <c r="J3511" s="4">
        <v>1500</v>
      </c>
      <c r="K3511" s="4">
        <v>600</v>
      </c>
      <c r="L3511" s="5">
        <v>0.4</v>
      </c>
      <c r="M3511" t="s">
        <v>132</v>
      </c>
      <c r="N3511" t="s">
        <v>363</v>
      </c>
    </row>
    <row r="3512" spans="1:14">
      <c r="A3512" t="s">
        <v>29</v>
      </c>
      <c r="B3512">
        <v>1185732</v>
      </c>
      <c r="C3512" s="2">
        <v>44442</v>
      </c>
      <c r="D3512" t="s">
        <v>137</v>
      </c>
      <c r="E3512" t="s">
        <v>225</v>
      </c>
      <c r="F3512" t="s">
        <v>234</v>
      </c>
      <c r="G3512" t="s">
        <v>146</v>
      </c>
      <c r="H3512" s="3">
        <v>0.45</v>
      </c>
      <c r="I3512">
        <v>2000</v>
      </c>
      <c r="J3512" s="4">
        <v>900</v>
      </c>
      <c r="K3512" s="4">
        <v>270</v>
      </c>
      <c r="L3512" s="5">
        <v>0.3</v>
      </c>
      <c r="M3512" t="s">
        <v>132</v>
      </c>
      <c r="N3512" t="s">
        <v>363</v>
      </c>
    </row>
    <row r="3513" spans="1:14">
      <c r="A3513" t="s">
        <v>29</v>
      </c>
      <c r="B3513">
        <v>1185732</v>
      </c>
      <c r="C3513" s="2">
        <v>44442</v>
      </c>
      <c r="D3513" t="s">
        <v>137</v>
      </c>
      <c r="E3513" t="s">
        <v>225</v>
      </c>
      <c r="F3513" t="s">
        <v>234</v>
      </c>
      <c r="G3513" t="s">
        <v>148</v>
      </c>
      <c r="H3513" s="3">
        <v>0.45</v>
      </c>
      <c r="I3513">
        <v>1750</v>
      </c>
      <c r="J3513" s="4">
        <v>787.5</v>
      </c>
      <c r="K3513" s="4">
        <v>236.25</v>
      </c>
      <c r="L3513" s="5">
        <v>0.3</v>
      </c>
      <c r="M3513" t="s">
        <v>132</v>
      </c>
      <c r="N3513" t="s">
        <v>363</v>
      </c>
    </row>
    <row r="3514" spans="1:14">
      <c r="A3514" t="s">
        <v>29</v>
      </c>
      <c r="B3514">
        <v>1185732</v>
      </c>
      <c r="C3514" s="2">
        <v>44442</v>
      </c>
      <c r="D3514" t="s">
        <v>137</v>
      </c>
      <c r="E3514" t="s">
        <v>225</v>
      </c>
      <c r="F3514" t="s">
        <v>234</v>
      </c>
      <c r="G3514" t="s">
        <v>147</v>
      </c>
      <c r="H3514" s="3">
        <v>0.54999999999999993</v>
      </c>
      <c r="I3514">
        <v>1750</v>
      </c>
      <c r="J3514" s="4">
        <v>962.49999999999989</v>
      </c>
      <c r="K3514" s="4">
        <v>288.74999999999994</v>
      </c>
      <c r="L3514" s="5">
        <v>0.3</v>
      </c>
      <c r="M3514" t="s">
        <v>132</v>
      </c>
      <c r="N3514" t="s">
        <v>363</v>
      </c>
    </row>
    <row r="3515" spans="1:14">
      <c r="A3515" t="s">
        <v>29</v>
      </c>
      <c r="B3515">
        <v>1185732</v>
      </c>
      <c r="C3515" s="2">
        <v>44442</v>
      </c>
      <c r="D3515" t="s">
        <v>137</v>
      </c>
      <c r="E3515" t="s">
        <v>225</v>
      </c>
      <c r="F3515" t="s">
        <v>234</v>
      </c>
      <c r="G3515" t="s">
        <v>144</v>
      </c>
      <c r="H3515" s="3">
        <v>0.6</v>
      </c>
      <c r="I3515">
        <v>2750</v>
      </c>
      <c r="J3515" s="4">
        <v>1650</v>
      </c>
      <c r="K3515" s="4">
        <v>577.5</v>
      </c>
      <c r="L3515" s="5">
        <v>0.35</v>
      </c>
      <c r="M3515" t="s">
        <v>132</v>
      </c>
      <c r="N3515" t="s">
        <v>363</v>
      </c>
    </row>
    <row r="3516" spans="1:14">
      <c r="A3516" t="s">
        <v>29</v>
      </c>
      <c r="B3516">
        <v>1185732</v>
      </c>
      <c r="C3516" s="2">
        <v>44474</v>
      </c>
      <c r="D3516" t="s">
        <v>137</v>
      </c>
      <c r="E3516" t="s">
        <v>225</v>
      </c>
      <c r="F3516" t="s">
        <v>234</v>
      </c>
      <c r="G3516" t="s">
        <v>27</v>
      </c>
      <c r="H3516" s="3">
        <v>0.6</v>
      </c>
      <c r="I3516">
        <v>4500</v>
      </c>
      <c r="J3516" s="4">
        <v>2700</v>
      </c>
      <c r="K3516" s="4">
        <v>1080</v>
      </c>
      <c r="L3516" s="5">
        <v>0.4</v>
      </c>
      <c r="M3516" t="s">
        <v>133</v>
      </c>
      <c r="N3516" t="s">
        <v>364</v>
      </c>
    </row>
    <row r="3517" spans="1:14">
      <c r="A3517" t="s">
        <v>29</v>
      </c>
      <c r="B3517">
        <v>1185732</v>
      </c>
      <c r="C3517" s="2">
        <v>44474</v>
      </c>
      <c r="D3517" t="s">
        <v>137</v>
      </c>
      <c r="E3517" t="s">
        <v>225</v>
      </c>
      <c r="F3517" t="s">
        <v>234</v>
      </c>
      <c r="G3517" t="s">
        <v>145</v>
      </c>
      <c r="H3517" s="3">
        <v>0.55000000000000004</v>
      </c>
      <c r="I3517">
        <v>2750</v>
      </c>
      <c r="J3517" s="4">
        <v>1512.5000000000002</v>
      </c>
      <c r="K3517" s="4">
        <v>605.00000000000011</v>
      </c>
      <c r="L3517" s="5">
        <v>0.4</v>
      </c>
      <c r="M3517" t="s">
        <v>133</v>
      </c>
      <c r="N3517" t="s">
        <v>364</v>
      </c>
    </row>
    <row r="3518" spans="1:14">
      <c r="A3518" t="s">
        <v>29</v>
      </c>
      <c r="B3518">
        <v>1185732</v>
      </c>
      <c r="C3518" s="2">
        <v>44474</v>
      </c>
      <c r="D3518" t="s">
        <v>137</v>
      </c>
      <c r="E3518" t="s">
        <v>225</v>
      </c>
      <c r="F3518" t="s">
        <v>234</v>
      </c>
      <c r="G3518" t="s">
        <v>146</v>
      </c>
      <c r="H3518" s="3">
        <v>0.55000000000000004</v>
      </c>
      <c r="I3518">
        <v>1750</v>
      </c>
      <c r="J3518" s="4">
        <v>962.50000000000011</v>
      </c>
      <c r="K3518" s="4">
        <v>288.75</v>
      </c>
      <c r="L3518" s="5">
        <v>0.3</v>
      </c>
      <c r="M3518" t="s">
        <v>133</v>
      </c>
      <c r="N3518" t="s">
        <v>364</v>
      </c>
    </row>
    <row r="3519" spans="1:14">
      <c r="A3519" t="s">
        <v>29</v>
      </c>
      <c r="B3519">
        <v>1185732</v>
      </c>
      <c r="C3519" s="2">
        <v>44474</v>
      </c>
      <c r="D3519" t="s">
        <v>137</v>
      </c>
      <c r="E3519" t="s">
        <v>225</v>
      </c>
      <c r="F3519" t="s">
        <v>234</v>
      </c>
      <c r="G3519" t="s">
        <v>148</v>
      </c>
      <c r="H3519" s="3">
        <v>0.55000000000000004</v>
      </c>
      <c r="I3519">
        <v>1500</v>
      </c>
      <c r="J3519" s="4">
        <v>825.00000000000011</v>
      </c>
      <c r="K3519" s="4">
        <v>247.50000000000003</v>
      </c>
      <c r="L3519" s="5">
        <v>0.3</v>
      </c>
      <c r="M3519" t="s">
        <v>133</v>
      </c>
      <c r="N3519" t="s">
        <v>364</v>
      </c>
    </row>
    <row r="3520" spans="1:14">
      <c r="A3520" t="s">
        <v>29</v>
      </c>
      <c r="B3520">
        <v>1185732</v>
      </c>
      <c r="C3520" s="2">
        <v>44474</v>
      </c>
      <c r="D3520" t="s">
        <v>137</v>
      </c>
      <c r="E3520" t="s">
        <v>225</v>
      </c>
      <c r="F3520" t="s">
        <v>234</v>
      </c>
      <c r="G3520" t="s">
        <v>147</v>
      </c>
      <c r="H3520" s="3">
        <v>0.65</v>
      </c>
      <c r="I3520">
        <v>1500</v>
      </c>
      <c r="J3520" s="4">
        <v>975</v>
      </c>
      <c r="K3520" s="4">
        <v>292.5</v>
      </c>
      <c r="L3520" s="5">
        <v>0.3</v>
      </c>
      <c r="M3520" t="s">
        <v>133</v>
      </c>
      <c r="N3520" t="s">
        <v>364</v>
      </c>
    </row>
    <row r="3521" spans="1:14">
      <c r="A3521" t="s">
        <v>29</v>
      </c>
      <c r="B3521">
        <v>1185732</v>
      </c>
      <c r="C3521" s="2">
        <v>44474</v>
      </c>
      <c r="D3521" t="s">
        <v>137</v>
      </c>
      <c r="E3521" t="s">
        <v>225</v>
      </c>
      <c r="F3521" t="s">
        <v>234</v>
      </c>
      <c r="G3521" t="s">
        <v>144</v>
      </c>
      <c r="H3521" s="3">
        <v>0.7</v>
      </c>
      <c r="I3521">
        <v>2750</v>
      </c>
      <c r="J3521" s="4">
        <v>1924.9999999999998</v>
      </c>
      <c r="K3521" s="4">
        <v>673.74999999999989</v>
      </c>
      <c r="L3521" s="5">
        <v>0.35</v>
      </c>
      <c r="M3521" t="s">
        <v>133</v>
      </c>
      <c r="N3521" t="s">
        <v>364</v>
      </c>
    </row>
    <row r="3522" spans="1:14">
      <c r="A3522" t="s">
        <v>29</v>
      </c>
      <c r="B3522">
        <v>1185732</v>
      </c>
      <c r="C3522" s="2">
        <v>44504</v>
      </c>
      <c r="D3522" t="s">
        <v>137</v>
      </c>
      <c r="E3522" t="s">
        <v>225</v>
      </c>
      <c r="F3522" t="s">
        <v>234</v>
      </c>
      <c r="G3522" t="s">
        <v>27</v>
      </c>
      <c r="H3522" s="3">
        <v>0.65</v>
      </c>
      <c r="I3522">
        <v>4250</v>
      </c>
      <c r="J3522" s="4">
        <v>2762.5</v>
      </c>
      <c r="K3522" s="4">
        <v>1105</v>
      </c>
      <c r="L3522" s="5">
        <v>0.4</v>
      </c>
      <c r="M3522" t="s">
        <v>134</v>
      </c>
      <c r="N3522" t="s">
        <v>364</v>
      </c>
    </row>
    <row r="3523" spans="1:14">
      <c r="A3523" t="s">
        <v>29</v>
      </c>
      <c r="B3523">
        <v>1185732</v>
      </c>
      <c r="C3523" s="2">
        <v>44504</v>
      </c>
      <c r="D3523" t="s">
        <v>137</v>
      </c>
      <c r="E3523" t="s">
        <v>225</v>
      </c>
      <c r="F3523" t="s">
        <v>234</v>
      </c>
      <c r="G3523" t="s">
        <v>145</v>
      </c>
      <c r="H3523" s="3">
        <v>0.55000000000000004</v>
      </c>
      <c r="I3523">
        <v>3000</v>
      </c>
      <c r="J3523" s="4">
        <v>1650.0000000000002</v>
      </c>
      <c r="K3523" s="4">
        <v>660.00000000000011</v>
      </c>
      <c r="L3523" s="5">
        <v>0.4</v>
      </c>
      <c r="M3523" t="s">
        <v>134</v>
      </c>
      <c r="N3523" t="s">
        <v>364</v>
      </c>
    </row>
    <row r="3524" spans="1:14">
      <c r="A3524" t="s">
        <v>29</v>
      </c>
      <c r="B3524">
        <v>1185732</v>
      </c>
      <c r="C3524" s="2">
        <v>44504</v>
      </c>
      <c r="D3524" t="s">
        <v>137</v>
      </c>
      <c r="E3524" t="s">
        <v>225</v>
      </c>
      <c r="F3524" t="s">
        <v>234</v>
      </c>
      <c r="G3524" t="s">
        <v>146</v>
      </c>
      <c r="H3524" s="3">
        <v>0.55000000000000004</v>
      </c>
      <c r="I3524">
        <v>2950</v>
      </c>
      <c r="J3524" s="4">
        <v>1622.5000000000002</v>
      </c>
      <c r="K3524" s="4">
        <v>486.75000000000006</v>
      </c>
      <c r="L3524" s="5">
        <v>0.3</v>
      </c>
      <c r="M3524" t="s">
        <v>134</v>
      </c>
      <c r="N3524" t="s">
        <v>364</v>
      </c>
    </row>
    <row r="3525" spans="1:14">
      <c r="A3525" t="s">
        <v>29</v>
      </c>
      <c r="B3525">
        <v>1185732</v>
      </c>
      <c r="C3525" s="2">
        <v>44504</v>
      </c>
      <c r="D3525" t="s">
        <v>137</v>
      </c>
      <c r="E3525" t="s">
        <v>225</v>
      </c>
      <c r="F3525" t="s">
        <v>234</v>
      </c>
      <c r="G3525" t="s">
        <v>148</v>
      </c>
      <c r="H3525" s="3">
        <v>0.55000000000000004</v>
      </c>
      <c r="I3525">
        <v>2750</v>
      </c>
      <c r="J3525" s="4">
        <v>1512.5000000000002</v>
      </c>
      <c r="K3525" s="4">
        <v>453.75000000000006</v>
      </c>
      <c r="L3525" s="5">
        <v>0.3</v>
      </c>
      <c r="M3525" t="s">
        <v>134</v>
      </c>
      <c r="N3525" t="s">
        <v>364</v>
      </c>
    </row>
    <row r="3526" spans="1:14">
      <c r="A3526" t="s">
        <v>29</v>
      </c>
      <c r="B3526">
        <v>1185732</v>
      </c>
      <c r="C3526" s="2">
        <v>44504</v>
      </c>
      <c r="D3526" t="s">
        <v>137</v>
      </c>
      <c r="E3526" t="s">
        <v>225</v>
      </c>
      <c r="F3526" t="s">
        <v>234</v>
      </c>
      <c r="G3526" t="s">
        <v>147</v>
      </c>
      <c r="H3526" s="3">
        <v>0.65</v>
      </c>
      <c r="I3526">
        <v>2500</v>
      </c>
      <c r="J3526" s="4">
        <v>1625</v>
      </c>
      <c r="K3526" s="4">
        <v>487.5</v>
      </c>
      <c r="L3526" s="5">
        <v>0.3</v>
      </c>
      <c r="M3526" t="s">
        <v>134</v>
      </c>
      <c r="N3526" t="s">
        <v>364</v>
      </c>
    </row>
    <row r="3527" spans="1:14">
      <c r="A3527" t="s">
        <v>29</v>
      </c>
      <c r="B3527">
        <v>1185732</v>
      </c>
      <c r="C3527" s="2">
        <v>44504</v>
      </c>
      <c r="D3527" t="s">
        <v>137</v>
      </c>
      <c r="E3527" t="s">
        <v>225</v>
      </c>
      <c r="F3527" t="s">
        <v>234</v>
      </c>
      <c r="G3527" t="s">
        <v>144</v>
      </c>
      <c r="H3527" s="3">
        <v>0.7</v>
      </c>
      <c r="I3527">
        <v>3500</v>
      </c>
      <c r="J3527" s="4">
        <v>2450</v>
      </c>
      <c r="K3527" s="4">
        <v>857.5</v>
      </c>
      <c r="L3527" s="5">
        <v>0.35</v>
      </c>
      <c r="M3527" t="s">
        <v>134</v>
      </c>
      <c r="N3527" t="s">
        <v>364</v>
      </c>
    </row>
    <row r="3528" spans="1:14">
      <c r="A3528" t="s">
        <v>29</v>
      </c>
      <c r="B3528">
        <v>1185732</v>
      </c>
      <c r="C3528" s="2">
        <v>44533</v>
      </c>
      <c r="D3528" t="s">
        <v>137</v>
      </c>
      <c r="E3528" t="s">
        <v>225</v>
      </c>
      <c r="F3528" t="s">
        <v>234</v>
      </c>
      <c r="G3528" t="s">
        <v>27</v>
      </c>
      <c r="H3528" s="3">
        <v>0.65</v>
      </c>
      <c r="I3528">
        <v>5750</v>
      </c>
      <c r="J3528" s="4">
        <v>3737.5</v>
      </c>
      <c r="K3528" s="4">
        <v>1495</v>
      </c>
      <c r="L3528" s="5">
        <v>0.4</v>
      </c>
      <c r="M3528" t="s">
        <v>23</v>
      </c>
      <c r="N3528" t="s">
        <v>364</v>
      </c>
    </row>
    <row r="3529" spans="1:14">
      <c r="A3529" t="s">
        <v>29</v>
      </c>
      <c r="B3529">
        <v>1185732</v>
      </c>
      <c r="C3529" s="2">
        <v>44533</v>
      </c>
      <c r="D3529" t="s">
        <v>137</v>
      </c>
      <c r="E3529" t="s">
        <v>225</v>
      </c>
      <c r="F3529" t="s">
        <v>234</v>
      </c>
      <c r="G3529" t="s">
        <v>145</v>
      </c>
      <c r="H3529" s="3">
        <v>0.55000000000000004</v>
      </c>
      <c r="I3529">
        <v>3750</v>
      </c>
      <c r="J3529" s="4">
        <v>2062.5</v>
      </c>
      <c r="K3529" s="4">
        <v>825</v>
      </c>
      <c r="L3529" s="5">
        <v>0.4</v>
      </c>
      <c r="M3529" t="s">
        <v>23</v>
      </c>
      <c r="N3529" t="s">
        <v>364</v>
      </c>
    </row>
    <row r="3530" spans="1:14">
      <c r="A3530" t="s">
        <v>29</v>
      </c>
      <c r="B3530">
        <v>1185732</v>
      </c>
      <c r="C3530" s="2">
        <v>44533</v>
      </c>
      <c r="D3530" t="s">
        <v>137</v>
      </c>
      <c r="E3530" t="s">
        <v>225</v>
      </c>
      <c r="F3530" t="s">
        <v>234</v>
      </c>
      <c r="G3530" t="s">
        <v>146</v>
      </c>
      <c r="H3530" s="3">
        <v>0.55000000000000004</v>
      </c>
      <c r="I3530">
        <v>3500</v>
      </c>
      <c r="J3530" s="4">
        <v>1925.0000000000002</v>
      </c>
      <c r="K3530" s="4">
        <v>577.5</v>
      </c>
      <c r="L3530" s="5">
        <v>0.3</v>
      </c>
      <c r="M3530" t="s">
        <v>23</v>
      </c>
      <c r="N3530" t="s">
        <v>364</v>
      </c>
    </row>
    <row r="3531" spans="1:14">
      <c r="A3531" t="s">
        <v>29</v>
      </c>
      <c r="B3531">
        <v>1185732</v>
      </c>
      <c r="C3531" s="2">
        <v>44533</v>
      </c>
      <c r="D3531" t="s">
        <v>137</v>
      </c>
      <c r="E3531" t="s">
        <v>225</v>
      </c>
      <c r="F3531" t="s">
        <v>234</v>
      </c>
      <c r="G3531" t="s">
        <v>148</v>
      </c>
      <c r="H3531" s="3">
        <v>0.55000000000000004</v>
      </c>
      <c r="I3531">
        <v>3000</v>
      </c>
      <c r="J3531" s="4">
        <v>1650.0000000000002</v>
      </c>
      <c r="K3531" s="4">
        <v>495.00000000000006</v>
      </c>
      <c r="L3531" s="5">
        <v>0.3</v>
      </c>
      <c r="M3531" t="s">
        <v>23</v>
      </c>
      <c r="N3531" t="s">
        <v>364</v>
      </c>
    </row>
    <row r="3532" spans="1:14">
      <c r="A3532" t="s">
        <v>29</v>
      </c>
      <c r="B3532">
        <v>1185732</v>
      </c>
      <c r="C3532" s="2">
        <v>44533</v>
      </c>
      <c r="D3532" t="s">
        <v>137</v>
      </c>
      <c r="E3532" t="s">
        <v>225</v>
      </c>
      <c r="F3532" t="s">
        <v>234</v>
      </c>
      <c r="G3532" t="s">
        <v>147</v>
      </c>
      <c r="H3532" s="3">
        <v>0.65</v>
      </c>
      <c r="I3532">
        <v>3000</v>
      </c>
      <c r="J3532" s="4">
        <v>1950</v>
      </c>
      <c r="K3532" s="4">
        <v>585</v>
      </c>
      <c r="L3532" s="5">
        <v>0.3</v>
      </c>
      <c r="M3532" t="s">
        <v>23</v>
      </c>
      <c r="N3532" t="s">
        <v>364</v>
      </c>
    </row>
    <row r="3533" spans="1:14">
      <c r="A3533" t="s">
        <v>29</v>
      </c>
      <c r="B3533">
        <v>1185732</v>
      </c>
      <c r="C3533" s="2">
        <v>44533</v>
      </c>
      <c r="D3533" t="s">
        <v>137</v>
      </c>
      <c r="E3533" t="s">
        <v>225</v>
      </c>
      <c r="F3533" t="s">
        <v>234</v>
      </c>
      <c r="G3533" t="s">
        <v>144</v>
      </c>
      <c r="H3533" s="3">
        <v>0.7</v>
      </c>
      <c r="I3533">
        <v>4000</v>
      </c>
      <c r="J3533" s="4">
        <v>2800</v>
      </c>
      <c r="K3533" s="4">
        <v>979.99999999999989</v>
      </c>
      <c r="L3533" s="5">
        <v>0.35</v>
      </c>
      <c r="M3533" t="s">
        <v>23</v>
      </c>
      <c r="N3533" t="s">
        <v>364</v>
      </c>
    </row>
    <row r="3534" spans="1:14">
      <c r="A3534" t="s">
        <v>29</v>
      </c>
      <c r="B3534">
        <v>1185732</v>
      </c>
      <c r="C3534" s="2">
        <v>44206</v>
      </c>
      <c r="D3534" t="s">
        <v>137</v>
      </c>
      <c r="E3534" t="s">
        <v>253</v>
      </c>
      <c r="F3534" t="s">
        <v>261</v>
      </c>
      <c r="G3534" t="s">
        <v>27</v>
      </c>
      <c r="H3534" s="3">
        <v>0.35000000000000003</v>
      </c>
      <c r="I3534">
        <v>4250</v>
      </c>
      <c r="J3534" s="4">
        <v>1487.5000000000002</v>
      </c>
      <c r="K3534" s="4">
        <v>520.625</v>
      </c>
      <c r="L3534" s="5">
        <v>0.35</v>
      </c>
      <c r="M3534" t="s">
        <v>125</v>
      </c>
      <c r="N3534" t="s">
        <v>361</v>
      </c>
    </row>
    <row r="3535" spans="1:14">
      <c r="A3535" t="s">
        <v>29</v>
      </c>
      <c r="B3535">
        <v>1185732</v>
      </c>
      <c r="C3535" s="2">
        <v>44206</v>
      </c>
      <c r="D3535" t="s">
        <v>137</v>
      </c>
      <c r="E3535" t="s">
        <v>253</v>
      </c>
      <c r="F3535" t="s">
        <v>261</v>
      </c>
      <c r="G3535" t="s">
        <v>145</v>
      </c>
      <c r="H3535" s="3">
        <v>0.35000000000000003</v>
      </c>
      <c r="I3535">
        <v>2250</v>
      </c>
      <c r="J3535" s="4">
        <v>787.50000000000011</v>
      </c>
      <c r="K3535" s="4">
        <v>275.625</v>
      </c>
      <c r="L3535" s="5">
        <v>0.35</v>
      </c>
      <c r="M3535" t="s">
        <v>125</v>
      </c>
      <c r="N3535" t="s">
        <v>361</v>
      </c>
    </row>
    <row r="3536" spans="1:14">
      <c r="A3536" t="s">
        <v>29</v>
      </c>
      <c r="B3536">
        <v>1185732</v>
      </c>
      <c r="C3536" s="2">
        <v>44206</v>
      </c>
      <c r="D3536" t="s">
        <v>137</v>
      </c>
      <c r="E3536" t="s">
        <v>253</v>
      </c>
      <c r="F3536" t="s">
        <v>261</v>
      </c>
      <c r="G3536" t="s">
        <v>146</v>
      </c>
      <c r="H3536" s="3">
        <v>0.25000000000000006</v>
      </c>
      <c r="I3536">
        <v>2250</v>
      </c>
      <c r="J3536" s="4">
        <v>562.50000000000011</v>
      </c>
      <c r="K3536" s="4">
        <v>225.00000000000006</v>
      </c>
      <c r="L3536" s="5">
        <v>0.4</v>
      </c>
      <c r="M3536" t="s">
        <v>125</v>
      </c>
      <c r="N3536" t="s">
        <v>361</v>
      </c>
    </row>
    <row r="3537" spans="1:14">
      <c r="A3537" t="s">
        <v>29</v>
      </c>
      <c r="B3537">
        <v>1185732</v>
      </c>
      <c r="C3537" s="2">
        <v>44206</v>
      </c>
      <c r="D3537" t="s">
        <v>137</v>
      </c>
      <c r="E3537" t="s">
        <v>253</v>
      </c>
      <c r="F3537" t="s">
        <v>261</v>
      </c>
      <c r="G3537" t="s">
        <v>148</v>
      </c>
      <c r="H3537" s="3">
        <v>0.3</v>
      </c>
      <c r="I3537">
        <v>750</v>
      </c>
      <c r="J3537" s="4">
        <v>225</v>
      </c>
      <c r="K3537" s="4">
        <v>90</v>
      </c>
      <c r="L3537" s="5">
        <v>0.4</v>
      </c>
      <c r="M3537" t="s">
        <v>125</v>
      </c>
      <c r="N3537" t="s">
        <v>361</v>
      </c>
    </row>
    <row r="3538" spans="1:14">
      <c r="A3538" t="s">
        <v>29</v>
      </c>
      <c r="B3538">
        <v>1185732</v>
      </c>
      <c r="C3538" s="2">
        <v>44206</v>
      </c>
      <c r="D3538" t="s">
        <v>137</v>
      </c>
      <c r="E3538" t="s">
        <v>253</v>
      </c>
      <c r="F3538" t="s">
        <v>261</v>
      </c>
      <c r="G3538" t="s">
        <v>147</v>
      </c>
      <c r="H3538" s="3">
        <v>0.45</v>
      </c>
      <c r="I3538">
        <v>1250</v>
      </c>
      <c r="J3538" s="4">
        <v>562.5</v>
      </c>
      <c r="K3538" s="4">
        <v>168.75</v>
      </c>
      <c r="L3538" s="5">
        <v>0.3</v>
      </c>
      <c r="M3538" t="s">
        <v>125</v>
      </c>
      <c r="N3538" t="s">
        <v>361</v>
      </c>
    </row>
    <row r="3539" spans="1:14">
      <c r="A3539" t="s">
        <v>29</v>
      </c>
      <c r="B3539">
        <v>1185732</v>
      </c>
      <c r="C3539" s="2">
        <v>44206</v>
      </c>
      <c r="D3539" t="s">
        <v>137</v>
      </c>
      <c r="E3539" t="s">
        <v>253</v>
      </c>
      <c r="F3539" t="s">
        <v>261</v>
      </c>
      <c r="G3539" t="s">
        <v>144</v>
      </c>
      <c r="H3539" s="3">
        <v>0.35000000000000003</v>
      </c>
      <c r="I3539">
        <v>2250</v>
      </c>
      <c r="J3539" s="4">
        <v>787.50000000000011</v>
      </c>
      <c r="K3539" s="4">
        <v>315.00000000000006</v>
      </c>
      <c r="L3539" s="5">
        <v>0.4</v>
      </c>
      <c r="M3539" t="s">
        <v>125</v>
      </c>
      <c r="N3539" t="s">
        <v>361</v>
      </c>
    </row>
    <row r="3540" spans="1:14">
      <c r="A3540" t="s">
        <v>29</v>
      </c>
      <c r="B3540">
        <v>1185732</v>
      </c>
      <c r="C3540" s="2">
        <v>44235</v>
      </c>
      <c r="D3540" t="s">
        <v>137</v>
      </c>
      <c r="E3540" t="s">
        <v>253</v>
      </c>
      <c r="F3540" t="s">
        <v>261</v>
      </c>
      <c r="G3540" t="s">
        <v>27</v>
      </c>
      <c r="H3540" s="3">
        <v>0.35000000000000003</v>
      </c>
      <c r="I3540">
        <v>4750</v>
      </c>
      <c r="J3540" s="4">
        <v>1662.5000000000002</v>
      </c>
      <c r="K3540" s="4">
        <v>581.875</v>
      </c>
      <c r="L3540" s="5">
        <v>0.35</v>
      </c>
      <c r="M3540" t="s">
        <v>126</v>
      </c>
      <c r="N3540" t="s">
        <v>361</v>
      </c>
    </row>
    <row r="3541" spans="1:14">
      <c r="A3541" t="s">
        <v>29</v>
      </c>
      <c r="B3541">
        <v>1185732</v>
      </c>
      <c r="C3541" s="2">
        <v>44235</v>
      </c>
      <c r="D3541" t="s">
        <v>137</v>
      </c>
      <c r="E3541" t="s">
        <v>253</v>
      </c>
      <c r="F3541" t="s">
        <v>261</v>
      </c>
      <c r="G3541" t="s">
        <v>145</v>
      </c>
      <c r="H3541" s="3">
        <v>0.35000000000000003</v>
      </c>
      <c r="I3541">
        <v>1250</v>
      </c>
      <c r="J3541" s="4">
        <v>437.50000000000006</v>
      </c>
      <c r="K3541" s="4">
        <v>153.125</v>
      </c>
      <c r="L3541" s="5">
        <v>0.35</v>
      </c>
      <c r="M3541" t="s">
        <v>126</v>
      </c>
      <c r="N3541" t="s">
        <v>361</v>
      </c>
    </row>
    <row r="3542" spans="1:14">
      <c r="A3542" t="s">
        <v>29</v>
      </c>
      <c r="B3542">
        <v>1185732</v>
      </c>
      <c r="C3542" s="2">
        <v>44235</v>
      </c>
      <c r="D3542" t="s">
        <v>137</v>
      </c>
      <c r="E3542" t="s">
        <v>253</v>
      </c>
      <c r="F3542" t="s">
        <v>261</v>
      </c>
      <c r="G3542" t="s">
        <v>146</v>
      </c>
      <c r="H3542" s="3">
        <v>0.25000000000000006</v>
      </c>
      <c r="I3542">
        <v>1750</v>
      </c>
      <c r="J3542" s="4">
        <v>437.50000000000011</v>
      </c>
      <c r="K3542" s="4">
        <v>175.00000000000006</v>
      </c>
      <c r="L3542" s="5">
        <v>0.4</v>
      </c>
      <c r="M3542" t="s">
        <v>126</v>
      </c>
      <c r="N3542" t="s">
        <v>361</v>
      </c>
    </row>
    <row r="3543" spans="1:14">
      <c r="A3543" t="s">
        <v>29</v>
      </c>
      <c r="B3543">
        <v>1185732</v>
      </c>
      <c r="C3543" s="2">
        <v>44235</v>
      </c>
      <c r="D3543" t="s">
        <v>137</v>
      </c>
      <c r="E3543" t="s">
        <v>253</v>
      </c>
      <c r="F3543" t="s">
        <v>261</v>
      </c>
      <c r="G3543" t="s">
        <v>148</v>
      </c>
      <c r="H3543" s="3">
        <v>0.3</v>
      </c>
      <c r="I3543">
        <v>500</v>
      </c>
      <c r="J3543" s="4">
        <v>150</v>
      </c>
      <c r="K3543" s="4">
        <v>60</v>
      </c>
      <c r="L3543" s="5">
        <v>0.4</v>
      </c>
      <c r="M3543" t="s">
        <v>126</v>
      </c>
      <c r="N3543" t="s">
        <v>361</v>
      </c>
    </row>
    <row r="3544" spans="1:14">
      <c r="A3544" t="s">
        <v>29</v>
      </c>
      <c r="B3544">
        <v>1185732</v>
      </c>
      <c r="C3544" s="2">
        <v>44235</v>
      </c>
      <c r="D3544" t="s">
        <v>137</v>
      </c>
      <c r="E3544" t="s">
        <v>253</v>
      </c>
      <c r="F3544" t="s">
        <v>261</v>
      </c>
      <c r="G3544" t="s">
        <v>147</v>
      </c>
      <c r="H3544" s="3">
        <v>0.45</v>
      </c>
      <c r="I3544">
        <v>1250</v>
      </c>
      <c r="J3544" s="4">
        <v>562.5</v>
      </c>
      <c r="K3544" s="4">
        <v>168.75</v>
      </c>
      <c r="L3544" s="5">
        <v>0.3</v>
      </c>
      <c r="M3544" t="s">
        <v>126</v>
      </c>
      <c r="N3544" t="s">
        <v>361</v>
      </c>
    </row>
    <row r="3545" spans="1:14">
      <c r="A3545" t="s">
        <v>29</v>
      </c>
      <c r="B3545">
        <v>1185732</v>
      </c>
      <c r="C3545" s="2">
        <v>44235</v>
      </c>
      <c r="D3545" t="s">
        <v>137</v>
      </c>
      <c r="E3545" t="s">
        <v>253</v>
      </c>
      <c r="F3545" t="s">
        <v>261</v>
      </c>
      <c r="G3545" t="s">
        <v>144</v>
      </c>
      <c r="H3545" s="3">
        <v>0.35000000000000003</v>
      </c>
      <c r="I3545">
        <v>2250</v>
      </c>
      <c r="J3545" s="4">
        <v>787.50000000000011</v>
      </c>
      <c r="K3545" s="4">
        <v>315.00000000000006</v>
      </c>
      <c r="L3545" s="5">
        <v>0.4</v>
      </c>
      <c r="M3545" t="s">
        <v>126</v>
      </c>
      <c r="N3545" t="s">
        <v>361</v>
      </c>
    </row>
    <row r="3546" spans="1:14">
      <c r="A3546" t="s">
        <v>29</v>
      </c>
      <c r="B3546">
        <v>1185732</v>
      </c>
      <c r="C3546" s="2">
        <v>44261</v>
      </c>
      <c r="D3546" t="s">
        <v>137</v>
      </c>
      <c r="E3546" t="s">
        <v>253</v>
      </c>
      <c r="F3546" t="s">
        <v>261</v>
      </c>
      <c r="G3546" t="s">
        <v>27</v>
      </c>
      <c r="H3546" s="3">
        <v>0.35000000000000003</v>
      </c>
      <c r="I3546">
        <v>4450</v>
      </c>
      <c r="J3546" s="4">
        <v>1557.5000000000002</v>
      </c>
      <c r="K3546" s="4">
        <v>545.125</v>
      </c>
      <c r="L3546" s="5">
        <v>0.35</v>
      </c>
      <c r="M3546" t="s">
        <v>24</v>
      </c>
      <c r="N3546" t="s">
        <v>361</v>
      </c>
    </row>
    <row r="3547" spans="1:14">
      <c r="A3547" t="s">
        <v>29</v>
      </c>
      <c r="B3547">
        <v>1185732</v>
      </c>
      <c r="C3547" s="2">
        <v>44261</v>
      </c>
      <c r="D3547" t="s">
        <v>137</v>
      </c>
      <c r="E3547" t="s">
        <v>253</v>
      </c>
      <c r="F3547" t="s">
        <v>261</v>
      </c>
      <c r="G3547" t="s">
        <v>145</v>
      </c>
      <c r="H3547" s="3">
        <v>0.35000000000000003</v>
      </c>
      <c r="I3547">
        <v>1500</v>
      </c>
      <c r="J3547" s="4">
        <v>525</v>
      </c>
      <c r="K3547" s="4">
        <v>183.75</v>
      </c>
      <c r="L3547" s="5">
        <v>0.35</v>
      </c>
      <c r="M3547" t="s">
        <v>24</v>
      </c>
      <c r="N3547" t="s">
        <v>361</v>
      </c>
    </row>
    <row r="3548" spans="1:14">
      <c r="A3548" t="s">
        <v>29</v>
      </c>
      <c r="B3548">
        <v>1185732</v>
      </c>
      <c r="C3548" s="2">
        <v>44261</v>
      </c>
      <c r="D3548" t="s">
        <v>137</v>
      </c>
      <c r="E3548" t="s">
        <v>253</v>
      </c>
      <c r="F3548" t="s">
        <v>261</v>
      </c>
      <c r="G3548" t="s">
        <v>146</v>
      </c>
      <c r="H3548" s="3">
        <v>0.25000000000000006</v>
      </c>
      <c r="I3548">
        <v>1750</v>
      </c>
      <c r="J3548" s="4">
        <v>437.50000000000011</v>
      </c>
      <c r="K3548" s="4">
        <v>175.00000000000006</v>
      </c>
      <c r="L3548" s="5">
        <v>0.4</v>
      </c>
      <c r="M3548" t="s">
        <v>24</v>
      </c>
      <c r="N3548" t="s">
        <v>361</v>
      </c>
    </row>
    <row r="3549" spans="1:14">
      <c r="A3549" t="s">
        <v>29</v>
      </c>
      <c r="B3549">
        <v>1185732</v>
      </c>
      <c r="C3549" s="2">
        <v>44261</v>
      </c>
      <c r="D3549" t="s">
        <v>137</v>
      </c>
      <c r="E3549" t="s">
        <v>253</v>
      </c>
      <c r="F3549" t="s">
        <v>261</v>
      </c>
      <c r="G3549" t="s">
        <v>148</v>
      </c>
      <c r="H3549" s="3">
        <v>0.3</v>
      </c>
      <c r="I3549">
        <v>250</v>
      </c>
      <c r="J3549" s="4">
        <v>75</v>
      </c>
      <c r="K3549" s="4">
        <v>30</v>
      </c>
      <c r="L3549" s="5">
        <v>0.4</v>
      </c>
      <c r="M3549" t="s">
        <v>24</v>
      </c>
      <c r="N3549" t="s">
        <v>361</v>
      </c>
    </row>
    <row r="3550" spans="1:14">
      <c r="A3550" t="s">
        <v>29</v>
      </c>
      <c r="B3550">
        <v>1185732</v>
      </c>
      <c r="C3550" s="2">
        <v>44261</v>
      </c>
      <c r="D3550" t="s">
        <v>137</v>
      </c>
      <c r="E3550" t="s">
        <v>253</v>
      </c>
      <c r="F3550" t="s">
        <v>261</v>
      </c>
      <c r="G3550" t="s">
        <v>147</v>
      </c>
      <c r="H3550" s="3">
        <v>0.45</v>
      </c>
      <c r="I3550">
        <v>750</v>
      </c>
      <c r="J3550" s="4">
        <v>337.5</v>
      </c>
      <c r="K3550" s="4">
        <v>101.25</v>
      </c>
      <c r="L3550" s="5">
        <v>0.3</v>
      </c>
      <c r="M3550" t="s">
        <v>24</v>
      </c>
      <c r="N3550" t="s">
        <v>361</v>
      </c>
    </row>
    <row r="3551" spans="1:14">
      <c r="A3551" t="s">
        <v>29</v>
      </c>
      <c r="B3551">
        <v>1185732</v>
      </c>
      <c r="C3551" s="2">
        <v>44261</v>
      </c>
      <c r="D3551" t="s">
        <v>137</v>
      </c>
      <c r="E3551" t="s">
        <v>253</v>
      </c>
      <c r="F3551" t="s">
        <v>261</v>
      </c>
      <c r="G3551" t="s">
        <v>144</v>
      </c>
      <c r="H3551" s="3">
        <v>0.35000000000000003</v>
      </c>
      <c r="I3551">
        <v>1750</v>
      </c>
      <c r="J3551" s="4">
        <v>612.50000000000011</v>
      </c>
      <c r="K3551" s="4">
        <v>245.00000000000006</v>
      </c>
      <c r="L3551" s="5">
        <v>0.4</v>
      </c>
      <c r="M3551" t="s">
        <v>24</v>
      </c>
      <c r="N3551" t="s">
        <v>361</v>
      </c>
    </row>
    <row r="3552" spans="1:14">
      <c r="A3552" t="s">
        <v>29</v>
      </c>
      <c r="B3552">
        <v>1185732</v>
      </c>
      <c r="C3552" s="2">
        <v>44293</v>
      </c>
      <c r="D3552" t="s">
        <v>137</v>
      </c>
      <c r="E3552" t="s">
        <v>253</v>
      </c>
      <c r="F3552" t="s">
        <v>261</v>
      </c>
      <c r="G3552" t="s">
        <v>27</v>
      </c>
      <c r="H3552" s="3">
        <v>0.35000000000000003</v>
      </c>
      <c r="I3552">
        <v>4250</v>
      </c>
      <c r="J3552" s="4">
        <v>1487.5000000000002</v>
      </c>
      <c r="K3552" s="4">
        <v>520.625</v>
      </c>
      <c r="L3552" s="5">
        <v>0.35</v>
      </c>
      <c r="M3552" t="s">
        <v>127</v>
      </c>
      <c r="N3552" t="s">
        <v>362</v>
      </c>
    </row>
    <row r="3553" spans="1:14">
      <c r="A3553" t="s">
        <v>29</v>
      </c>
      <c r="B3553">
        <v>1185732</v>
      </c>
      <c r="C3553" s="2">
        <v>44293</v>
      </c>
      <c r="D3553" t="s">
        <v>137</v>
      </c>
      <c r="E3553" t="s">
        <v>253</v>
      </c>
      <c r="F3553" t="s">
        <v>261</v>
      </c>
      <c r="G3553" t="s">
        <v>145</v>
      </c>
      <c r="H3553" s="3">
        <v>0.35000000000000003</v>
      </c>
      <c r="I3553">
        <v>1250</v>
      </c>
      <c r="J3553" s="4">
        <v>437.50000000000006</v>
      </c>
      <c r="K3553" s="4">
        <v>153.125</v>
      </c>
      <c r="L3553" s="5">
        <v>0.35</v>
      </c>
      <c r="M3553" t="s">
        <v>127</v>
      </c>
      <c r="N3553" t="s">
        <v>362</v>
      </c>
    </row>
    <row r="3554" spans="1:14">
      <c r="A3554" t="s">
        <v>29</v>
      </c>
      <c r="B3554">
        <v>1185732</v>
      </c>
      <c r="C3554" s="2">
        <v>44293</v>
      </c>
      <c r="D3554" t="s">
        <v>137</v>
      </c>
      <c r="E3554" t="s">
        <v>253</v>
      </c>
      <c r="F3554" t="s">
        <v>261</v>
      </c>
      <c r="G3554" t="s">
        <v>146</v>
      </c>
      <c r="H3554" s="3">
        <v>0.25000000000000006</v>
      </c>
      <c r="I3554">
        <v>1250</v>
      </c>
      <c r="J3554" s="4">
        <v>312.50000000000006</v>
      </c>
      <c r="K3554" s="4">
        <v>125.00000000000003</v>
      </c>
      <c r="L3554" s="5">
        <v>0.4</v>
      </c>
      <c r="M3554" t="s">
        <v>127</v>
      </c>
      <c r="N3554" t="s">
        <v>362</v>
      </c>
    </row>
    <row r="3555" spans="1:14">
      <c r="A3555" t="s">
        <v>29</v>
      </c>
      <c r="B3555">
        <v>1185732</v>
      </c>
      <c r="C3555" s="2">
        <v>44293</v>
      </c>
      <c r="D3555" t="s">
        <v>137</v>
      </c>
      <c r="E3555" t="s">
        <v>253</v>
      </c>
      <c r="F3555" t="s">
        <v>261</v>
      </c>
      <c r="G3555" t="s">
        <v>148</v>
      </c>
      <c r="H3555" s="3">
        <v>0.3</v>
      </c>
      <c r="I3555">
        <v>500</v>
      </c>
      <c r="J3555" s="4">
        <v>150</v>
      </c>
      <c r="K3555" s="4">
        <v>60</v>
      </c>
      <c r="L3555" s="5">
        <v>0.4</v>
      </c>
      <c r="M3555" t="s">
        <v>127</v>
      </c>
      <c r="N3555" t="s">
        <v>362</v>
      </c>
    </row>
    <row r="3556" spans="1:14">
      <c r="A3556" t="s">
        <v>29</v>
      </c>
      <c r="B3556">
        <v>1185732</v>
      </c>
      <c r="C3556" s="2">
        <v>44293</v>
      </c>
      <c r="D3556" t="s">
        <v>137</v>
      </c>
      <c r="E3556" t="s">
        <v>253</v>
      </c>
      <c r="F3556" t="s">
        <v>261</v>
      </c>
      <c r="G3556" t="s">
        <v>147</v>
      </c>
      <c r="H3556" s="3">
        <v>0.45</v>
      </c>
      <c r="I3556">
        <v>500</v>
      </c>
      <c r="J3556" s="4">
        <v>225</v>
      </c>
      <c r="K3556" s="4">
        <v>67.5</v>
      </c>
      <c r="L3556" s="5">
        <v>0.3</v>
      </c>
      <c r="M3556" t="s">
        <v>127</v>
      </c>
      <c r="N3556" t="s">
        <v>362</v>
      </c>
    </row>
    <row r="3557" spans="1:14">
      <c r="A3557" t="s">
        <v>29</v>
      </c>
      <c r="B3557">
        <v>1185732</v>
      </c>
      <c r="C3557" s="2">
        <v>44293</v>
      </c>
      <c r="D3557" t="s">
        <v>137</v>
      </c>
      <c r="E3557" t="s">
        <v>253</v>
      </c>
      <c r="F3557" t="s">
        <v>261</v>
      </c>
      <c r="G3557" t="s">
        <v>144</v>
      </c>
      <c r="H3557" s="3">
        <v>0.35000000000000003</v>
      </c>
      <c r="I3557">
        <v>2000</v>
      </c>
      <c r="J3557" s="4">
        <v>700.00000000000011</v>
      </c>
      <c r="K3557" s="4">
        <v>280.00000000000006</v>
      </c>
      <c r="L3557" s="5">
        <v>0.4</v>
      </c>
      <c r="M3557" t="s">
        <v>127</v>
      </c>
      <c r="N3557" t="s">
        <v>362</v>
      </c>
    </row>
    <row r="3558" spans="1:14">
      <c r="A3558" t="s">
        <v>29</v>
      </c>
      <c r="B3558">
        <v>1185732</v>
      </c>
      <c r="C3558" s="2">
        <v>44322</v>
      </c>
      <c r="D3558" t="s">
        <v>137</v>
      </c>
      <c r="E3558" t="s">
        <v>253</v>
      </c>
      <c r="F3558" t="s">
        <v>261</v>
      </c>
      <c r="G3558" t="s">
        <v>27</v>
      </c>
      <c r="H3558" s="3">
        <v>0.49999999999999994</v>
      </c>
      <c r="I3558">
        <v>4700</v>
      </c>
      <c r="J3558" s="4">
        <v>2349.9999999999995</v>
      </c>
      <c r="K3558" s="4">
        <v>822.49999999999977</v>
      </c>
      <c r="L3558" s="5">
        <v>0.35</v>
      </c>
      <c r="M3558" t="s">
        <v>128</v>
      </c>
      <c r="N3558" t="s">
        <v>362</v>
      </c>
    </row>
    <row r="3559" spans="1:14">
      <c r="A3559" t="s">
        <v>29</v>
      </c>
      <c r="B3559">
        <v>1185732</v>
      </c>
      <c r="C3559" s="2">
        <v>44322</v>
      </c>
      <c r="D3559" t="s">
        <v>137</v>
      </c>
      <c r="E3559" t="s">
        <v>253</v>
      </c>
      <c r="F3559" t="s">
        <v>261</v>
      </c>
      <c r="G3559" t="s">
        <v>145</v>
      </c>
      <c r="H3559" s="3">
        <v>0.45</v>
      </c>
      <c r="I3559">
        <v>1750</v>
      </c>
      <c r="J3559" s="4">
        <v>787.5</v>
      </c>
      <c r="K3559" s="4">
        <v>275.625</v>
      </c>
      <c r="L3559" s="5">
        <v>0.35</v>
      </c>
      <c r="M3559" t="s">
        <v>128</v>
      </c>
      <c r="N3559" t="s">
        <v>362</v>
      </c>
    </row>
    <row r="3560" spans="1:14">
      <c r="A3560" t="s">
        <v>29</v>
      </c>
      <c r="B3560">
        <v>1185732</v>
      </c>
      <c r="C3560" s="2">
        <v>44322</v>
      </c>
      <c r="D3560" t="s">
        <v>137</v>
      </c>
      <c r="E3560" t="s">
        <v>253</v>
      </c>
      <c r="F3560" t="s">
        <v>261</v>
      </c>
      <c r="G3560" t="s">
        <v>146</v>
      </c>
      <c r="H3560" s="3">
        <v>0.4</v>
      </c>
      <c r="I3560">
        <v>2000</v>
      </c>
      <c r="J3560" s="4">
        <v>800</v>
      </c>
      <c r="K3560" s="4">
        <v>320</v>
      </c>
      <c r="L3560" s="5">
        <v>0.4</v>
      </c>
      <c r="M3560" t="s">
        <v>128</v>
      </c>
      <c r="N3560" t="s">
        <v>362</v>
      </c>
    </row>
    <row r="3561" spans="1:14">
      <c r="A3561" t="s">
        <v>29</v>
      </c>
      <c r="B3561">
        <v>1185732</v>
      </c>
      <c r="C3561" s="2">
        <v>44322</v>
      </c>
      <c r="D3561" t="s">
        <v>137</v>
      </c>
      <c r="E3561" t="s">
        <v>253</v>
      </c>
      <c r="F3561" t="s">
        <v>261</v>
      </c>
      <c r="G3561" t="s">
        <v>148</v>
      </c>
      <c r="H3561" s="3">
        <v>0.4</v>
      </c>
      <c r="I3561">
        <v>1500</v>
      </c>
      <c r="J3561" s="4">
        <v>600</v>
      </c>
      <c r="K3561" s="4">
        <v>240</v>
      </c>
      <c r="L3561" s="5">
        <v>0.4</v>
      </c>
      <c r="M3561" t="s">
        <v>128</v>
      </c>
      <c r="N3561" t="s">
        <v>362</v>
      </c>
    </row>
    <row r="3562" spans="1:14">
      <c r="A3562" t="s">
        <v>29</v>
      </c>
      <c r="B3562">
        <v>1185732</v>
      </c>
      <c r="C3562" s="2">
        <v>44322</v>
      </c>
      <c r="D3562" t="s">
        <v>137</v>
      </c>
      <c r="E3562" t="s">
        <v>253</v>
      </c>
      <c r="F3562" t="s">
        <v>261</v>
      </c>
      <c r="G3562" t="s">
        <v>147</v>
      </c>
      <c r="H3562" s="3">
        <v>0.49999999999999994</v>
      </c>
      <c r="I3562">
        <v>1750</v>
      </c>
      <c r="J3562" s="4">
        <v>874.99999999999989</v>
      </c>
      <c r="K3562" s="4">
        <v>262.49999999999994</v>
      </c>
      <c r="L3562" s="5">
        <v>0.3</v>
      </c>
      <c r="M3562" t="s">
        <v>128</v>
      </c>
      <c r="N3562" t="s">
        <v>362</v>
      </c>
    </row>
    <row r="3563" spans="1:14">
      <c r="A3563" t="s">
        <v>29</v>
      </c>
      <c r="B3563">
        <v>1185732</v>
      </c>
      <c r="C3563" s="2">
        <v>44322</v>
      </c>
      <c r="D3563" t="s">
        <v>137</v>
      </c>
      <c r="E3563" t="s">
        <v>253</v>
      </c>
      <c r="F3563" t="s">
        <v>261</v>
      </c>
      <c r="G3563" t="s">
        <v>144</v>
      </c>
      <c r="H3563" s="3">
        <v>0.54999999999999993</v>
      </c>
      <c r="I3563">
        <v>3000</v>
      </c>
      <c r="J3563" s="4">
        <v>1649.9999999999998</v>
      </c>
      <c r="K3563" s="4">
        <v>660</v>
      </c>
      <c r="L3563" s="5">
        <v>0.4</v>
      </c>
      <c r="M3563" t="s">
        <v>128</v>
      </c>
      <c r="N3563" t="s">
        <v>362</v>
      </c>
    </row>
    <row r="3564" spans="1:14">
      <c r="A3564" t="s">
        <v>29</v>
      </c>
      <c r="B3564">
        <v>1185732</v>
      </c>
      <c r="C3564" s="2">
        <v>44355</v>
      </c>
      <c r="D3564" t="s">
        <v>137</v>
      </c>
      <c r="E3564" t="s">
        <v>253</v>
      </c>
      <c r="F3564" t="s">
        <v>261</v>
      </c>
      <c r="G3564" t="s">
        <v>27</v>
      </c>
      <c r="H3564" s="3">
        <v>0.49999999999999994</v>
      </c>
      <c r="I3564">
        <v>5500</v>
      </c>
      <c r="J3564" s="4">
        <v>2749.9999999999995</v>
      </c>
      <c r="K3564" s="4">
        <v>962.49999999999977</v>
      </c>
      <c r="L3564" s="5">
        <v>0.35</v>
      </c>
      <c r="M3564" t="s">
        <v>129</v>
      </c>
      <c r="N3564" t="s">
        <v>362</v>
      </c>
    </row>
    <row r="3565" spans="1:14">
      <c r="A3565" t="s">
        <v>29</v>
      </c>
      <c r="B3565">
        <v>1185732</v>
      </c>
      <c r="C3565" s="2">
        <v>44355</v>
      </c>
      <c r="D3565" t="s">
        <v>137</v>
      </c>
      <c r="E3565" t="s">
        <v>253</v>
      </c>
      <c r="F3565" t="s">
        <v>261</v>
      </c>
      <c r="G3565" t="s">
        <v>145</v>
      </c>
      <c r="H3565" s="3">
        <v>0.45</v>
      </c>
      <c r="I3565">
        <v>3000</v>
      </c>
      <c r="J3565" s="4">
        <v>1350</v>
      </c>
      <c r="K3565" s="4">
        <v>472.49999999999994</v>
      </c>
      <c r="L3565" s="5">
        <v>0.35</v>
      </c>
      <c r="M3565" t="s">
        <v>129</v>
      </c>
      <c r="N3565" t="s">
        <v>362</v>
      </c>
    </row>
    <row r="3566" spans="1:14">
      <c r="A3566" t="s">
        <v>29</v>
      </c>
      <c r="B3566">
        <v>1185732</v>
      </c>
      <c r="C3566" s="2">
        <v>44355</v>
      </c>
      <c r="D3566" t="s">
        <v>137</v>
      </c>
      <c r="E3566" t="s">
        <v>253</v>
      </c>
      <c r="F3566" t="s">
        <v>261</v>
      </c>
      <c r="G3566" t="s">
        <v>146</v>
      </c>
      <c r="H3566" s="3">
        <v>0.4</v>
      </c>
      <c r="I3566">
        <v>2250</v>
      </c>
      <c r="J3566" s="4">
        <v>900</v>
      </c>
      <c r="K3566" s="4">
        <v>360</v>
      </c>
      <c r="L3566" s="5">
        <v>0.4</v>
      </c>
      <c r="M3566" t="s">
        <v>129</v>
      </c>
      <c r="N3566" t="s">
        <v>362</v>
      </c>
    </row>
    <row r="3567" spans="1:14">
      <c r="A3567" t="s">
        <v>29</v>
      </c>
      <c r="B3567">
        <v>1185732</v>
      </c>
      <c r="C3567" s="2">
        <v>44355</v>
      </c>
      <c r="D3567" t="s">
        <v>137</v>
      </c>
      <c r="E3567" t="s">
        <v>253</v>
      </c>
      <c r="F3567" t="s">
        <v>261</v>
      </c>
      <c r="G3567" t="s">
        <v>148</v>
      </c>
      <c r="H3567" s="3">
        <v>0.4</v>
      </c>
      <c r="I3567">
        <v>2000</v>
      </c>
      <c r="J3567" s="4">
        <v>800</v>
      </c>
      <c r="K3567" s="4">
        <v>320</v>
      </c>
      <c r="L3567" s="5">
        <v>0.4</v>
      </c>
      <c r="M3567" t="s">
        <v>129</v>
      </c>
      <c r="N3567" t="s">
        <v>362</v>
      </c>
    </row>
    <row r="3568" spans="1:14">
      <c r="A3568" t="s">
        <v>29</v>
      </c>
      <c r="B3568">
        <v>1185732</v>
      </c>
      <c r="C3568" s="2">
        <v>44355</v>
      </c>
      <c r="D3568" t="s">
        <v>137</v>
      </c>
      <c r="E3568" t="s">
        <v>253</v>
      </c>
      <c r="F3568" t="s">
        <v>261</v>
      </c>
      <c r="G3568" t="s">
        <v>147</v>
      </c>
      <c r="H3568" s="3">
        <v>0.49999999999999994</v>
      </c>
      <c r="I3568">
        <v>2000</v>
      </c>
      <c r="J3568" s="4">
        <v>999.99999999999989</v>
      </c>
      <c r="K3568" s="4">
        <v>299.99999999999994</v>
      </c>
      <c r="L3568" s="5">
        <v>0.3</v>
      </c>
      <c r="M3568" t="s">
        <v>129</v>
      </c>
      <c r="N3568" t="s">
        <v>362</v>
      </c>
    </row>
    <row r="3569" spans="1:14">
      <c r="A3569" t="s">
        <v>29</v>
      </c>
      <c r="B3569">
        <v>1185732</v>
      </c>
      <c r="C3569" s="2">
        <v>44355</v>
      </c>
      <c r="D3569" t="s">
        <v>137</v>
      </c>
      <c r="E3569" t="s">
        <v>253</v>
      </c>
      <c r="F3569" t="s">
        <v>261</v>
      </c>
      <c r="G3569" t="s">
        <v>144</v>
      </c>
      <c r="H3569" s="3">
        <v>0.54999999999999993</v>
      </c>
      <c r="I3569">
        <v>3500</v>
      </c>
      <c r="J3569" s="4">
        <v>1924.9999999999998</v>
      </c>
      <c r="K3569" s="4">
        <v>770</v>
      </c>
      <c r="L3569" s="5">
        <v>0.4</v>
      </c>
      <c r="M3569" t="s">
        <v>129</v>
      </c>
      <c r="N3569" t="s">
        <v>362</v>
      </c>
    </row>
    <row r="3570" spans="1:14">
      <c r="A3570" t="s">
        <v>29</v>
      </c>
      <c r="B3570">
        <v>1185732</v>
      </c>
      <c r="C3570" s="2">
        <v>44383</v>
      </c>
      <c r="D3570" t="s">
        <v>137</v>
      </c>
      <c r="E3570" t="s">
        <v>253</v>
      </c>
      <c r="F3570" t="s">
        <v>261</v>
      </c>
      <c r="G3570" t="s">
        <v>27</v>
      </c>
      <c r="H3570" s="3">
        <v>0.49999999999999994</v>
      </c>
      <c r="I3570">
        <v>5750</v>
      </c>
      <c r="J3570" s="4">
        <v>2874.9999999999995</v>
      </c>
      <c r="K3570" s="4">
        <v>1006.2499999999998</v>
      </c>
      <c r="L3570" s="5">
        <v>0.35</v>
      </c>
      <c r="M3570" t="s">
        <v>130</v>
      </c>
      <c r="N3570" t="s">
        <v>363</v>
      </c>
    </row>
    <row r="3571" spans="1:14">
      <c r="A3571" t="s">
        <v>29</v>
      </c>
      <c r="B3571">
        <v>1185732</v>
      </c>
      <c r="C3571" s="2">
        <v>44383</v>
      </c>
      <c r="D3571" t="s">
        <v>137</v>
      </c>
      <c r="E3571" t="s">
        <v>253</v>
      </c>
      <c r="F3571" t="s">
        <v>261</v>
      </c>
      <c r="G3571" t="s">
        <v>145</v>
      </c>
      <c r="H3571" s="3">
        <v>0.45</v>
      </c>
      <c r="I3571">
        <v>3250</v>
      </c>
      <c r="J3571" s="4">
        <v>1462.5</v>
      </c>
      <c r="K3571" s="4">
        <v>511.87499999999994</v>
      </c>
      <c r="L3571" s="5">
        <v>0.35</v>
      </c>
      <c r="M3571" t="s">
        <v>130</v>
      </c>
      <c r="N3571" t="s">
        <v>363</v>
      </c>
    </row>
    <row r="3572" spans="1:14">
      <c r="A3572" t="s">
        <v>29</v>
      </c>
      <c r="B3572">
        <v>1185732</v>
      </c>
      <c r="C3572" s="2">
        <v>44383</v>
      </c>
      <c r="D3572" t="s">
        <v>137</v>
      </c>
      <c r="E3572" t="s">
        <v>253</v>
      </c>
      <c r="F3572" t="s">
        <v>261</v>
      </c>
      <c r="G3572" t="s">
        <v>146</v>
      </c>
      <c r="H3572" s="3">
        <v>0.4</v>
      </c>
      <c r="I3572">
        <v>2500</v>
      </c>
      <c r="J3572" s="4">
        <v>1000</v>
      </c>
      <c r="K3572" s="4">
        <v>400</v>
      </c>
      <c r="L3572" s="5">
        <v>0.4</v>
      </c>
      <c r="M3572" t="s">
        <v>130</v>
      </c>
      <c r="N3572" t="s">
        <v>363</v>
      </c>
    </row>
    <row r="3573" spans="1:14">
      <c r="A3573" t="s">
        <v>29</v>
      </c>
      <c r="B3573">
        <v>1185732</v>
      </c>
      <c r="C3573" s="2">
        <v>44383</v>
      </c>
      <c r="D3573" t="s">
        <v>137</v>
      </c>
      <c r="E3573" t="s">
        <v>253</v>
      </c>
      <c r="F3573" t="s">
        <v>261</v>
      </c>
      <c r="G3573" t="s">
        <v>148</v>
      </c>
      <c r="H3573" s="3">
        <v>0.4</v>
      </c>
      <c r="I3573">
        <v>2000</v>
      </c>
      <c r="J3573" s="4">
        <v>800</v>
      </c>
      <c r="K3573" s="4">
        <v>320</v>
      </c>
      <c r="L3573" s="5">
        <v>0.4</v>
      </c>
      <c r="M3573" t="s">
        <v>130</v>
      </c>
      <c r="N3573" t="s">
        <v>363</v>
      </c>
    </row>
    <row r="3574" spans="1:14">
      <c r="A3574" t="s">
        <v>29</v>
      </c>
      <c r="B3574">
        <v>1185732</v>
      </c>
      <c r="C3574" s="2">
        <v>44383</v>
      </c>
      <c r="D3574" t="s">
        <v>137</v>
      </c>
      <c r="E3574" t="s">
        <v>253</v>
      </c>
      <c r="F3574" t="s">
        <v>261</v>
      </c>
      <c r="G3574" t="s">
        <v>147</v>
      </c>
      <c r="H3574" s="3">
        <v>0.49999999999999994</v>
      </c>
      <c r="I3574">
        <v>2250</v>
      </c>
      <c r="J3574" s="4">
        <v>1124.9999999999998</v>
      </c>
      <c r="K3574" s="4">
        <v>337.49999999999994</v>
      </c>
      <c r="L3574" s="5">
        <v>0.3</v>
      </c>
      <c r="M3574" t="s">
        <v>130</v>
      </c>
      <c r="N3574" t="s">
        <v>363</v>
      </c>
    </row>
    <row r="3575" spans="1:14">
      <c r="A3575" t="s">
        <v>29</v>
      </c>
      <c r="B3575">
        <v>1185732</v>
      </c>
      <c r="C3575" s="2">
        <v>44383</v>
      </c>
      <c r="D3575" t="s">
        <v>137</v>
      </c>
      <c r="E3575" t="s">
        <v>253</v>
      </c>
      <c r="F3575" t="s">
        <v>261</v>
      </c>
      <c r="G3575" t="s">
        <v>144</v>
      </c>
      <c r="H3575" s="3">
        <v>0.54999999999999993</v>
      </c>
      <c r="I3575">
        <v>4000</v>
      </c>
      <c r="J3575" s="4">
        <v>2199.9999999999995</v>
      </c>
      <c r="K3575" s="4">
        <v>879.99999999999989</v>
      </c>
      <c r="L3575" s="5">
        <v>0.4</v>
      </c>
      <c r="M3575" t="s">
        <v>130</v>
      </c>
      <c r="N3575" t="s">
        <v>363</v>
      </c>
    </row>
    <row r="3576" spans="1:14">
      <c r="A3576" t="s">
        <v>29</v>
      </c>
      <c r="B3576">
        <v>1185732</v>
      </c>
      <c r="C3576" s="2">
        <v>44415</v>
      </c>
      <c r="D3576" t="s">
        <v>137</v>
      </c>
      <c r="E3576" t="s">
        <v>253</v>
      </c>
      <c r="F3576" t="s">
        <v>261</v>
      </c>
      <c r="G3576" t="s">
        <v>27</v>
      </c>
      <c r="H3576" s="3">
        <v>0.49999999999999994</v>
      </c>
      <c r="I3576">
        <v>5500</v>
      </c>
      <c r="J3576" s="4">
        <v>2749.9999999999995</v>
      </c>
      <c r="K3576" s="4">
        <v>962.49999999999977</v>
      </c>
      <c r="L3576" s="5">
        <v>0.35</v>
      </c>
      <c r="M3576" t="s">
        <v>131</v>
      </c>
      <c r="N3576" t="s">
        <v>363</v>
      </c>
    </row>
    <row r="3577" spans="1:14">
      <c r="A3577" t="s">
        <v>29</v>
      </c>
      <c r="B3577">
        <v>1185732</v>
      </c>
      <c r="C3577" s="2">
        <v>44415</v>
      </c>
      <c r="D3577" t="s">
        <v>137</v>
      </c>
      <c r="E3577" t="s">
        <v>253</v>
      </c>
      <c r="F3577" t="s">
        <v>261</v>
      </c>
      <c r="G3577" t="s">
        <v>145</v>
      </c>
      <c r="H3577" s="3">
        <v>0.45</v>
      </c>
      <c r="I3577">
        <v>3250</v>
      </c>
      <c r="J3577" s="4">
        <v>1462.5</v>
      </c>
      <c r="K3577" s="4">
        <v>511.87499999999994</v>
      </c>
      <c r="L3577" s="5">
        <v>0.35</v>
      </c>
      <c r="M3577" t="s">
        <v>131</v>
      </c>
      <c r="N3577" t="s">
        <v>363</v>
      </c>
    </row>
    <row r="3578" spans="1:14">
      <c r="A3578" t="s">
        <v>29</v>
      </c>
      <c r="B3578">
        <v>1185732</v>
      </c>
      <c r="C3578" s="2">
        <v>44415</v>
      </c>
      <c r="D3578" t="s">
        <v>137</v>
      </c>
      <c r="E3578" t="s">
        <v>253</v>
      </c>
      <c r="F3578" t="s">
        <v>261</v>
      </c>
      <c r="G3578" t="s">
        <v>146</v>
      </c>
      <c r="H3578" s="3">
        <v>0.4</v>
      </c>
      <c r="I3578">
        <v>2500</v>
      </c>
      <c r="J3578" s="4">
        <v>1000</v>
      </c>
      <c r="K3578" s="4">
        <v>400</v>
      </c>
      <c r="L3578" s="5">
        <v>0.4</v>
      </c>
      <c r="M3578" t="s">
        <v>131</v>
      </c>
      <c r="N3578" t="s">
        <v>363</v>
      </c>
    </row>
    <row r="3579" spans="1:14">
      <c r="A3579" t="s">
        <v>29</v>
      </c>
      <c r="B3579">
        <v>1185732</v>
      </c>
      <c r="C3579" s="2">
        <v>44415</v>
      </c>
      <c r="D3579" t="s">
        <v>137</v>
      </c>
      <c r="E3579" t="s">
        <v>253</v>
      </c>
      <c r="F3579" t="s">
        <v>261</v>
      </c>
      <c r="G3579" t="s">
        <v>148</v>
      </c>
      <c r="H3579" s="3">
        <v>0.4</v>
      </c>
      <c r="I3579">
        <v>1500</v>
      </c>
      <c r="J3579" s="4">
        <v>600</v>
      </c>
      <c r="K3579" s="4">
        <v>240</v>
      </c>
      <c r="L3579" s="5">
        <v>0.4</v>
      </c>
      <c r="M3579" t="s">
        <v>131</v>
      </c>
      <c r="N3579" t="s">
        <v>363</v>
      </c>
    </row>
    <row r="3580" spans="1:14">
      <c r="A3580" t="s">
        <v>29</v>
      </c>
      <c r="B3580">
        <v>1185732</v>
      </c>
      <c r="C3580" s="2">
        <v>44415</v>
      </c>
      <c r="D3580" t="s">
        <v>137</v>
      </c>
      <c r="E3580" t="s">
        <v>253</v>
      </c>
      <c r="F3580" t="s">
        <v>261</v>
      </c>
      <c r="G3580" t="s">
        <v>147</v>
      </c>
      <c r="H3580" s="3">
        <v>0.49999999999999994</v>
      </c>
      <c r="I3580">
        <v>1250</v>
      </c>
      <c r="J3580" s="4">
        <v>624.99999999999989</v>
      </c>
      <c r="K3580" s="4">
        <v>187.49999999999997</v>
      </c>
      <c r="L3580" s="5">
        <v>0.3</v>
      </c>
      <c r="M3580" t="s">
        <v>131</v>
      </c>
      <c r="N3580" t="s">
        <v>363</v>
      </c>
    </row>
    <row r="3581" spans="1:14">
      <c r="A3581" t="s">
        <v>29</v>
      </c>
      <c r="B3581">
        <v>1185732</v>
      </c>
      <c r="C3581" s="2">
        <v>44415</v>
      </c>
      <c r="D3581" t="s">
        <v>137</v>
      </c>
      <c r="E3581" t="s">
        <v>253</v>
      </c>
      <c r="F3581" t="s">
        <v>261</v>
      </c>
      <c r="G3581" t="s">
        <v>144</v>
      </c>
      <c r="H3581" s="3">
        <v>0.54999999999999993</v>
      </c>
      <c r="I3581">
        <v>3000</v>
      </c>
      <c r="J3581" s="4">
        <v>1649.9999999999998</v>
      </c>
      <c r="K3581" s="4">
        <v>660</v>
      </c>
      <c r="L3581" s="5">
        <v>0.4</v>
      </c>
      <c r="M3581" t="s">
        <v>131</v>
      </c>
      <c r="N3581" t="s">
        <v>363</v>
      </c>
    </row>
    <row r="3582" spans="1:14">
      <c r="A3582" t="s">
        <v>29</v>
      </c>
      <c r="B3582">
        <v>1185732</v>
      </c>
      <c r="C3582" s="2">
        <v>44445</v>
      </c>
      <c r="D3582" t="s">
        <v>137</v>
      </c>
      <c r="E3582" t="s">
        <v>253</v>
      </c>
      <c r="F3582" t="s">
        <v>261</v>
      </c>
      <c r="G3582" t="s">
        <v>27</v>
      </c>
      <c r="H3582" s="3">
        <v>0.49999999999999994</v>
      </c>
      <c r="I3582">
        <v>4250</v>
      </c>
      <c r="J3582" s="4">
        <v>2124.9999999999995</v>
      </c>
      <c r="K3582" s="4">
        <v>743.74999999999977</v>
      </c>
      <c r="L3582" s="5">
        <v>0.35</v>
      </c>
      <c r="M3582" t="s">
        <v>132</v>
      </c>
      <c r="N3582" t="s">
        <v>363</v>
      </c>
    </row>
    <row r="3583" spans="1:14">
      <c r="A3583" t="s">
        <v>29</v>
      </c>
      <c r="B3583">
        <v>1185732</v>
      </c>
      <c r="C3583" s="2">
        <v>44445</v>
      </c>
      <c r="D3583" t="s">
        <v>137</v>
      </c>
      <c r="E3583" t="s">
        <v>253</v>
      </c>
      <c r="F3583" t="s">
        <v>261</v>
      </c>
      <c r="G3583" t="s">
        <v>145</v>
      </c>
      <c r="H3583" s="3">
        <v>0.45</v>
      </c>
      <c r="I3583">
        <v>2250</v>
      </c>
      <c r="J3583" s="4">
        <v>1012.5</v>
      </c>
      <c r="K3583" s="4">
        <v>354.375</v>
      </c>
      <c r="L3583" s="5">
        <v>0.35</v>
      </c>
      <c r="M3583" t="s">
        <v>132</v>
      </c>
      <c r="N3583" t="s">
        <v>363</v>
      </c>
    </row>
    <row r="3584" spans="1:14">
      <c r="A3584" t="s">
        <v>29</v>
      </c>
      <c r="B3584">
        <v>1185732</v>
      </c>
      <c r="C3584" s="2">
        <v>44445</v>
      </c>
      <c r="D3584" t="s">
        <v>137</v>
      </c>
      <c r="E3584" t="s">
        <v>253</v>
      </c>
      <c r="F3584" t="s">
        <v>261</v>
      </c>
      <c r="G3584" t="s">
        <v>146</v>
      </c>
      <c r="H3584" s="3">
        <v>0.4</v>
      </c>
      <c r="I3584">
        <v>1250</v>
      </c>
      <c r="J3584" s="4">
        <v>500</v>
      </c>
      <c r="K3584" s="4">
        <v>200</v>
      </c>
      <c r="L3584" s="5">
        <v>0.4</v>
      </c>
      <c r="M3584" t="s">
        <v>132</v>
      </c>
      <c r="N3584" t="s">
        <v>363</v>
      </c>
    </row>
    <row r="3585" spans="1:14">
      <c r="A3585" t="s">
        <v>29</v>
      </c>
      <c r="B3585">
        <v>1185732</v>
      </c>
      <c r="C3585" s="2">
        <v>44445</v>
      </c>
      <c r="D3585" t="s">
        <v>137</v>
      </c>
      <c r="E3585" t="s">
        <v>253</v>
      </c>
      <c r="F3585" t="s">
        <v>261</v>
      </c>
      <c r="G3585" t="s">
        <v>148</v>
      </c>
      <c r="H3585" s="3">
        <v>0.4</v>
      </c>
      <c r="I3585">
        <v>1000</v>
      </c>
      <c r="J3585" s="4">
        <v>400</v>
      </c>
      <c r="K3585" s="4">
        <v>160</v>
      </c>
      <c r="L3585" s="5">
        <v>0.4</v>
      </c>
      <c r="M3585" t="s">
        <v>132</v>
      </c>
      <c r="N3585" t="s">
        <v>363</v>
      </c>
    </row>
    <row r="3586" spans="1:14">
      <c r="A3586" t="s">
        <v>29</v>
      </c>
      <c r="B3586">
        <v>1185732</v>
      </c>
      <c r="C3586" s="2">
        <v>44445</v>
      </c>
      <c r="D3586" t="s">
        <v>137</v>
      </c>
      <c r="E3586" t="s">
        <v>253</v>
      </c>
      <c r="F3586" t="s">
        <v>261</v>
      </c>
      <c r="G3586" t="s">
        <v>147</v>
      </c>
      <c r="H3586" s="3">
        <v>0.49999999999999994</v>
      </c>
      <c r="I3586">
        <v>1000</v>
      </c>
      <c r="J3586" s="4">
        <v>499.99999999999994</v>
      </c>
      <c r="K3586" s="4">
        <v>149.99999999999997</v>
      </c>
      <c r="L3586" s="5">
        <v>0.3</v>
      </c>
      <c r="M3586" t="s">
        <v>132</v>
      </c>
      <c r="N3586" t="s">
        <v>363</v>
      </c>
    </row>
    <row r="3587" spans="1:14">
      <c r="A3587" t="s">
        <v>29</v>
      </c>
      <c r="B3587">
        <v>1185732</v>
      </c>
      <c r="C3587" s="2">
        <v>44445</v>
      </c>
      <c r="D3587" t="s">
        <v>137</v>
      </c>
      <c r="E3587" t="s">
        <v>253</v>
      </c>
      <c r="F3587" t="s">
        <v>261</v>
      </c>
      <c r="G3587" t="s">
        <v>144</v>
      </c>
      <c r="H3587" s="3">
        <v>0.54999999999999993</v>
      </c>
      <c r="I3587">
        <v>2000</v>
      </c>
      <c r="J3587" s="4">
        <v>1099.9999999999998</v>
      </c>
      <c r="K3587" s="4">
        <v>439.99999999999994</v>
      </c>
      <c r="L3587" s="5">
        <v>0.4</v>
      </c>
      <c r="M3587" t="s">
        <v>132</v>
      </c>
      <c r="N3587" t="s">
        <v>363</v>
      </c>
    </row>
    <row r="3588" spans="1:14">
      <c r="A3588" t="s">
        <v>29</v>
      </c>
      <c r="B3588">
        <v>1185732</v>
      </c>
      <c r="C3588" s="2">
        <v>44477</v>
      </c>
      <c r="D3588" t="s">
        <v>137</v>
      </c>
      <c r="E3588" t="s">
        <v>253</v>
      </c>
      <c r="F3588" t="s">
        <v>261</v>
      </c>
      <c r="G3588" t="s">
        <v>27</v>
      </c>
      <c r="H3588" s="3">
        <v>0.54999999999999993</v>
      </c>
      <c r="I3588">
        <v>3750</v>
      </c>
      <c r="J3588" s="4">
        <v>2062.4999999999995</v>
      </c>
      <c r="K3588" s="4">
        <v>721.87499999999977</v>
      </c>
      <c r="L3588" s="5">
        <v>0.35</v>
      </c>
      <c r="M3588" t="s">
        <v>133</v>
      </c>
      <c r="N3588" t="s">
        <v>364</v>
      </c>
    </row>
    <row r="3589" spans="1:14">
      <c r="A3589" t="s">
        <v>29</v>
      </c>
      <c r="B3589">
        <v>1185732</v>
      </c>
      <c r="C3589" s="2">
        <v>44477</v>
      </c>
      <c r="D3589" t="s">
        <v>137</v>
      </c>
      <c r="E3589" t="s">
        <v>253</v>
      </c>
      <c r="F3589" t="s">
        <v>261</v>
      </c>
      <c r="G3589" t="s">
        <v>145</v>
      </c>
      <c r="H3589" s="3">
        <v>0.5</v>
      </c>
      <c r="I3589">
        <v>2000</v>
      </c>
      <c r="J3589" s="4">
        <v>1000</v>
      </c>
      <c r="K3589" s="4">
        <v>350</v>
      </c>
      <c r="L3589" s="5">
        <v>0.35</v>
      </c>
      <c r="M3589" t="s">
        <v>133</v>
      </c>
      <c r="N3589" t="s">
        <v>364</v>
      </c>
    </row>
    <row r="3590" spans="1:14">
      <c r="A3590" t="s">
        <v>29</v>
      </c>
      <c r="B3590">
        <v>1185732</v>
      </c>
      <c r="C3590" s="2">
        <v>44477</v>
      </c>
      <c r="D3590" t="s">
        <v>137</v>
      </c>
      <c r="E3590" t="s">
        <v>253</v>
      </c>
      <c r="F3590" t="s">
        <v>261</v>
      </c>
      <c r="G3590" t="s">
        <v>146</v>
      </c>
      <c r="H3590" s="3">
        <v>0.5</v>
      </c>
      <c r="I3590">
        <v>1000</v>
      </c>
      <c r="J3590" s="4">
        <v>500</v>
      </c>
      <c r="K3590" s="4">
        <v>200</v>
      </c>
      <c r="L3590" s="5">
        <v>0.4</v>
      </c>
      <c r="M3590" t="s">
        <v>133</v>
      </c>
      <c r="N3590" t="s">
        <v>364</v>
      </c>
    </row>
    <row r="3591" spans="1:14">
      <c r="A3591" t="s">
        <v>29</v>
      </c>
      <c r="B3591">
        <v>1185732</v>
      </c>
      <c r="C3591" s="2">
        <v>44477</v>
      </c>
      <c r="D3591" t="s">
        <v>137</v>
      </c>
      <c r="E3591" t="s">
        <v>253</v>
      </c>
      <c r="F3591" t="s">
        <v>261</v>
      </c>
      <c r="G3591" t="s">
        <v>148</v>
      </c>
      <c r="H3591" s="3">
        <v>0.5</v>
      </c>
      <c r="I3591">
        <v>750</v>
      </c>
      <c r="J3591" s="4">
        <v>375</v>
      </c>
      <c r="K3591" s="4">
        <v>150</v>
      </c>
      <c r="L3591" s="5">
        <v>0.4</v>
      </c>
      <c r="M3591" t="s">
        <v>133</v>
      </c>
      <c r="N3591" t="s">
        <v>364</v>
      </c>
    </row>
    <row r="3592" spans="1:14">
      <c r="A3592" t="s">
        <v>29</v>
      </c>
      <c r="B3592">
        <v>1185732</v>
      </c>
      <c r="C3592" s="2">
        <v>44477</v>
      </c>
      <c r="D3592" t="s">
        <v>137</v>
      </c>
      <c r="E3592" t="s">
        <v>253</v>
      </c>
      <c r="F3592" t="s">
        <v>261</v>
      </c>
      <c r="G3592" t="s">
        <v>147</v>
      </c>
      <c r="H3592" s="3">
        <v>0.6</v>
      </c>
      <c r="I3592">
        <v>750</v>
      </c>
      <c r="J3592" s="4">
        <v>450</v>
      </c>
      <c r="K3592" s="4">
        <v>135</v>
      </c>
      <c r="L3592" s="5">
        <v>0.3</v>
      </c>
      <c r="M3592" t="s">
        <v>133</v>
      </c>
      <c r="N3592" t="s">
        <v>364</v>
      </c>
    </row>
    <row r="3593" spans="1:14">
      <c r="A3593" t="s">
        <v>29</v>
      </c>
      <c r="B3593">
        <v>1185732</v>
      </c>
      <c r="C3593" s="2">
        <v>44477</v>
      </c>
      <c r="D3593" t="s">
        <v>137</v>
      </c>
      <c r="E3593" t="s">
        <v>253</v>
      </c>
      <c r="F3593" t="s">
        <v>261</v>
      </c>
      <c r="G3593" t="s">
        <v>144</v>
      </c>
      <c r="H3593" s="3">
        <v>0.64999999999999991</v>
      </c>
      <c r="I3593">
        <v>2000</v>
      </c>
      <c r="J3593" s="4">
        <v>1299.9999999999998</v>
      </c>
      <c r="K3593" s="4">
        <v>519.99999999999989</v>
      </c>
      <c r="L3593" s="5">
        <v>0.4</v>
      </c>
      <c r="M3593" t="s">
        <v>133</v>
      </c>
      <c r="N3593" t="s">
        <v>364</v>
      </c>
    </row>
    <row r="3594" spans="1:14">
      <c r="A3594" t="s">
        <v>29</v>
      </c>
      <c r="B3594">
        <v>1185732</v>
      </c>
      <c r="C3594" s="2">
        <v>44507</v>
      </c>
      <c r="D3594" t="s">
        <v>137</v>
      </c>
      <c r="E3594" t="s">
        <v>253</v>
      </c>
      <c r="F3594" t="s">
        <v>261</v>
      </c>
      <c r="G3594" t="s">
        <v>27</v>
      </c>
      <c r="H3594" s="3">
        <v>0.6</v>
      </c>
      <c r="I3594">
        <v>3500</v>
      </c>
      <c r="J3594" s="4">
        <v>2100</v>
      </c>
      <c r="K3594" s="4">
        <v>735</v>
      </c>
      <c r="L3594" s="5">
        <v>0.35</v>
      </c>
      <c r="M3594" t="s">
        <v>134</v>
      </c>
      <c r="N3594" t="s">
        <v>364</v>
      </c>
    </row>
    <row r="3595" spans="1:14">
      <c r="A3595" t="s">
        <v>29</v>
      </c>
      <c r="B3595">
        <v>1185732</v>
      </c>
      <c r="C3595" s="2">
        <v>44507</v>
      </c>
      <c r="D3595" t="s">
        <v>137</v>
      </c>
      <c r="E3595" t="s">
        <v>253</v>
      </c>
      <c r="F3595" t="s">
        <v>261</v>
      </c>
      <c r="G3595" t="s">
        <v>145</v>
      </c>
      <c r="H3595" s="3">
        <v>0.5</v>
      </c>
      <c r="I3595">
        <v>2250</v>
      </c>
      <c r="J3595" s="4">
        <v>1125</v>
      </c>
      <c r="K3595" s="4">
        <v>393.75</v>
      </c>
      <c r="L3595" s="5">
        <v>0.35</v>
      </c>
      <c r="M3595" t="s">
        <v>134</v>
      </c>
      <c r="N3595" t="s">
        <v>364</v>
      </c>
    </row>
    <row r="3596" spans="1:14">
      <c r="A3596" t="s">
        <v>29</v>
      </c>
      <c r="B3596">
        <v>1185732</v>
      </c>
      <c r="C3596" s="2">
        <v>44507</v>
      </c>
      <c r="D3596" t="s">
        <v>137</v>
      </c>
      <c r="E3596" t="s">
        <v>253</v>
      </c>
      <c r="F3596" t="s">
        <v>261</v>
      </c>
      <c r="G3596" t="s">
        <v>146</v>
      </c>
      <c r="H3596" s="3">
        <v>0.5</v>
      </c>
      <c r="I3596">
        <v>2200</v>
      </c>
      <c r="J3596" s="4">
        <v>1100</v>
      </c>
      <c r="K3596" s="4">
        <v>440</v>
      </c>
      <c r="L3596" s="5">
        <v>0.4</v>
      </c>
      <c r="M3596" t="s">
        <v>134</v>
      </c>
      <c r="N3596" t="s">
        <v>364</v>
      </c>
    </row>
    <row r="3597" spans="1:14">
      <c r="A3597" t="s">
        <v>29</v>
      </c>
      <c r="B3597">
        <v>1185732</v>
      </c>
      <c r="C3597" s="2">
        <v>44507</v>
      </c>
      <c r="D3597" t="s">
        <v>137</v>
      </c>
      <c r="E3597" t="s">
        <v>253</v>
      </c>
      <c r="F3597" t="s">
        <v>261</v>
      </c>
      <c r="G3597" t="s">
        <v>148</v>
      </c>
      <c r="H3597" s="3">
        <v>0.5</v>
      </c>
      <c r="I3597">
        <v>2000</v>
      </c>
      <c r="J3597" s="4">
        <v>1000</v>
      </c>
      <c r="K3597" s="4">
        <v>400</v>
      </c>
      <c r="L3597" s="5">
        <v>0.4</v>
      </c>
      <c r="M3597" t="s">
        <v>134</v>
      </c>
      <c r="N3597" t="s">
        <v>364</v>
      </c>
    </row>
    <row r="3598" spans="1:14">
      <c r="A3598" t="s">
        <v>29</v>
      </c>
      <c r="B3598">
        <v>1185732</v>
      </c>
      <c r="C3598" s="2">
        <v>44507</v>
      </c>
      <c r="D3598" t="s">
        <v>137</v>
      </c>
      <c r="E3598" t="s">
        <v>253</v>
      </c>
      <c r="F3598" t="s">
        <v>261</v>
      </c>
      <c r="G3598" t="s">
        <v>147</v>
      </c>
      <c r="H3598" s="3">
        <v>0.6</v>
      </c>
      <c r="I3598">
        <v>1750</v>
      </c>
      <c r="J3598" s="4">
        <v>1050</v>
      </c>
      <c r="K3598" s="4">
        <v>315</v>
      </c>
      <c r="L3598" s="5">
        <v>0.3</v>
      </c>
      <c r="M3598" t="s">
        <v>134</v>
      </c>
      <c r="N3598" t="s">
        <v>364</v>
      </c>
    </row>
    <row r="3599" spans="1:14">
      <c r="A3599" t="s">
        <v>29</v>
      </c>
      <c r="B3599">
        <v>1185732</v>
      </c>
      <c r="C3599" s="2">
        <v>44507</v>
      </c>
      <c r="D3599" t="s">
        <v>137</v>
      </c>
      <c r="E3599" t="s">
        <v>253</v>
      </c>
      <c r="F3599" t="s">
        <v>261</v>
      </c>
      <c r="G3599" t="s">
        <v>144</v>
      </c>
      <c r="H3599" s="3">
        <v>0.64999999999999991</v>
      </c>
      <c r="I3599">
        <v>2750</v>
      </c>
      <c r="J3599" s="4">
        <v>1787.4999999999998</v>
      </c>
      <c r="K3599" s="4">
        <v>715</v>
      </c>
      <c r="L3599" s="5">
        <v>0.4</v>
      </c>
      <c r="M3599" t="s">
        <v>134</v>
      </c>
      <c r="N3599" t="s">
        <v>364</v>
      </c>
    </row>
    <row r="3600" spans="1:14">
      <c r="A3600" t="s">
        <v>29</v>
      </c>
      <c r="B3600">
        <v>1185732</v>
      </c>
      <c r="C3600" s="2">
        <v>44536</v>
      </c>
      <c r="D3600" t="s">
        <v>137</v>
      </c>
      <c r="E3600" t="s">
        <v>253</v>
      </c>
      <c r="F3600" t="s">
        <v>261</v>
      </c>
      <c r="G3600" t="s">
        <v>27</v>
      </c>
      <c r="H3600" s="3">
        <v>0.6</v>
      </c>
      <c r="I3600">
        <v>5000</v>
      </c>
      <c r="J3600" s="4">
        <v>3000</v>
      </c>
      <c r="K3600" s="4">
        <v>1050</v>
      </c>
      <c r="L3600" s="5">
        <v>0.35</v>
      </c>
      <c r="M3600" t="s">
        <v>23</v>
      </c>
      <c r="N3600" t="s">
        <v>364</v>
      </c>
    </row>
    <row r="3601" spans="1:14">
      <c r="A3601" t="s">
        <v>29</v>
      </c>
      <c r="B3601">
        <v>1185732</v>
      </c>
      <c r="C3601" s="2">
        <v>44536</v>
      </c>
      <c r="D3601" t="s">
        <v>137</v>
      </c>
      <c r="E3601" t="s">
        <v>253</v>
      </c>
      <c r="F3601" t="s">
        <v>261</v>
      </c>
      <c r="G3601" t="s">
        <v>145</v>
      </c>
      <c r="H3601" s="3">
        <v>0.5</v>
      </c>
      <c r="I3601">
        <v>3000</v>
      </c>
      <c r="J3601" s="4">
        <v>1500</v>
      </c>
      <c r="K3601" s="4">
        <v>525</v>
      </c>
      <c r="L3601" s="5">
        <v>0.35</v>
      </c>
      <c r="M3601" t="s">
        <v>23</v>
      </c>
      <c r="N3601" t="s">
        <v>364</v>
      </c>
    </row>
    <row r="3602" spans="1:14">
      <c r="A3602" t="s">
        <v>29</v>
      </c>
      <c r="B3602">
        <v>1185732</v>
      </c>
      <c r="C3602" s="2">
        <v>44536</v>
      </c>
      <c r="D3602" t="s">
        <v>137</v>
      </c>
      <c r="E3602" t="s">
        <v>253</v>
      </c>
      <c r="F3602" t="s">
        <v>261</v>
      </c>
      <c r="G3602" t="s">
        <v>146</v>
      </c>
      <c r="H3602" s="3">
        <v>0.5</v>
      </c>
      <c r="I3602">
        <v>2750</v>
      </c>
      <c r="J3602" s="4">
        <v>1375</v>
      </c>
      <c r="K3602" s="4">
        <v>550</v>
      </c>
      <c r="L3602" s="5">
        <v>0.4</v>
      </c>
      <c r="M3602" t="s">
        <v>23</v>
      </c>
      <c r="N3602" t="s">
        <v>364</v>
      </c>
    </row>
    <row r="3603" spans="1:14">
      <c r="A3603" t="s">
        <v>29</v>
      </c>
      <c r="B3603">
        <v>1185732</v>
      </c>
      <c r="C3603" s="2">
        <v>44536</v>
      </c>
      <c r="D3603" t="s">
        <v>137</v>
      </c>
      <c r="E3603" t="s">
        <v>253</v>
      </c>
      <c r="F3603" t="s">
        <v>261</v>
      </c>
      <c r="G3603" t="s">
        <v>148</v>
      </c>
      <c r="H3603" s="3">
        <v>0.5</v>
      </c>
      <c r="I3603">
        <v>2250</v>
      </c>
      <c r="J3603" s="4">
        <v>1125</v>
      </c>
      <c r="K3603" s="4">
        <v>450</v>
      </c>
      <c r="L3603" s="5">
        <v>0.4</v>
      </c>
      <c r="M3603" t="s">
        <v>23</v>
      </c>
      <c r="N3603" t="s">
        <v>364</v>
      </c>
    </row>
    <row r="3604" spans="1:14">
      <c r="A3604" t="s">
        <v>29</v>
      </c>
      <c r="B3604">
        <v>1185732</v>
      </c>
      <c r="C3604" s="2">
        <v>44536</v>
      </c>
      <c r="D3604" t="s">
        <v>137</v>
      </c>
      <c r="E3604" t="s">
        <v>253</v>
      </c>
      <c r="F3604" t="s">
        <v>261</v>
      </c>
      <c r="G3604" t="s">
        <v>147</v>
      </c>
      <c r="H3604" s="3">
        <v>0.6</v>
      </c>
      <c r="I3604">
        <v>2250</v>
      </c>
      <c r="J3604" s="4">
        <v>1350</v>
      </c>
      <c r="K3604" s="4">
        <v>405</v>
      </c>
      <c r="L3604" s="5">
        <v>0.3</v>
      </c>
      <c r="M3604" t="s">
        <v>23</v>
      </c>
      <c r="N3604" t="s">
        <v>364</v>
      </c>
    </row>
    <row r="3605" spans="1:14">
      <c r="A3605" t="s">
        <v>29</v>
      </c>
      <c r="B3605">
        <v>1185732</v>
      </c>
      <c r="C3605" s="2">
        <v>44536</v>
      </c>
      <c r="D3605" t="s">
        <v>137</v>
      </c>
      <c r="E3605" t="s">
        <v>253</v>
      </c>
      <c r="F3605" t="s">
        <v>261</v>
      </c>
      <c r="G3605" t="s">
        <v>144</v>
      </c>
      <c r="H3605" s="3">
        <v>0.64999999999999991</v>
      </c>
      <c r="I3605">
        <v>3250</v>
      </c>
      <c r="J3605" s="4">
        <v>2112.4999999999995</v>
      </c>
      <c r="K3605" s="4">
        <v>844.99999999999989</v>
      </c>
      <c r="L3605" s="5">
        <v>0.4</v>
      </c>
      <c r="M3605" t="s">
        <v>23</v>
      </c>
      <c r="N3605" t="s">
        <v>364</v>
      </c>
    </row>
    <row r="3606" spans="1:14">
      <c r="A3606" t="s">
        <v>29</v>
      </c>
      <c r="B3606">
        <v>1185732</v>
      </c>
      <c r="C3606" s="2">
        <v>44213</v>
      </c>
      <c r="D3606" t="s">
        <v>137</v>
      </c>
      <c r="E3606" t="s">
        <v>231</v>
      </c>
      <c r="F3606" t="s">
        <v>240</v>
      </c>
      <c r="G3606" t="s">
        <v>27</v>
      </c>
      <c r="H3606" s="3">
        <v>0.4</v>
      </c>
      <c r="I3606">
        <v>4500</v>
      </c>
      <c r="J3606" s="4">
        <v>1800</v>
      </c>
      <c r="K3606" s="4">
        <v>540</v>
      </c>
      <c r="L3606" s="5">
        <v>0.3</v>
      </c>
      <c r="M3606" t="s">
        <v>125</v>
      </c>
      <c r="N3606" t="s">
        <v>361</v>
      </c>
    </row>
    <row r="3607" spans="1:14">
      <c r="A3607" t="s">
        <v>29</v>
      </c>
      <c r="B3607">
        <v>1185732</v>
      </c>
      <c r="C3607" s="2">
        <v>44213</v>
      </c>
      <c r="D3607" t="s">
        <v>137</v>
      </c>
      <c r="E3607" t="s">
        <v>231</v>
      </c>
      <c r="F3607" t="s">
        <v>240</v>
      </c>
      <c r="G3607" t="s">
        <v>145</v>
      </c>
      <c r="H3607" s="3">
        <v>0.4</v>
      </c>
      <c r="I3607">
        <v>2500</v>
      </c>
      <c r="J3607" s="4">
        <v>1000</v>
      </c>
      <c r="K3607" s="4">
        <v>300</v>
      </c>
      <c r="L3607" s="5">
        <v>0.3</v>
      </c>
      <c r="M3607" t="s">
        <v>125</v>
      </c>
      <c r="N3607" t="s">
        <v>361</v>
      </c>
    </row>
    <row r="3608" spans="1:14">
      <c r="A3608" t="s">
        <v>29</v>
      </c>
      <c r="B3608">
        <v>1185732</v>
      </c>
      <c r="C3608" s="2">
        <v>44213</v>
      </c>
      <c r="D3608" t="s">
        <v>137</v>
      </c>
      <c r="E3608" t="s">
        <v>231</v>
      </c>
      <c r="F3608" t="s">
        <v>240</v>
      </c>
      <c r="G3608" t="s">
        <v>146</v>
      </c>
      <c r="H3608" s="3">
        <v>0.30000000000000004</v>
      </c>
      <c r="I3608">
        <v>2500</v>
      </c>
      <c r="J3608" s="4">
        <v>750.00000000000011</v>
      </c>
      <c r="K3608" s="4">
        <v>187.50000000000003</v>
      </c>
      <c r="L3608" s="5">
        <v>0.25</v>
      </c>
      <c r="M3608" t="s">
        <v>125</v>
      </c>
      <c r="N3608" t="s">
        <v>361</v>
      </c>
    </row>
    <row r="3609" spans="1:14">
      <c r="A3609" t="s">
        <v>29</v>
      </c>
      <c r="B3609">
        <v>1185732</v>
      </c>
      <c r="C3609" s="2">
        <v>44213</v>
      </c>
      <c r="D3609" t="s">
        <v>137</v>
      </c>
      <c r="E3609" t="s">
        <v>231</v>
      </c>
      <c r="F3609" t="s">
        <v>240</v>
      </c>
      <c r="G3609" t="s">
        <v>148</v>
      </c>
      <c r="H3609" s="3">
        <v>0.35</v>
      </c>
      <c r="I3609">
        <v>1000</v>
      </c>
      <c r="J3609" s="4">
        <v>350</v>
      </c>
      <c r="K3609" s="4">
        <v>87.5</v>
      </c>
      <c r="L3609" s="5">
        <v>0.25</v>
      </c>
      <c r="M3609" t="s">
        <v>125</v>
      </c>
      <c r="N3609" t="s">
        <v>361</v>
      </c>
    </row>
    <row r="3610" spans="1:14">
      <c r="A3610" t="s">
        <v>29</v>
      </c>
      <c r="B3610">
        <v>1185732</v>
      </c>
      <c r="C3610" s="2">
        <v>44213</v>
      </c>
      <c r="D3610" t="s">
        <v>137</v>
      </c>
      <c r="E3610" t="s">
        <v>231</v>
      </c>
      <c r="F3610" t="s">
        <v>240</v>
      </c>
      <c r="G3610" t="s">
        <v>147</v>
      </c>
      <c r="H3610" s="3">
        <v>0.5</v>
      </c>
      <c r="I3610">
        <v>1500</v>
      </c>
      <c r="J3610" s="4">
        <v>750</v>
      </c>
      <c r="K3610" s="4">
        <v>187.5</v>
      </c>
      <c r="L3610" s="5">
        <v>0.25</v>
      </c>
      <c r="M3610" t="s">
        <v>125</v>
      </c>
      <c r="N3610" t="s">
        <v>361</v>
      </c>
    </row>
    <row r="3611" spans="1:14">
      <c r="A3611" t="s">
        <v>29</v>
      </c>
      <c r="B3611">
        <v>1185732</v>
      </c>
      <c r="C3611" s="2">
        <v>44213</v>
      </c>
      <c r="D3611" t="s">
        <v>137</v>
      </c>
      <c r="E3611" t="s">
        <v>231</v>
      </c>
      <c r="F3611" t="s">
        <v>240</v>
      </c>
      <c r="G3611" t="s">
        <v>144</v>
      </c>
      <c r="H3611" s="3">
        <v>0.4</v>
      </c>
      <c r="I3611">
        <v>2500</v>
      </c>
      <c r="J3611" s="4">
        <v>1000</v>
      </c>
      <c r="K3611" s="4">
        <v>300</v>
      </c>
      <c r="L3611" s="5">
        <v>0.3</v>
      </c>
      <c r="M3611" t="s">
        <v>125</v>
      </c>
      <c r="N3611" t="s">
        <v>361</v>
      </c>
    </row>
    <row r="3612" spans="1:14">
      <c r="A3612" t="s">
        <v>29</v>
      </c>
      <c r="B3612">
        <v>1185732</v>
      </c>
      <c r="C3612" s="2">
        <v>44242</v>
      </c>
      <c r="D3612" t="s">
        <v>137</v>
      </c>
      <c r="E3612" t="s">
        <v>231</v>
      </c>
      <c r="F3612" t="s">
        <v>240</v>
      </c>
      <c r="G3612" t="s">
        <v>27</v>
      </c>
      <c r="H3612" s="3">
        <v>0.4</v>
      </c>
      <c r="I3612">
        <v>5000</v>
      </c>
      <c r="J3612" s="4">
        <v>2000</v>
      </c>
      <c r="K3612" s="4">
        <v>600</v>
      </c>
      <c r="L3612" s="5">
        <v>0.3</v>
      </c>
      <c r="M3612" t="s">
        <v>126</v>
      </c>
      <c r="N3612" t="s">
        <v>361</v>
      </c>
    </row>
    <row r="3613" spans="1:14">
      <c r="A3613" t="s">
        <v>29</v>
      </c>
      <c r="B3613">
        <v>1185732</v>
      </c>
      <c r="C3613" s="2">
        <v>44242</v>
      </c>
      <c r="D3613" t="s">
        <v>137</v>
      </c>
      <c r="E3613" t="s">
        <v>231</v>
      </c>
      <c r="F3613" t="s">
        <v>240</v>
      </c>
      <c r="G3613" t="s">
        <v>145</v>
      </c>
      <c r="H3613" s="3">
        <v>0.4</v>
      </c>
      <c r="I3613">
        <v>1500</v>
      </c>
      <c r="J3613" s="4">
        <v>600</v>
      </c>
      <c r="K3613" s="4">
        <v>180</v>
      </c>
      <c r="L3613" s="5">
        <v>0.3</v>
      </c>
      <c r="M3613" t="s">
        <v>126</v>
      </c>
      <c r="N3613" t="s">
        <v>361</v>
      </c>
    </row>
    <row r="3614" spans="1:14">
      <c r="A3614" t="s">
        <v>29</v>
      </c>
      <c r="B3614">
        <v>1185732</v>
      </c>
      <c r="C3614" s="2">
        <v>44242</v>
      </c>
      <c r="D3614" t="s">
        <v>137</v>
      </c>
      <c r="E3614" t="s">
        <v>231</v>
      </c>
      <c r="F3614" t="s">
        <v>240</v>
      </c>
      <c r="G3614" t="s">
        <v>146</v>
      </c>
      <c r="H3614" s="3">
        <v>0.30000000000000004</v>
      </c>
      <c r="I3614">
        <v>2000</v>
      </c>
      <c r="J3614" s="4">
        <v>600.00000000000011</v>
      </c>
      <c r="K3614" s="4">
        <v>150.00000000000003</v>
      </c>
      <c r="L3614" s="5">
        <v>0.25</v>
      </c>
      <c r="M3614" t="s">
        <v>126</v>
      </c>
      <c r="N3614" t="s">
        <v>361</v>
      </c>
    </row>
    <row r="3615" spans="1:14">
      <c r="A3615" t="s">
        <v>29</v>
      </c>
      <c r="B3615">
        <v>1185732</v>
      </c>
      <c r="C3615" s="2">
        <v>44242</v>
      </c>
      <c r="D3615" t="s">
        <v>137</v>
      </c>
      <c r="E3615" t="s">
        <v>231</v>
      </c>
      <c r="F3615" t="s">
        <v>240</v>
      </c>
      <c r="G3615" t="s">
        <v>148</v>
      </c>
      <c r="H3615" s="3">
        <v>0.35</v>
      </c>
      <c r="I3615">
        <v>2500</v>
      </c>
      <c r="J3615" s="4">
        <v>875</v>
      </c>
      <c r="K3615" s="4">
        <v>218.75</v>
      </c>
      <c r="L3615" s="5">
        <v>0.25</v>
      </c>
      <c r="M3615" t="s">
        <v>126</v>
      </c>
      <c r="N3615" t="s">
        <v>361</v>
      </c>
    </row>
    <row r="3616" spans="1:14">
      <c r="A3616" t="s">
        <v>29</v>
      </c>
      <c r="B3616">
        <v>1185732</v>
      </c>
      <c r="C3616" s="2">
        <v>44242</v>
      </c>
      <c r="D3616" t="s">
        <v>137</v>
      </c>
      <c r="E3616" t="s">
        <v>231</v>
      </c>
      <c r="F3616" t="s">
        <v>240</v>
      </c>
      <c r="G3616" t="s">
        <v>147</v>
      </c>
      <c r="H3616" s="3">
        <v>0.5</v>
      </c>
      <c r="I3616">
        <v>1500</v>
      </c>
      <c r="J3616" s="4">
        <v>750</v>
      </c>
      <c r="K3616" s="4">
        <v>187.5</v>
      </c>
      <c r="L3616" s="5">
        <v>0.25</v>
      </c>
      <c r="M3616" t="s">
        <v>126</v>
      </c>
      <c r="N3616" t="s">
        <v>361</v>
      </c>
    </row>
    <row r="3617" spans="1:14">
      <c r="A3617" t="s">
        <v>29</v>
      </c>
      <c r="B3617">
        <v>1185732</v>
      </c>
      <c r="C3617" s="2">
        <v>44242</v>
      </c>
      <c r="D3617" t="s">
        <v>137</v>
      </c>
      <c r="E3617" t="s">
        <v>231</v>
      </c>
      <c r="F3617" t="s">
        <v>240</v>
      </c>
      <c r="G3617" t="s">
        <v>144</v>
      </c>
      <c r="H3617" s="3">
        <v>0.4</v>
      </c>
      <c r="I3617">
        <v>2500</v>
      </c>
      <c r="J3617" s="4">
        <v>1000</v>
      </c>
      <c r="K3617" s="4">
        <v>300</v>
      </c>
      <c r="L3617" s="5">
        <v>0.3</v>
      </c>
      <c r="M3617" t="s">
        <v>126</v>
      </c>
      <c r="N3617" t="s">
        <v>361</v>
      </c>
    </row>
    <row r="3618" spans="1:14">
      <c r="A3618" t="s">
        <v>29</v>
      </c>
      <c r="B3618">
        <v>1185732</v>
      </c>
      <c r="C3618" s="2">
        <v>44268</v>
      </c>
      <c r="D3618" t="s">
        <v>137</v>
      </c>
      <c r="E3618" t="s">
        <v>231</v>
      </c>
      <c r="F3618" t="s">
        <v>240</v>
      </c>
      <c r="G3618" t="s">
        <v>27</v>
      </c>
      <c r="H3618" s="3">
        <v>0.4</v>
      </c>
      <c r="I3618">
        <v>4700</v>
      </c>
      <c r="J3618" s="4">
        <v>1880</v>
      </c>
      <c r="K3618" s="4">
        <v>564</v>
      </c>
      <c r="L3618" s="5">
        <v>0.3</v>
      </c>
      <c r="M3618" t="s">
        <v>24</v>
      </c>
      <c r="N3618" t="s">
        <v>361</v>
      </c>
    </row>
    <row r="3619" spans="1:14">
      <c r="A3619" t="s">
        <v>29</v>
      </c>
      <c r="B3619">
        <v>1185732</v>
      </c>
      <c r="C3619" s="2">
        <v>44268</v>
      </c>
      <c r="D3619" t="s">
        <v>137</v>
      </c>
      <c r="E3619" t="s">
        <v>231</v>
      </c>
      <c r="F3619" t="s">
        <v>240</v>
      </c>
      <c r="G3619" t="s">
        <v>145</v>
      </c>
      <c r="H3619" s="3">
        <v>0.4</v>
      </c>
      <c r="I3619">
        <v>1750</v>
      </c>
      <c r="J3619" s="4">
        <v>700</v>
      </c>
      <c r="K3619" s="4">
        <v>210</v>
      </c>
      <c r="L3619" s="5">
        <v>0.3</v>
      </c>
      <c r="M3619" t="s">
        <v>24</v>
      </c>
      <c r="N3619" t="s">
        <v>361</v>
      </c>
    </row>
    <row r="3620" spans="1:14">
      <c r="A3620" t="s">
        <v>29</v>
      </c>
      <c r="B3620">
        <v>1185732</v>
      </c>
      <c r="C3620" s="2">
        <v>44268</v>
      </c>
      <c r="D3620" t="s">
        <v>137</v>
      </c>
      <c r="E3620" t="s">
        <v>231</v>
      </c>
      <c r="F3620" t="s">
        <v>240</v>
      </c>
      <c r="G3620" t="s">
        <v>146</v>
      </c>
      <c r="H3620" s="3">
        <v>0.30000000000000004</v>
      </c>
      <c r="I3620">
        <v>2000</v>
      </c>
      <c r="J3620" s="4">
        <v>600.00000000000011</v>
      </c>
      <c r="K3620" s="4">
        <v>150.00000000000003</v>
      </c>
      <c r="L3620" s="5">
        <v>0.25</v>
      </c>
      <c r="M3620" t="s">
        <v>24</v>
      </c>
      <c r="N3620" t="s">
        <v>361</v>
      </c>
    </row>
    <row r="3621" spans="1:14">
      <c r="A3621" t="s">
        <v>29</v>
      </c>
      <c r="B3621">
        <v>1185732</v>
      </c>
      <c r="C3621" s="2">
        <v>44268</v>
      </c>
      <c r="D3621" t="s">
        <v>137</v>
      </c>
      <c r="E3621" t="s">
        <v>231</v>
      </c>
      <c r="F3621" t="s">
        <v>240</v>
      </c>
      <c r="G3621" t="s">
        <v>148</v>
      </c>
      <c r="H3621" s="3">
        <v>0.35</v>
      </c>
      <c r="I3621">
        <v>3000</v>
      </c>
      <c r="J3621" s="4">
        <v>1050</v>
      </c>
      <c r="K3621" s="4">
        <v>262.5</v>
      </c>
      <c r="L3621" s="5">
        <v>0.25</v>
      </c>
      <c r="M3621" t="s">
        <v>24</v>
      </c>
      <c r="N3621" t="s">
        <v>361</v>
      </c>
    </row>
    <row r="3622" spans="1:14">
      <c r="A3622" t="s">
        <v>29</v>
      </c>
      <c r="B3622">
        <v>1185732</v>
      </c>
      <c r="C3622" s="2">
        <v>44268</v>
      </c>
      <c r="D3622" t="s">
        <v>137</v>
      </c>
      <c r="E3622" t="s">
        <v>231</v>
      </c>
      <c r="F3622" t="s">
        <v>240</v>
      </c>
      <c r="G3622" t="s">
        <v>147</v>
      </c>
      <c r="H3622" s="3">
        <v>0.5</v>
      </c>
      <c r="I3622">
        <v>1000</v>
      </c>
      <c r="J3622" s="4">
        <v>500</v>
      </c>
      <c r="K3622" s="4">
        <v>125</v>
      </c>
      <c r="L3622" s="5">
        <v>0.25</v>
      </c>
      <c r="M3622" t="s">
        <v>24</v>
      </c>
      <c r="N3622" t="s">
        <v>361</v>
      </c>
    </row>
    <row r="3623" spans="1:14">
      <c r="A3623" t="s">
        <v>29</v>
      </c>
      <c r="B3623">
        <v>1185732</v>
      </c>
      <c r="C3623" s="2">
        <v>44268</v>
      </c>
      <c r="D3623" t="s">
        <v>137</v>
      </c>
      <c r="E3623" t="s">
        <v>231</v>
      </c>
      <c r="F3623" t="s">
        <v>240</v>
      </c>
      <c r="G3623" t="s">
        <v>144</v>
      </c>
      <c r="H3623" s="3">
        <v>0.4</v>
      </c>
      <c r="I3623">
        <v>2000</v>
      </c>
      <c r="J3623" s="4">
        <v>800</v>
      </c>
      <c r="K3623" s="4">
        <v>240</v>
      </c>
      <c r="L3623" s="5">
        <v>0.3</v>
      </c>
      <c r="M3623" t="s">
        <v>24</v>
      </c>
      <c r="N3623" t="s">
        <v>361</v>
      </c>
    </row>
    <row r="3624" spans="1:14">
      <c r="A3624" t="s">
        <v>29</v>
      </c>
      <c r="B3624">
        <v>1185732</v>
      </c>
      <c r="C3624" s="2">
        <v>44300</v>
      </c>
      <c r="D3624" t="s">
        <v>137</v>
      </c>
      <c r="E3624" t="s">
        <v>231</v>
      </c>
      <c r="F3624" t="s">
        <v>240</v>
      </c>
      <c r="G3624" t="s">
        <v>27</v>
      </c>
      <c r="H3624" s="3">
        <v>0.4</v>
      </c>
      <c r="I3624">
        <v>4500</v>
      </c>
      <c r="J3624" s="4">
        <v>1800</v>
      </c>
      <c r="K3624" s="4">
        <v>540</v>
      </c>
      <c r="L3624" s="5">
        <v>0.3</v>
      </c>
      <c r="M3624" t="s">
        <v>127</v>
      </c>
      <c r="N3624" t="s">
        <v>362</v>
      </c>
    </row>
    <row r="3625" spans="1:14">
      <c r="A3625" t="s">
        <v>29</v>
      </c>
      <c r="B3625">
        <v>1185732</v>
      </c>
      <c r="C3625" s="2">
        <v>44300</v>
      </c>
      <c r="D3625" t="s">
        <v>137</v>
      </c>
      <c r="E3625" t="s">
        <v>231</v>
      </c>
      <c r="F3625" t="s">
        <v>240</v>
      </c>
      <c r="G3625" t="s">
        <v>145</v>
      </c>
      <c r="H3625" s="3">
        <v>0.4</v>
      </c>
      <c r="I3625">
        <v>1500</v>
      </c>
      <c r="J3625" s="4">
        <v>600</v>
      </c>
      <c r="K3625" s="4">
        <v>180</v>
      </c>
      <c r="L3625" s="5">
        <v>0.3</v>
      </c>
      <c r="M3625" t="s">
        <v>127</v>
      </c>
      <c r="N3625" t="s">
        <v>362</v>
      </c>
    </row>
    <row r="3626" spans="1:14">
      <c r="A3626" t="s">
        <v>29</v>
      </c>
      <c r="B3626">
        <v>1185732</v>
      </c>
      <c r="C3626" s="2">
        <v>44300</v>
      </c>
      <c r="D3626" t="s">
        <v>137</v>
      </c>
      <c r="E3626" t="s">
        <v>231</v>
      </c>
      <c r="F3626" t="s">
        <v>240</v>
      </c>
      <c r="G3626" t="s">
        <v>146</v>
      </c>
      <c r="H3626" s="3">
        <v>0.30000000000000004</v>
      </c>
      <c r="I3626">
        <v>1500</v>
      </c>
      <c r="J3626" s="4">
        <v>450.00000000000006</v>
      </c>
      <c r="K3626" s="4">
        <v>112.50000000000001</v>
      </c>
      <c r="L3626" s="5">
        <v>0.25</v>
      </c>
      <c r="M3626" t="s">
        <v>127</v>
      </c>
      <c r="N3626" t="s">
        <v>362</v>
      </c>
    </row>
    <row r="3627" spans="1:14">
      <c r="A3627" t="s">
        <v>29</v>
      </c>
      <c r="B3627">
        <v>1185732</v>
      </c>
      <c r="C3627" s="2">
        <v>44300</v>
      </c>
      <c r="D3627" t="s">
        <v>137</v>
      </c>
      <c r="E3627" t="s">
        <v>231</v>
      </c>
      <c r="F3627" t="s">
        <v>240</v>
      </c>
      <c r="G3627" t="s">
        <v>148</v>
      </c>
      <c r="H3627" s="3">
        <v>0.35</v>
      </c>
      <c r="I3627">
        <v>1250</v>
      </c>
      <c r="J3627" s="4">
        <v>437.5</v>
      </c>
      <c r="K3627" s="4">
        <v>109.375</v>
      </c>
      <c r="L3627" s="5">
        <v>0.25</v>
      </c>
      <c r="M3627" t="s">
        <v>127</v>
      </c>
      <c r="N3627" t="s">
        <v>362</v>
      </c>
    </row>
    <row r="3628" spans="1:14">
      <c r="A3628" t="s">
        <v>29</v>
      </c>
      <c r="B3628">
        <v>1185732</v>
      </c>
      <c r="C3628" s="2">
        <v>44300</v>
      </c>
      <c r="D3628" t="s">
        <v>137</v>
      </c>
      <c r="E3628" t="s">
        <v>231</v>
      </c>
      <c r="F3628" t="s">
        <v>240</v>
      </c>
      <c r="G3628" t="s">
        <v>147</v>
      </c>
      <c r="H3628" s="3">
        <v>0.5</v>
      </c>
      <c r="I3628">
        <v>1250</v>
      </c>
      <c r="J3628" s="4">
        <v>625</v>
      </c>
      <c r="K3628" s="4">
        <v>156.25</v>
      </c>
      <c r="L3628" s="5">
        <v>0.25</v>
      </c>
      <c r="M3628" t="s">
        <v>127</v>
      </c>
      <c r="N3628" t="s">
        <v>362</v>
      </c>
    </row>
    <row r="3629" spans="1:14">
      <c r="A3629" t="s">
        <v>29</v>
      </c>
      <c r="B3629">
        <v>1185732</v>
      </c>
      <c r="C3629" s="2">
        <v>44300</v>
      </c>
      <c r="D3629" t="s">
        <v>137</v>
      </c>
      <c r="E3629" t="s">
        <v>231</v>
      </c>
      <c r="F3629" t="s">
        <v>240</v>
      </c>
      <c r="G3629" t="s">
        <v>144</v>
      </c>
      <c r="H3629" s="3">
        <v>0.4</v>
      </c>
      <c r="I3629">
        <v>2750</v>
      </c>
      <c r="J3629" s="4">
        <v>1100</v>
      </c>
      <c r="K3629" s="4">
        <v>330</v>
      </c>
      <c r="L3629" s="5">
        <v>0.3</v>
      </c>
      <c r="M3629" t="s">
        <v>127</v>
      </c>
      <c r="N3629" t="s">
        <v>362</v>
      </c>
    </row>
    <row r="3630" spans="1:14">
      <c r="A3630" t="s">
        <v>29</v>
      </c>
      <c r="B3630">
        <v>1185732</v>
      </c>
      <c r="C3630" s="2">
        <v>44329</v>
      </c>
      <c r="D3630" t="s">
        <v>137</v>
      </c>
      <c r="E3630" t="s">
        <v>231</v>
      </c>
      <c r="F3630" t="s">
        <v>240</v>
      </c>
      <c r="G3630" t="s">
        <v>27</v>
      </c>
      <c r="H3630" s="3">
        <v>0.54999999999999993</v>
      </c>
      <c r="I3630">
        <v>4950</v>
      </c>
      <c r="J3630" s="4">
        <v>2722.4999999999995</v>
      </c>
      <c r="K3630" s="4">
        <v>816.74999999999989</v>
      </c>
      <c r="L3630" s="5">
        <v>0.3</v>
      </c>
      <c r="M3630" t="s">
        <v>128</v>
      </c>
      <c r="N3630" t="s">
        <v>362</v>
      </c>
    </row>
    <row r="3631" spans="1:14">
      <c r="A3631" t="s">
        <v>29</v>
      </c>
      <c r="B3631">
        <v>1185732</v>
      </c>
      <c r="C3631" s="2">
        <v>44329</v>
      </c>
      <c r="D3631" t="s">
        <v>137</v>
      </c>
      <c r="E3631" t="s">
        <v>231</v>
      </c>
      <c r="F3631" t="s">
        <v>240</v>
      </c>
      <c r="G3631" t="s">
        <v>145</v>
      </c>
      <c r="H3631" s="3">
        <v>0.5</v>
      </c>
      <c r="I3631">
        <v>2000</v>
      </c>
      <c r="J3631" s="4">
        <v>1000</v>
      </c>
      <c r="K3631" s="4">
        <v>300</v>
      </c>
      <c r="L3631" s="5">
        <v>0.3</v>
      </c>
      <c r="M3631" t="s">
        <v>128</v>
      </c>
      <c r="N3631" t="s">
        <v>362</v>
      </c>
    </row>
    <row r="3632" spans="1:14">
      <c r="A3632" t="s">
        <v>29</v>
      </c>
      <c r="B3632">
        <v>1185732</v>
      </c>
      <c r="C3632" s="2">
        <v>44329</v>
      </c>
      <c r="D3632" t="s">
        <v>137</v>
      </c>
      <c r="E3632" t="s">
        <v>231</v>
      </c>
      <c r="F3632" t="s">
        <v>240</v>
      </c>
      <c r="G3632" t="s">
        <v>146</v>
      </c>
      <c r="H3632" s="3">
        <v>0.45</v>
      </c>
      <c r="I3632">
        <v>2250</v>
      </c>
      <c r="J3632" s="4">
        <v>1012.5</v>
      </c>
      <c r="K3632" s="4">
        <v>253.125</v>
      </c>
      <c r="L3632" s="5">
        <v>0.25</v>
      </c>
      <c r="M3632" t="s">
        <v>128</v>
      </c>
      <c r="N3632" t="s">
        <v>362</v>
      </c>
    </row>
    <row r="3633" spans="1:14">
      <c r="A3633" t="s">
        <v>29</v>
      </c>
      <c r="B3633">
        <v>1185732</v>
      </c>
      <c r="C3633" s="2">
        <v>44329</v>
      </c>
      <c r="D3633" t="s">
        <v>137</v>
      </c>
      <c r="E3633" t="s">
        <v>231</v>
      </c>
      <c r="F3633" t="s">
        <v>240</v>
      </c>
      <c r="G3633" t="s">
        <v>148</v>
      </c>
      <c r="H3633" s="3">
        <v>0.45</v>
      </c>
      <c r="I3633">
        <v>1750</v>
      </c>
      <c r="J3633" s="4">
        <v>787.5</v>
      </c>
      <c r="K3633" s="4">
        <v>196.875</v>
      </c>
      <c r="L3633" s="5">
        <v>0.25</v>
      </c>
      <c r="M3633" t="s">
        <v>128</v>
      </c>
      <c r="N3633" t="s">
        <v>362</v>
      </c>
    </row>
    <row r="3634" spans="1:14">
      <c r="A3634" t="s">
        <v>29</v>
      </c>
      <c r="B3634">
        <v>1185732</v>
      </c>
      <c r="C3634" s="2">
        <v>44329</v>
      </c>
      <c r="D3634" t="s">
        <v>137</v>
      </c>
      <c r="E3634" t="s">
        <v>231</v>
      </c>
      <c r="F3634" t="s">
        <v>240</v>
      </c>
      <c r="G3634" t="s">
        <v>147</v>
      </c>
      <c r="H3634" s="3">
        <v>0.54999999999999993</v>
      </c>
      <c r="I3634">
        <v>2000</v>
      </c>
      <c r="J3634" s="4">
        <v>1099.9999999999998</v>
      </c>
      <c r="K3634" s="4">
        <v>274.99999999999994</v>
      </c>
      <c r="L3634" s="5">
        <v>0.25</v>
      </c>
      <c r="M3634" t="s">
        <v>128</v>
      </c>
      <c r="N3634" t="s">
        <v>362</v>
      </c>
    </row>
    <row r="3635" spans="1:14">
      <c r="A3635" t="s">
        <v>29</v>
      </c>
      <c r="B3635">
        <v>1185732</v>
      </c>
      <c r="C3635" s="2">
        <v>44329</v>
      </c>
      <c r="D3635" t="s">
        <v>137</v>
      </c>
      <c r="E3635" t="s">
        <v>231</v>
      </c>
      <c r="F3635" t="s">
        <v>240</v>
      </c>
      <c r="G3635" t="s">
        <v>144</v>
      </c>
      <c r="H3635" s="3">
        <v>0.6</v>
      </c>
      <c r="I3635">
        <v>3250</v>
      </c>
      <c r="J3635" s="4">
        <v>1950</v>
      </c>
      <c r="K3635" s="4">
        <v>585</v>
      </c>
      <c r="L3635" s="5">
        <v>0.3</v>
      </c>
      <c r="M3635" t="s">
        <v>128</v>
      </c>
      <c r="N3635" t="s">
        <v>362</v>
      </c>
    </row>
    <row r="3636" spans="1:14">
      <c r="A3636" t="s">
        <v>29</v>
      </c>
      <c r="B3636">
        <v>1185732</v>
      </c>
      <c r="C3636" s="2">
        <v>44362</v>
      </c>
      <c r="D3636" t="s">
        <v>137</v>
      </c>
      <c r="E3636" t="s">
        <v>231</v>
      </c>
      <c r="F3636" t="s">
        <v>240</v>
      </c>
      <c r="G3636" t="s">
        <v>27</v>
      </c>
      <c r="H3636" s="3">
        <v>0.54999999999999993</v>
      </c>
      <c r="I3636">
        <v>5750</v>
      </c>
      <c r="J3636" s="4">
        <v>3162.4999999999995</v>
      </c>
      <c r="K3636" s="4">
        <v>948.74999999999977</v>
      </c>
      <c r="L3636" s="5">
        <v>0.3</v>
      </c>
      <c r="M3636" t="s">
        <v>129</v>
      </c>
      <c r="N3636" t="s">
        <v>362</v>
      </c>
    </row>
    <row r="3637" spans="1:14">
      <c r="A3637" t="s">
        <v>29</v>
      </c>
      <c r="B3637">
        <v>1185732</v>
      </c>
      <c r="C3637" s="2">
        <v>44362</v>
      </c>
      <c r="D3637" t="s">
        <v>137</v>
      </c>
      <c r="E3637" t="s">
        <v>231</v>
      </c>
      <c r="F3637" t="s">
        <v>240</v>
      </c>
      <c r="G3637" t="s">
        <v>145</v>
      </c>
      <c r="H3637" s="3">
        <v>0.5</v>
      </c>
      <c r="I3637">
        <v>3250</v>
      </c>
      <c r="J3637" s="4">
        <v>1625</v>
      </c>
      <c r="K3637" s="4">
        <v>487.5</v>
      </c>
      <c r="L3637" s="5">
        <v>0.3</v>
      </c>
      <c r="M3637" t="s">
        <v>129</v>
      </c>
      <c r="N3637" t="s">
        <v>362</v>
      </c>
    </row>
    <row r="3638" spans="1:14">
      <c r="A3638" t="s">
        <v>29</v>
      </c>
      <c r="B3638">
        <v>1185732</v>
      </c>
      <c r="C3638" s="2">
        <v>44362</v>
      </c>
      <c r="D3638" t="s">
        <v>137</v>
      </c>
      <c r="E3638" t="s">
        <v>231</v>
      </c>
      <c r="F3638" t="s">
        <v>240</v>
      </c>
      <c r="G3638" t="s">
        <v>146</v>
      </c>
      <c r="H3638" s="3">
        <v>0.45</v>
      </c>
      <c r="I3638">
        <v>2500</v>
      </c>
      <c r="J3638" s="4">
        <v>1125</v>
      </c>
      <c r="K3638" s="4">
        <v>281.25</v>
      </c>
      <c r="L3638" s="5">
        <v>0.25</v>
      </c>
      <c r="M3638" t="s">
        <v>129</v>
      </c>
      <c r="N3638" t="s">
        <v>362</v>
      </c>
    </row>
    <row r="3639" spans="1:14">
      <c r="A3639" t="s">
        <v>29</v>
      </c>
      <c r="B3639">
        <v>1185732</v>
      </c>
      <c r="C3639" s="2">
        <v>44362</v>
      </c>
      <c r="D3639" t="s">
        <v>137</v>
      </c>
      <c r="E3639" t="s">
        <v>231</v>
      </c>
      <c r="F3639" t="s">
        <v>240</v>
      </c>
      <c r="G3639" t="s">
        <v>148</v>
      </c>
      <c r="H3639" s="3">
        <v>0.45</v>
      </c>
      <c r="I3639">
        <v>2250</v>
      </c>
      <c r="J3639" s="4">
        <v>1012.5</v>
      </c>
      <c r="K3639" s="4">
        <v>253.125</v>
      </c>
      <c r="L3639" s="5">
        <v>0.25</v>
      </c>
      <c r="M3639" t="s">
        <v>129</v>
      </c>
      <c r="N3639" t="s">
        <v>362</v>
      </c>
    </row>
    <row r="3640" spans="1:14">
      <c r="A3640" t="s">
        <v>29</v>
      </c>
      <c r="B3640">
        <v>1185732</v>
      </c>
      <c r="C3640" s="2">
        <v>44362</v>
      </c>
      <c r="D3640" t="s">
        <v>137</v>
      </c>
      <c r="E3640" t="s">
        <v>231</v>
      </c>
      <c r="F3640" t="s">
        <v>240</v>
      </c>
      <c r="G3640" t="s">
        <v>147</v>
      </c>
      <c r="H3640" s="3">
        <v>0.54999999999999993</v>
      </c>
      <c r="I3640">
        <v>2250</v>
      </c>
      <c r="J3640" s="4">
        <v>1237.4999999999998</v>
      </c>
      <c r="K3640" s="4">
        <v>309.37499999999994</v>
      </c>
      <c r="L3640" s="5">
        <v>0.25</v>
      </c>
      <c r="M3640" t="s">
        <v>129</v>
      </c>
      <c r="N3640" t="s">
        <v>362</v>
      </c>
    </row>
    <row r="3641" spans="1:14">
      <c r="A3641" t="s">
        <v>29</v>
      </c>
      <c r="B3641">
        <v>1185732</v>
      </c>
      <c r="C3641" s="2">
        <v>44362</v>
      </c>
      <c r="D3641" t="s">
        <v>137</v>
      </c>
      <c r="E3641" t="s">
        <v>231</v>
      </c>
      <c r="F3641" t="s">
        <v>240</v>
      </c>
      <c r="G3641" t="s">
        <v>144</v>
      </c>
      <c r="H3641" s="3">
        <v>0.6</v>
      </c>
      <c r="I3641">
        <v>3750</v>
      </c>
      <c r="J3641" s="4">
        <v>2250</v>
      </c>
      <c r="K3641" s="4">
        <v>675</v>
      </c>
      <c r="L3641" s="5">
        <v>0.3</v>
      </c>
      <c r="M3641" t="s">
        <v>129</v>
      </c>
      <c r="N3641" t="s">
        <v>362</v>
      </c>
    </row>
    <row r="3642" spans="1:14">
      <c r="A3642" t="s">
        <v>29</v>
      </c>
      <c r="B3642">
        <v>1185732</v>
      </c>
      <c r="C3642" s="2">
        <v>44390</v>
      </c>
      <c r="D3642" t="s">
        <v>137</v>
      </c>
      <c r="E3642" t="s">
        <v>231</v>
      </c>
      <c r="F3642" t="s">
        <v>240</v>
      </c>
      <c r="G3642" t="s">
        <v>27</v>
      </c>
      <c r="H3642" s="3">
        <v>0.54999999999999993</v>
      </c>
      <c r="I3642">
        <v>6000</v>
      </c>
      <c r="J3642" s="4">
        <v>3299.9999999999995</v>
      </c>
      <c r="K3642" s="4">
        <v>989.99999999999977</v>
      </c>
      <c r="L3642" s="5">
        <v>0.3</v>
      </c>
      <c r="M3642" t="s">
        <v>130</v>
      </c>
      <c r="N3642" t="s">
        <v>363</v>
      </c>
    </row>
    <row r="3643" spans="1:14">
      <c r="A3643" t="s">
        <v>29</v>
      </c>
      <c r="B3643">
        <v>1185732</v>
      </c>
      <c r="C3643" s="2">
        <v>44390</v>
      </c>
      <c r="D3643" t="s">
        <v>137</v>
      </c>
      <c r="E3643" t="s">
        <v>231</v>
      </c>
      <c r="F3643" t="s">
        <v>240</v>
      </c>
      <c r="G3643" t="s">
        <v>145</v>
      </c>
      <c r="H3643" s="3">
        <v>0.5</v>
      </c>
      <c r="I3643">
        <v>3500</v>
      </c>
      <c r="J3643" s="4">
        <v>1750</v>
      </c>
      <c r="K3643" s="4">
        <v>525</v>
      </c>
      <c r="L3643" s="5">
        <v>0.3</v>
      </c>
      <c r="M3643" t="s">
        <v>130</v>
      </c>
      <c r="N3643" t="s">
        <v>363</v>
      </c>
    </row>
    <row r="3644" spans="1:14">
      <c r="A3644" t="s">
        <v>29</v>
      </c>
      <c r="B3644">
        <v>1185732</v>
      </c>
      <c r="C3644" s="2">
        <v>44390</v>
      </c>
      <c r="D3644" t="s">
        <v>137</v>
      </c>
      <c r="E3644" t="s">
        <v>231</v>
      </c>
      <c r="F3644" t="s">
        <v>240</v>
      </c>
      <c r="G3644" t="s">
        <v>146</v>
      </c>
      <c r="H3644" s="3">
        <v>0.45</v>
      </c>
      <c r="I3644">
        <v>2750</v>
      </c>
      <c r="J3644" s="4">
        <v>1237.5</v>
      </c>
      <c r="K3644" s="4">
        <v>309.375</v>
      </c>
      <c r="L3644" s="5">
        <v>0.25</v>
      </c>
      <c r="M3644" t="s">
        <v>130</v>
      </c>
      <c r="N3644" t="s">
        <v>363</v>
      </c>
    </row>
    <row r="3645" spans="1:14">
      <c r="A3645" t="s">
        <v>29</v>
      </c>
      <c r="B3645">
        <v>1185732</v>
      </c>
      <c r="C3645" s="2">
        <v>44390</v>
      </c>
      <c r="D3645" t="s">
        <v>137</v>
      </c>
      <c r="E3645" t="s">
        <v>231</v>
      </c>
      <c r="F3645" t="s">
        <v>240</v>
      </c>
      <c r="G3645" t="s">
        <v>148</v>
      </c>
      <c r="H3645" s="3">
        <v>0.45</v>
      </c>
      <c r="I3645">
        <v>2250</v>
      </c>
      <c r="J3645" s="4">
        <v>1012.5</v>
      </c>
      <c r="K3645" s="4">
        <v>253.125</v>
      </c>
      <c r="L3645" s="5">
        <v>0.25</v>
      </c>
      <c r="M3645" t="s">
        <v>130</v>
      </c>
      <c r="N3645" t="s">
        <v>363</v>
      </c>
    </row>
    <row r="3646" spans="1:14">
      <c r="A3646" t="s">
        <v>29</v>
      </c>
      <c r="B3646">
        <v>1185732</v>
      </c>
      <c r="C3646" s="2">
        <v>44390</v>
      </c>
      <c r="D3646" t="s">
        <v>137</v>
      </c>
      <c r="E3646" t="s">
        <v>231</v>
      </c>
      <c r="F3646" t="s">
        <v>240</v>
      </c>
      <c r="G3646" t="s">
        <v>147</v>
      </c>
      <c r="H3646" s="3">
        <v>0.54999999999999993</v>
      </c>
      <c r="I3646">
        <v>2500</v>
      </c>
      <c r="J3646" s="4">
        <v>1374.9999999999998</v>
      </c>
      <c r="K3646" s="4">
        <v>343.74999999999994</v>
      </c>
      <c r="L3646" s="5">
        <v>0.25</v>
      </c>
      <c r="M3646" t="s">
        <v>130</v>
      </c>
      <c r="N3646" t="s">
        <v>363</v>
      </c>
    </row>
    <row r="3647" spans="1:14">
      <c r="A3647" t="s">
        <v>29</v>
      </c>
      <c r="B3647">
        <v>1185732</v>
      </c>
      <c r="C3647" s="2">
        <v>44390</v>
      </c>
      <c r="D3647" t="s">
        <v>137</v>
      </c>
      <c r="E3647" t="s">
        <v>231</v>
      </c>
      <c r="F3647" t="s">
        <v>240</v>
      </c>
      <c r="G3647" t="s">
        <v>144</v>
      </c>
      <c r="H3647" s="3">
        <v>0.6</v>
      </c>
      <c r="I3647">
        <v>4250</v>
      </c>
      <c r="J3647" s="4">
        <v>2550</v>
      </c>
      <c r="K3647" s="4">
        <v>765</v>
      </c>
      <c r="L3647" s="5">
        <v>0.3</v>
      </c>
      <c r="M3647" t="s">
        <v>130</v>
      </c>
      <c r="N3647" t="s">
        <v>363</v>
      </c>
    </row>
    <row r="3648" spans="1:14">
      <c r="A3648" t="s">
        <v>29</v>
      </c>
      <c r="B3648">
        <v>1185732</v>
      </c>
      <c r="C3648" s="2">
        <v>44422</v>
      </c>
      <c r="D3648" t="s">
        <v>137</v>
      </c>
      <c r="E3648" t="s">
        <v>231</v>
      </c>
      <c r="F3648" t="s">
        <v>240</v>
      </c>
      <c r="G3648" t="s">
        <v>27</v>
      </c>
      <c r="H3648" s="3">
        <v>0.54999999999999993</v>
      </c>
      <c r="I3648">
        <v>5750</v>
      </c>
      <c r="J3648" s="4">
        <v>3162.4999999999995</v>
      </c>
      <c r="K3648" s="4">
        <v>948.74999999999977</v>
      </c>
      <c r="L3648" s="5">
        <v>0.3</v>
      </c>
      <c r="M3648" t="s">
        <v>131</v>
      </c>
      <c r="N3648" t="s">
        <v>363</v>
      </c>
    </row>
    <row r="3649" spans="1:14">
      <c r="A3649" t="s">
        <v>29</v>
      </c>
      <c r="B3649">
        <v>1185732</v>
      </c>
      <c r="C3649" s="2">
        <v>44422</v>
      </c>
      <c r="D3649" t="s">
        <v>137</v>
      </c>
      <c r="E3649" t="s">
        <v>231</v>
      </c>
      <c r="F3649" t="s">
        <v>240</v>
      </c>
      <c r="G3649" t="s">
        <v>145</v>
      </c>
      <c r="H3649" s="3">
        <v>0.5</v>
      </c>
      <c r="I3649">
        <v>3500</v>
      </c>
      <c r="J3649" s="4">
        <v>1750</v>
      </c>
      <c r="K3649" s="4">
        <v>525</v>
      </c>
      <c r="L3649" s="5">
        <v>0.3</v>
      </c>
      <c r="M3649" t="s">
        <v>131</v>
      </c>
      <c r="N3649" t="s">
        <v>363</v>
      </c>
    </row>
    <row r="3650" spans="1:14">
      <c r="A3650" t="s">
        <v>29</v>
      </c>
      <c r="B3650">
        <v>1185732</v>
      </c>
      <c r="C3650" s="2">
        <v>44422</v>
      </c>
      <c r="D3650" t="s">
        <v>137</v>
      </c>
      <c r="E3650" t="s">
        <v>231</v>
      </c>
      <c r="F3650" t="s">
        <v>240</v>
      </c>
      <c r="G3650" t="s">
        <v>146</v>
      </c>
      <c r="H3650" s="3">
        <v>0.45</v>
      </c>
      <c r="I3650">
        <v>2750</v>
      </c>
      <c r="J3650" s="4">
        <v>1237.5</v>
      </c>
      <c r="K3650" s="4">
        <v>309.375</v>
      </c>
      <c r="L3650" s="5">
        <v>0.25</v>
      </c>
      <c r="M3650" t="s">
        <v>131</v>
      </c>
      <c r="N3650" t="s">
        <v>363</v>
      </c>
    </row>
    <row r="3651" spans="1:14">
      <c r="A3651" t="s">
        <v>29</v>
      </c>
      <c r="B3651">
        <v>1185732</v>
      </c>
      <c r="C3651" s="2">
        <v>44422</v>
      </c>
      <c r="D3651" t="s">
        <v>137</v>
      </c>
      <c r="E3651" t="s">
        <v>231</v>
      </c>
      <c r="F3651" t="s">
        <v>240</v>
      </c>
      <c r="G3651" t="s">
        <v>148</v>
      </c>
      <c r="H3651" s="3">
        <v>0.45</v>
      </c>
      <c r="I3651">
        <v>1750</v>
      </c>
      <c r="J3651" s="4">
        <v>787.5</v>
      </c>
      <c r="K3651" s="4">
        <v>196.875</v>
      </c>
      <c r="L3651" s="5">
        <v>0.25</v>
      </c>
      <c r="M3651" t="s">
        <v>131</v>
      </c>
      <c r="N3651" t="s">
        <v>363</v>
      </c>
    </row>
    <row r="3652" spans="1:14">
      <c r="A3652" t="s">
        <v>29</v>
      </c>
      <c r="B3652">
        <v>1185732</v>
      </c>
      <c r="C3652" s="2">
        <v>44422</v>
      </c>
      <c r="D3652" t="s">
        <v>137</v>
      </c>
      <c r="E3652" t="s">
        <v>231</v>
      </c>
      <c r="F3652" t="s">
        <v>240</v>
      </c>
      <c r="G3652" t="s">
        <v>147</v>
      </c>
      <c r="H3652" s="3">
        <v>0.54999999999999993</v>
      </c>
      <c r="I3652">
        <v>1500</v>
      </c>
      <c r="J3652" s="4">
        <v>824.99999999999989</v>
      </c>
      <c r="K3652" s="4">
        <v>206.24999999999997</v>
      </c>
      <c r="L3652" s="5">
        <v>0.25</v>
      </c>
      <c r="M3652" t="s">
        <v>131</v>
      </c>
      <c r="N3652" t="s">
        <v>363</v>
      </c>
    </row>
    <row r="3653" spans="1:14">
      <c r="A3653" t="s">
        <v>29</v>
      </c>
      <c r="B3653">
        <v>1185732</v>
      </c>
      <c r="C3653" s="2">
        <v>44422</v>
      </c>
      <c r="D3653" t="s">
        <v>137</v>
      </c>
      <c r="E3653" t="s">
        <v>231</v>
      </c>
      <c r="F3653" t="s">
        <v>240</v>
      </c>
      <c r="G3653" t="s">
        <v>144</v>
      </c>
      <c r="H3653" s="3">
        <v>0.6</v>
      </c>
      <c r="I3653">
        <v>3250</v>
      </c>
      <c r="J3653" s="4">
        <v>1950</v>
      </c>
      <c r="K3653" s="4">
        <v>585</v>
      </c>
      <c r="L3653" s="5">
        <v>0.3</v>
      </c>
      <c r="M3653" t="s">
        <v>131</v>
      </c>
      <c r="N3653" t="s">
        <v>363</v>
      </c>
    </row>
    <row r="3654" spans="1:14">
      <c r="A3654" t="s">
        <v>29</v>
      </c>
      <c r="B3654">
        <v>1185732</v>
      </c>
      <c r="C3654" s="2">
        <v>44452</v>
      </c>
      <c r="D3654" t="s">
        <v>137</v>
      </c>
      <c r="E3654" t="s">
        <v>231</v>
      </c>
      <c r="F3654" t="s">
        <v>240</v>
      </c>
      <c r="G3654" t="s">
        <v>27</v>
      </c>
      <c r="H3654" s="3">
        <v>0.54999999999999993</v>
      </c>
      <c r="I3654">
        <v>4500</v>
      </c>
      <c r="J3654" s="4">
        <v>2474.9999999999995</v>
      </c>
      <c r="K3654" s="4">
        <v>742.49999999999989</v>
      </c>
      <c r="L3654" s="5">
        <v>0.3</v>
      </c>
      <c r="M3654" t="s">
        <v>132</v>
      </c>
      <c r="N3654" t="s">
        <v>363</v>
      </c>
    </row>
    <row r="3655" spans="1:14">
      <c r="A3655" t="s">
        <v>29</v>
      </c>
      <c r="B3655">
        <v>1185732</v>
      </c>
      <c r="C3655" s="2">
        <v>44452</v>
      </c>
      <c r="D3655" t="s">
        <v>137</v>
      </c>
      <c r="E3655" t="s">
        <v>231</v>
      </c>
      <c r="F3655" t="s">
        <v>240</v>
      </c>
      <c r="G3655" t="s">
        <v>145</v>
      </c>
      <c r="H3655" s="3">
        <v>0.5</v>
      </c>
      <c r="I3655">
        <v>2500</v>
      </c>
      <c r="J3655" s="4">
        <v>1250</v>
      </c>
      <c r="K3655" s="4">
        <v>375</v>
      </c>
      <c r="L3655" s="5">
        <v>0.3</v>
      </c>
      <c r="M3655" t="s">
        <v>132</v>
      </c>
      <c r="N3655" t="s">
        <v>363</v>
      </c>
    </row>
    <row r="3656" spans="1:14">
      <c r="A3656" t="s">
        <v>29</v>
      </c>
      <c r="B3656">
        <v>1185732</v>
      </c>
      <c r="C3656" s="2">
        <v>44452</v>
      </c>
      <c r="D3656" t="s">
        <v>137</v>
      </c>
      <c r="E3656" t="s">
        <v>231</v>
      </c>
      <c r="F3656" t="s">
        <v>240</v>
      </c>
      <c r="G3656" t="s">
        <v>146</v>
      </c>
      <c r="H3656" s="3">
        <v>0.45</v>
      </c>
      <c r="I3656">
        <v>1500</v>
      </c>
      <c r="J3656" s="4">
        <v>675</v>
      </c>
      <c r="K3656" s="4">
        <v>168.75</v>
      </c>
      <c r="L3656" s="5">
        <v>0.25</v>
      </c>
      <c r="M3656" t="s">
        <v>132</v>
      </c>
      <c r="N3656" t="s">
        <v>363</v>
      </c>
    </row>
    <row r="3657" spans="1:14">
      <c r="A3657" t="s">
        <v>29</v>
      </c>
      <c r="B3657">
        <v>1185732</v>
      </c>
      <c r="C3657" s="2">
        <v>44452</v>
      </c>
      <c r="D3657" t="s">
        <v>137</v>
      </c>
      <c r="E3657" t="s">
        <v>231</v>
      </c>
      <c r="F3657" t="s">
        <v>240</v>
      </c>
      <c r="G3657" t="s">
        <v>148</v>
      </c>
      <c r="H3657" s="3">
        <v>0.45</v>
      </c>
      <c r="I3657">
        <v>1250</v>
      </c>
      <c r="J3657" s="4">
        <v>562.5</v>
      </c>
      <c r="K3657" s="4">
        <v>140.625</v>
      </c>
      <c r="L3657" s="5">
        <v>0.25</v>
      </c>
      <c r="M3657" t="s">
        <v>132</v>
      </c>
      <c r="N3657" t="s">
        <v>363</v>
      </c>
    </row>
    <row r="3658" spans="1:14">
      <c r="A3658" t="s">
        <v>29</v>
      </c>
      <c r="B3658">
        <v>1185732</v>
      </c>
      <c r="C3658" s="2">
        <v>44452</v>
      </c>
      <c r="D3658" t="s">
        <v>137</v>
      </c>
      <c r="E3658" t="s">
        <v>231</v>
      </c>
      <c r="F3658" t="s">
        <v>240</v>
      </c>
      <c r="G3658" t="s">
        <v>147</v>
      </c>
      <c r="H3658" s="3">
        <v>0.54999999999999993</v>
      </c>
      <c r="I3658">
        <v>1250</v>
      </c>
      <c r="J3658" s="4">
        <v>687.49999999999989</v>
      </c>
      <c r="K3658" s="4">
        <v>171.87499999999997</v>
      </c>
      <c r="L3658" s="5">
        <v>0.25</v>
      </c>
      <c r="M3658" t="s">
        <v>132</v>
      </c>
      <c r="N3658" t="s">
        <v>363</v>
      </c>
    </row>
    <row r="3659" spans="1:14">
      <c r="A3659" t="s">
        <v>29</v>
      </c>
      <c r="B3659">
        <v>1185732</v>
      </c>
      <c r="C3659" s="2">
        <v>44452</v>
      </c>
      <c r="D3659" t="s">
        <v>137</v>
      </c>
      <c r="E3659" t="s">
        <v>231</v>
      </c>
      <c r="F3659" t="s">
        <v>240</v>
      </c>
      <c r="G3659" t="s">
        <v>144</v>
      </c>
      <c r="H3659" s="3">
        <v>0.6</v>
      </c>
      <c r="I3659">
        <v>2250</v>
      </c>
      <c r="J3659" s="4">
        <v>1350</v>
      </c>
      <c r="K3659" s="4">
        <v>405</v>
      </c>
      <c r="L3659" s="5">
        <v>0.3</v>
      </c>
      <c r="M3659" t="s">
        <v>132</v>
      </c>
      <c r="N3659" t="s">
        <v>363</v>
      </c>
    </row>
    <row r="3660" spans="1:14">
      <c r="A3660" t="s">
        <v>29</v>
      </c>
      <c r="B3660">
        <v>1185732</v>
      </c>
      <c r="C3660" s="2">
        <v>44484</v>
      </c>
      <c r="D3660" t="s">
        <v>137</v>
      </c>
      <c r="E3660" t="s">
        <v>231</v>
      </c>
      <c r="F3660" t="s">
        <v>240</v>
      </c>
      <c r="G3660" t="s">
        <v>27</v>
      </c>
      <c r="H3660" s="3">
        <v>0.6</v>
      </c>
      <c r="I3660">
        <v>4000</v>
      </c>
      <c r="J3660" s="4">
        <v>2400</v>
      </c>
      <c r="K3660" s="4">
        <v>720</v>
      </c>
      <c r="L3660" s="5">
        <v>0.3</v>
      </c>
      <c r="M3660" t="s">
        <v>133</v>
      </c>
      <c r="N3660" t="s">
        <v>364</v>
      </c>
    </row>
    <row r="3661" spans="1:14">
      <c r="A3661" t="s">
        <v>29</v>
      </c>
      <c r="B3661">
        <v>1185732</v>
      </c>
      <c r="C3661" s="2">
        <v>44484</v>
      </c>
      <c r="D3661" t="s">
        <v>137</v>
      </c>
      <c r="E3661" t="s">
        <v>231</v>
      </c>
      <c r="F3661" t="s">
        <v>240</v>
      </c>
      <c r="G3661" t="s">
        <v>145</v>
      </c>
      <c r="H3661" s="3">
        <v>0.55000000000000004</v>
      </c>
      <c r="I3661">
        <v>2250</v>
      </c>
      <c r="J3661" s="4">
        <v>1237.5</v>
      </c>
      <c r="K3661" s="4">
        <v>371.25</v>
      </c>
      <c r="L3661" s="5">
        <v>0.3</v>
      </c>
      <c r="M3661" t="s">
        <v>133</v>
      </c>
      <c r="N3661" t="s">
        <v>364</v>
      </c>
    </row>
    <row r="3662" spans="1:14">
      <c r="A3662" t="s">
        <v>29</v>
      </c>
      <c r="B3662">
        <v>1185732</v>
      </c>
      <c r="C3662" s="2">
        <v>44484</v>
      </c>
      <c r="D3662" t="s">
        <v>137</v>
      </c>
      <c r="E3662" t="s">
        <v>231</v>
      </c>
      <c r="F3662" t="s">
        <v>240</v>
      </c>
      <c r="G3662" t="s">
        <v>146</v>
      </c>
      <c r="H3662" s="3">
        <v>0.55000000000000004</v>
      </c>
      <c r="I3662">
        <v>1250</v>
      </c>
      <c r="J3662" s="4">
        <v>687.5</v>
      </c>
      <c r="K3662" s="4">
        <v>171.875</v>
      </c>
      <c r="L3662" s="5">
        <v>0.25</v>
      </c>
      <c r="M3662" t="s">
        <v>133</v>
      </c>
      <c r="N3662" t="s">
        <v>364</v>
      </c>
    </row>
    <row r="3663" spans="1:14">
      <c r="A3663" t="s">
        <v>29</v>
      </c>
      <c r="B3663">
        <v>1185732</v>
      </c>
      <c r="C3663" s="2">
        <v>44484</v>
      </c>
      <c r="D3663" t="s">
        <v>137</v>
      </c>
      <c r="E3663" t="s">
        <v>231</v>
      </c>
      <c r="F3663" t="s">
        <v>240</v>
      </c>
      <c r="G3663" t="s">
        <v>148</v>
      </c>
      <c r="H3663" s="3">
        <v>0.55000000000000004</v>
      </c>
      <c r="I3663">
        <v>1000</v>
      </c>
      <c r="J3663" s="4">
        <v>550</v>
      </c>
      <c r="K3663" s="4">
        <v>137.5</v>
      </c>
      <c r="L3663" s="5">
        <v>0.25</v>
      </c>
      <c r="M3663" t="s">
        <v>133</v>
      </c>
      <c r="N3663" t="s">
        <v>364</v>
      </c>
    </row>
    <row r="3664" spans="1:14">
      <c r="A3664" t="s">
        <v>29</v>
      </c>
      <c r="B3664">
        <v>1185732</v>
      </c>
      <c r="C3664" s="2">
        <v>44484</v>
      </c>
      <c r="D3664" t="s">
        <v>137</v>
      </c>
      <c r="E3664" t="s">
        <v>231</v>
      </c>
      <c r="F3664" t="s">
        <v>240</v>
      </c>
      <c r="G3664" t="s">
        <v>147</v>
      </c>
      <c r="H3664" s="3">
        <v>0.65</v>
      </c>
      <c r="I3664">
        <v>1000</v>
      </c>
      <c r="J3664" s="4">
        <v>650</v>
      </c>
      <c r="K3664" s="4">
        <v>162.5</v>
      </c>
      <c r="L3664" s="5">
        <v>0.25</v>
      </c>
      <c r="M3664" t="s">
        <v>133</v>
      </c>
      <c r="N3664" t="s">
        <v>364</v>
      </c>
    </row>
    <row r="3665" spans="1:14">
      <c r="A3665" t="s">
        <v>29</v>
      </c>
      <c r="B3665">
        <v>1185732</v>
      </c>
      <c r="C3665" s="2">
        <v>44484</v>
      </c>
      <c r="D3665" t="s">
        <v>137</v>
      </c>
      <c r="E3665" t="s">
        <v>231</v>
      </c>
      <c r="F3665" t="s">
        <v>240</v>
      </c>
      <c r="G3665" t="s">
        <v>144</v>
      </c>
      <c r="H3665" s="3">
        <v>0.7</v>
      </c>
      <c r="I3665">
        <v>2250</v>
      </c>
      <c r="J3665" s="4">
        <v>1575</v>
      </c>
      <c r="K3665" s="4">
        <v>472.5</v>
      </c>
      <c r="L3665" s="5">
        <v>0.3</v>
      </c>
      <c r="M3665" t="s">
        <v>133</v>
      </c>
      <c r="N3665" t="s">
        <v>364</v>
      </c>
    </row>
    <row r="3666" spans="1:14">
      <c r="A3666" t="s">
        <v>29</v>
      </c>
      <c r="B3666">
        <v>1185732</v>
      </c>
      <c r="C3666" s="2">
        <v>44514</v>
      </c>
      <c r="D3666" t="s">
        <v>137</v>
      </c>
      <c r="E3666" t="s">
        <v>231</v>
      </c>
      <c r="F3666" t="s">
        <v>240</v>
      </c>
      <c r="G3666" t="s">
        <v>27</v>
      </c>
      <c r="H3666" s="3">
        <v>0.65</v>
      </c>
      <c r="I3666">
        <v>3750</v>
      </c>
      <c r="J3666" s="4">
        <v>2437.5</v>
      </c>
      <c r="K3666" s="4">
        <v>731.25</v>
      </c>
      <c r="L3666" s="5">
        <v>0.3</v>
      </c>
      <c r="M3666" t="s">
        <v>134</v>
      </c>
      <c r="N3666" t="s">
        <v>364</v>
      </c>
    </row>
    <row r="3667" spans="1:14">
      <c r="A3667" t="s">
        <v>29</v>
      </c>
      <c r="B3667">
        <v>1185732</v>
      </c>
      <c r="C3667" s="2">
        <v>44514</v>
      </c>
      <c r="D3667" t="s">
        <v>137</v>
      </c>
      <c r="E3667" t="s">
        <v>231</v>
      </c>
      <c r="F3667" t="s">
        <v>240</v>
      </c>
      <c r="G3667" t="s">
        <v>145</v>
      </c>
      <c r="H3667" s="3">
        <v>0.55000000000000004</v>
      </c>
      <c r="I3667">
        <v>3000</v>
      </c>
      <c r="J3667" s="4">
        <v>1650.0000000000002</v>
      </c>
      <c r="K3667" s="4">
        <v>495.00000000000006</v>
      </c>
      <c r="L3667" s="5">
        <v>0.3</v>
      </c>
      <c r="M3667" t="s">
        <v>134</v>
      </c>
      <c r="N3667" t="s">
        <v>364</v>
      </c>
    </row>
    <row r="3668" spans="1:14">
      <c r="A3668" t="s">
        <v>29</v>
      </c>
      <c r="B3668">
        <v>1185732</v>
      </c>
      <c r="C3668" s="2">
        <v>44514</v>
      </c>
      <c r="D3668" t="s">
        <v>137</v>
      </c>
      <c r="E3668" t="s">
        <v>231</v>
      </c>
      <c r="F3668" t="s">
        <v>240</v>
      </c>
      <c r="G3668" t="s">
        <v>146</v>
      </c>
      <c r="H3668" s="3">
        <v>0.55000000000000004</v>
      </c>
      <c r="I3668">
        <v>2950</v>
      </c>
      <c r="J3668" s="4">
        <v>1622.5000000000002</v>
      </c>
      <c r="K3668" s="4">
        <v>405.62500000000006</v>
      </c>
      <c r="L3668" s="5">
        <v>0.25</v>
      </c>
      <c r="M3668" t="s">
        <v>134</v>
      </c>
      <c r="N3668" t="s">
        <v>364</v>
      </c>
    </row>
    <row r="3669" spans="1:14">
      <c r="A3669" t="s">
        <v>29</v>
      </c>
      <c r="B3669">
        <v>1185732</v>
      </c>
      <c r="C3669" s="2">
        <v>44514</v>
      </c>
      <c r="D3669" t="s">
        <v>137</v>
      </c>
      <c r="E3669" t="s">
        <v>231</v>
      </c>
      <c r="F3669" t="s">
        <v>240</v>
      </c>
      <c r="G3669" t="s">
        <v>148</v>
      </c>
      <c r="H3669" s="3">
        <v>0.55000000000000004</v>
      </c>
      <c r="I3669">
        <v>2750</v>
      </c>
      <c r="J3669" s="4">
        <v>1512.5000000000002</v>
      </c>
      <c r="K3669" s="4">
        <v>378.12500000000006</v>
      </c>
      <c r="L3669" s="5">
        <v>0.25</v>
      </c>
      <c r="M3669" t="s">
        <v>134</v>
      </c>
      <c r="N3669" t="s">
        <v>364</v>
      </c>
    </row>
    <row r="3670" spans="1:14">
      <c r="A3670" t="s">
        <v>29</v>
      </c>
      <c r="B3670">
        <v>1185732</v>
      </c>
      <c r="C3670" s="2">
        <v>44514</v>
      </c>
      <c r="D3670" t="s">
        <v>137</v>
      </c>
      <c r="E3670" t="s">
        <v>231</v>
      </c>
      <c r="F3670" t="s">
        <v>240</v>
      </c>
      <c r="G3670" t="s">
        <v>147</v>
      </c>
      <c r="H3670" s="3">
        <v>0.65</v>
      </c>
      <c r="I3670">
        <v>2500</v>
      </c>
      <c r="J3670" s="4">
        <v>1625</v>
      </c>
      <c r="K3670" s="4">
        <v>406.25</v>
      </c>
      <c r="L3670" s="5">
        <v>0.25</v>
      </c>
      <c r="M3670" t="s">
        <v>134</v>
      </c>
      <c r="N3670" t="s">
        <v>364</v>
      </c>
    </row>
    <row r="3671" spans="1:14">
      <c r="A3671" t="s">
        <v>29</v>
      </c>
      <c r="B3671">
        <v>1185732</v>
      </c>
      <c r="C3671" s="2">
        <v>44514</v>
      </c>
      <c r="D3671" t="s">
        <v>137</v>
      </c>
      <c r="E3671" t="s">
        <v>231</v>
      </c>
      <c r="F3671" t="s">
        <v>240</v>
      </c>
      <c r="G3671" t="s">
        <v>144</v>
      </c>
      <c r="H3671" s="3">
        <v>0.7</v>
      </c>
      <c r="I3671">
        <v>3500</v>
      </c>
      <c r="J3671" s="4">
        <v>2450</v>
      </c>
      <c r="K3671" s="4">
        <v>735</v>
      </c>
      <c r="L3671" s="5">
        <v>0.3</v>
      </c>
      <c r="M3671" t="s">
        <v>134</v>
      </c>
      <c r="N3671" t="s">
        <v>364</v>
      </c>
    </row>
    <row r="3672" spans="1:14">
      <c r="A3672" t="s">
        <v>29</v>
      </c>
      <c r="B3672">
        <v>1185732</v>
      </c>
      <c r="C3672" s="2">
        <v>44543</v>
      </c>
      <c r="D3672" t="s">
        <v>137</v>
      </c>
      <c r="E3672" t="s">
        <v>231</v>
      </c>
      <c r="F3672" t="s">
        <v>240</v>
      </c>
      <c r="G3672" t="s">
        <v>27</v>
      </c>
      <c r="H3672" s="3">
        <v>0.65</v>
      </c>
      <c r="I3672">
        <v>5750</v>
      </c>
      <c r="J3672" s="4">
        <v>3737.5</v>
      </c>
      <c r="K3672" s="4">
        <v>1121.25</v>
      </c>
      <c r="L3672" s="5">
        <v>0.3</v>
      </c>
      <c r="M3672" t="s">
        <v>23</v>
      </c>
      <c r="N3672" t="s">
        <v>364</v>
      </c>
    </row>
    <row r="3673" spans="1:14">
      <c r="A3673" t="s">
        <v>29</v>
      </c>
      <c r="B3673">
        <v>1185732</v>
      </c>
      <c r="C3673" s="2">
        <v>44543</v>
      </c>
      <c r="D3673" t="s">
        <v>137</v>
      </c>
      <c r="E3673" t="s">
        <v>231</v>
      </c>
      <c r="F3673" t="s">
        <v>240</v>
      </c>
      <c r="G3673" t="s">
        <v>145</v>
      </c>
      <c r="H3673" s="3">
        <v>0.55000000000000004</v>
      </c>
      <c r="I3673">
        <v>3750</v>
      </c>
      <c r="J3673" s="4">
        <v>2062.5</v>
      </c>
      <c r="K3673" s="4">
        <v>618.75</v>
      </c>
      <c r="L3673" s="5">
        <v>0.3</v>
      </c>
      <c r="M3673" t="s">
        <v>23</v>
      </c>
      <c r="N3673" t="s">
        <v>364</v>
      </c>
    </row>
    <row r="3674" spans="1:14">
      <c r="A3674" t="s">
        <v>29</v>
      </c>
      <c r="B3674">
        <v>1185732</v>
      </c>
      <c r="C3674" s="2">
        <v>44543</v>
      </c>
      <c r="D3674" t="s">
        <v>137</v>
      </c>
      <c r="E3674" t="s">
        <v>231</v>
      </c>
      <c r="F3674" t="s">
        <v>240</v>
      </c>
      <c r="G3674" t="s">
        <v>146</v>
      </c>
      <c r="H3674" s="3">
        <v>0.55000000000000004</v>
      </c>
      <c r="I3674">
        <v>3500</v>
      </c>
      <c r="J3674" s="4">
        <v>1925.0000000000002</v>
      </c>
      <c r="K3674" s="4">
        <v>481.25000000000006</v>
      </c>
      <c r="L3674" s="5">
        <v>0.25</v>
      </c>
      <c r="M3674" t="s">
        <v>23</v>
      </c>
      <c r="N3674" t="s">
        <v>364</v>
      </c>
    </row>
    <row r="3675" spans="1:14">
      <c r="A3675" t="s">
        <v>29</v>
      </c>
      <c r="B3675">
        <v>1185732</v>
      </c>
      <c r="C3675" s="2">
        <v>44543</v>
      </c>
      <c r="D3675" t="s">
        <v>137</v>
      </c>
      <c r="E3675" t="s">
        <v>231</v>
      </c>
      <c r="F3675" t="s">
        <v>240</v>
      </c>
      <c r="G3675" t="s">
        <v>148</v>
      </c>
      <c r="H3675" s="3">
        <v>0.55000000000000004</v>
      </c>
      <c r="I3675">
        <v>3000</v>
      </c>
      <c r="J3675" s="4">
        <v>1650.0000000000002</v>
      </c>
      <c r="K3675" s="4">
        <v>412.50000000000006</v>
      </c>
      <c r="L3675" s="5">
        <v>0.25</v>
      </c>
      <c r="M3675" t="s">
        <v>23</v>
      </c>
      <c r="N3675" t="s">
        <v>364</v>
      </c>
    </row>
    <row r="3676" spans="1:14">
      <c r="A3676" t="s">
        <v>29</v>
      </c>
      <c r="B3676">
        <v>1185732</v>
      </c>
      <c r="C3676" s="2">
        <v>44543</v>
      </c>
      <c r="D3676" t="s">
        <v>137</v>
      </c>
      <c r="E3676" t="s">
        <v>231</v>
      </c>
      <c r="F3676" t="s">
        <v>240</v>
      </c>
      <c r="G3676" t="s">
        <v>147</v>
      </c>
      <c r="H3676" s="3">
        <v>0.65</v>
      </c>
      <c r="I3676">
        <v>3000</v>
      </c>
      <c r="J3676" s="4">
        <v>1950</v>
      </c>
      <c r="K3676" s="4">
        <v>487.5</v>
      </c>
      <c r="L3676" s="5">
        <v>0.25</v>
      </c>
      <c r="M3676" t="s">
        <v>23</v>
      </c>
      <c r="N3676" t="s">
        <v>364</v>
      </c>
    </row>
    <row r="3677" spans="1:14">
      <c r="A3677" t="s">
        <v>29</v>
      </c>
      <c r="B3677">
        <v>1185732</v>
      </c>
      <c r="C3677" s="2">
        <v>44543</v>
      </c>
      <c r="D3677" t="s">
        <v>137</v>
      </c>
      <c r="E3677" t="s">
        <v>231</v>
      </c>
      <c r="F3677" t="s">
        <v>240</v>
      </c>
      <c r="G3677" t="s">
        <v>144</v>
      </c>
      <c r="H3677" s="3">
        <v>0.7</v>
      </c>
      <c r="I3677">
        <v>4000</v>
      </c>
      <c r="J3677" s="4">
        <v>2800</v>
      </c>
      <c r="K3677" s="4">
        <v>840</v>
      </c>
      <c r="L3677" s="5">
        <v>0.3</v>
      </c>
      <c r="M3677" t="s">
        <v>23</v>
      </c>
      <c r="N3677" t="s">
        <v>364</v>
      </c>
    </row>
    <row r="3678" spans="1:14">
      <c r="A3678" t="s">
        <v>29</v>
      </c>
      <c r="B3678">
        <v>1185732</v>
      </c>
      <c r="C3678" s="2">
        <v>44210</v>
      </c>
      <c r="D3678" t="s">
        <v>137</v>
      </c>
      <c r="E3678" t="s">
        <v>219</v>
      </c>
      <c r="F3678" t="s">
        <v>228</v>
      </c>
      <c r="G3678" t="s">
        <v>27</v>
      </c>
      <c r="H3678" s="3">
        <v>0.45</v>
      </c>
      <c r="I3678">
        <v>5250</v>
      </c>
      <c r="J3678" s="4">
        <v>2362.5</v>
      </c>
      <c r="K3678" s="4">
        <v>1063.125</v>
      </c>
      <c r="L3678" s="5">
        <v>0.45</v>
      </c>
      <c r="M3678" t="s">
        <v>125</v>
      </c>
      <c r="N3678" t="s">
        <v>361</v>
      </c>
    </row>
    <row r="3679" spans="1:14">
      <c r="A3679" t="s">
        <v>29</v>
      </c>
      <c r="B3679">
        <v>1185732</v>
      </c>
      <c r="C3679" s="2">
        <v>44210</v>
      </c>
      <c r="D3679" t="s">
        <v>137</v>
      </c>
      <c r="E3679" t="s">
        <v>219</v>
      </c>
      <c r="F3679" t="s">
        <v>228</v>
      </c>
      <c r="G3679" t="s">
        <v>145</v>
      </c>
      <c r="H3679" s="3">
        <v>0.45</v>
      </c>
      <c r="I3679">
        <v>3250</v>
      </c>
      <c r="J3679" s="4">
        <v>1462.5</v>
      </c>
      <c r="K3679" s="4">
        <v>658.125</v>
      </c>
      <c r="L3679" s="5">
        <v>0.45</v>
      </c>
      <c r="M3679" t="s">
        <v>125</v>
      </c>
      <c r="N3679" t="s">
        <v>361</v>
      </c>
    </row>
    <row r="3680" spans="1:14">
      <c r="A3680" t="s">
        <v>29</v>
      </c>
      <c r="B3680">
        <v>1185732</v>
      </c>
      <c r="C3680" s="2">
        <v>44210</v>
      </c>
      <c r="D3680" t="s">
        <v>137</v>
      </c>
      <c r="E3680" t="s">
        <v>219</v>
      </c>
      <c r="F3680" t="s">
        <v>228</v>
      </c>
      <c r="G3680" t="s">
        <v>146</v>
      </c>
      <c r="H3680" s="3">
        <v>0.35000000000000003</v>
      </c>
      <c r="I3680">
        <v>3250</v>
      </c>
      <c r="J3680" s="4">
        <v>1137.5</v>
      </c>
      <c r="K3680" s="4">
        <v>398.125</v>
      </c>
      <c r="L3680" s="5">
        <v>0.35</v>
      </c>
      <c r="M3680" t="s">
        <v>125</v>
      </c>
      <c r="N3680" t="s">
        <v>361</v>
      </c>
    </row>
    <row r="3681" spans="1:14">
      <c r="A3681" t="s">
        <v>29</v>
      </c>
      <c r="B3681">
        <v>1185732</v>
      </c>
      <c r="C3681" s="2">
        <v>44210</v>
      </c>
      <c r="D3681" t="s">
        <v>137</v>
      </c>
      <c r="E3681" t="s">
        <v>219</v>
      </c>
      <c r="F3681" t="s">
        <v>228</v>
      </c>
      <c r="G3681" t="s">
        <v>148</v>
      </c>
      <c r="H3681" s="3">
        <v>0.39999999999999997</v>
      </c>
      <c r="I3681">
        <v>1750</v>
      </c>
      <c r="J3681" s="4">
        <v>699.99999999999989</v>
      </c>
      <c r="K3681" s="4">
        <v>244.99999999999994</v>
      </c>
      <c r="L3681" s="5">
        <v>0.35</v>
      </c>
      <c r="M3681" t="s">
        <v>125</v>
      </c>
      <c r="N3681" t="s">
        <v>361</v>
      </c>
    </row>
    <row r="3682" spans="1:14">
      <c r="A3682" t="s">
        <v>29</v>
      </c>
      <c r="B3682">
        <v>1185732</v>
      </c>
      <c r="C3682" s="2">
        <v>44210</v>
      </c>
      <c r="D3682" t="s">
        <v>137</v>
      </c>
      <c r="E3682" t="s">
        <v>219</v>
      </c>
      <c r="F3682" t="s">
        <v>228</v>
      </c>
      <c r="G3682" t="s">
        <v>147</v>
      </c>
      <c r="H3682" s="3">
        <v>0.55000000000000004</v>
      </c>
      <c r="I3682">
        <v>2250</v>
      </c>
      <c r="J3682" s="4">
        <v>1237.5</v>
      </c>
      <c r="K3682" s="4">
        <v>433.125</v>
      </c>
      <c r="L3682" s="5">
        <v>0.35</v>
      </c>
      <c r="M3682" t="s">
        <v>125</v>
      </c>
      <c r="N3682" t="s">
        <v>361</v>
      </c>
    </row>
    <row r="3683" spans="1:14">
      <c r="A3683" t="s">
        <v>29</v>
      </c>
      <c r="B3683">
        <v>1185732</v>
      </c>
      <c r="C3683" s="2">
        <v>44210</v>
      </c>
      <c r="D3683" t="s">
        <v>137</v>
      </c>
      <c r="E3683" t="s">
        <v>219</v>
      </c>
      <c r="F3683" t="s">
        <v>228</v>
      </c>
      <c r="G3683" t="s">
        <v>144</v>
      </c>
      <c r="H3683" s="3">
        <v>0.45</v>
      </c>
      <c r="I3683">
        <v>3250</v>
      </c>
      <c r="J3683" s="4">
        <v>1462.5</v>
      </c>
      <c r="K3683" s="4">
        <v>585</v>
      </c>
      <c r="L3683" s="5">
        <v>0.39999999999999997</v>
      </c>
      <c r="M3683" t="s">
        <v>125</v>
      </c>
      <c r="N3683" t="s">
        <v>361</v>
      </c>
    </row>
    <row r="3684" spans="1:14">
      <c r="A3684" t="s">
        <v>29</v>
      </c>
      <c r="B3684">
        <v>1185732</v>
      </c>
      <c r="C3684" s="2">
        <v>44239</v>
      </c>
      <c r="D3684" t="s">
        <v>137</v>
      </c>
      <c r="E3684" t="s">
        <v>219</v>
      </c>
      <c r="F3684" t="s">
        <v>228</v>
      </c>
      <c r="G3684" t="s">
        <v>27</v>
      </c>
      <c r="H3684" s="3">
        <v>0.45</v>
      </c>
      <c r="I3684">
        <v>5750</v>
      </c>
      <c r="J3684" s="4">
        <v>2587.5</v>
      </c>
      <c r="K3684" s="4">
        <v>1164.375</v>
      </c>
      <c r="L3684" s="5">
        <v>0.45</v>
      </c>
      <c r="M3684" t="s">
        <v>126</v>
      </c>
      <c r="N3684" t="s">
        <v>361</v>
      </c>
    </row>
    <row r="3685" spans="1:14">
      <c r="A3685" t="s">
        <v>29</v>
      </c>
      <c r="B3685">
        <v>1185732</v>
      </c>
      <c r="C3685" s="2">
        <v>44239</v>
      </c>
      <c r="D3685" t="s">
        <v>137</v>
      </c>
      <c r="E3685" t="s">
        <v>219</v>
      </c>
      <c r="F3685" t="s">
        <v>228</v>
      </c>
      <c r="G3685" t="s">
        <v>145</v>
      </c>
      <c r="H3685" s="3">
        <v>0.45</v>
      </c>
      <c r="I3685">
        <v>2250</v>
      </c>
      <c r="J3685" s="4">
        <v>1012.5</v>
      </c>
      <c r="K3685" s="4">
        <v>455.625</v>
      </c>
      <c r="L3685" s="5">
        <v>0.45</v>
      </c>
      <c r="M3685" t="s">
        <v>126</v>
      </c>
      <c r="N3685" t="s">
        <v>361</v>
      </c>
    </row>
    <row r="3686" spans="1:14">
      <c r="A3686" t="s">
        <v>29</v>
      </c>
      <c r="B3686">
        <v>1185732</v>
      </c>
      <c r="C3686" s="2">
        <v>44239</v>
      </c>
      <c r="D3686" t="s">
        <v>137</v>
      </c>
      <c r="E3686" t="s">
        <v>219</v>
      </c>
      <c r="F3686" t="s">
        <v>228</v>
      </c>
      <c r="G3686" t="s">
        <v>146</v>
      </c>
      <c r="H3686" s="3">
        <v>0.35000000000000003</v>
      </c>
      <c r="I3686">
        <v>2750</v>
      </c>
      <c r="J3686" s="4">
        <v>962.50000000000011</v>
      </c>
      <c r="K3686" s="4">
        <v>336.875</v>
      </c>
      <c r="L3686" s="5">
        <v>0.35</v>
      </c>
      <c r="M3686" t="s">
        <v>126</v>
      </c>
      <c r="N3686" t="s">
        <v>361</v>
      </c>
    </row>
    <row r="3687" spans="1:14">
      <c r="A3687" t="s">
        <v>29</v>
      </c>
      <c r="B3687">
        <v>1185732</v>
      </c>
      <c r="C3687" s="2">
        <v>44239</v>
      </c>
      <c r="D3687" t="s">
        <v>137</v>
      </c>
      <c r="E3687" t="s">
        <v>219</v>
      </c>
      <c r="F3687" t="s">
        <v>228</v>
      </c>
      <c r="G3687" t="s">
        <v>148</v>
      </c>
      <c r="H3687" s="3">
        <v>0.39999999999999997</v>
      </c>
      <c r="I3687">
        <v>1500</v>
      </c>
      <c r="J3687" s="4">
        <v>600</v>
      </c>
      <c r="K3687" s="4">
        <v>210</v>
      </c>
      <c r="L3687" s="5">
        <v>0.35</v>
      </c>
      <c r="M3687" t="s">
        <v>126</v>
      </c>
      <c r="N3687" t="s">
        <v>361</v>
      </c>
    </row>
    <row r="3688" spans="1:14">
      <c r="A3688" t="s">
        <v>29</v>
      </c>
      <c r="B3688">
        <v>1185732</v>
      </c>
      <c r="C3688" s="2">
        <v>44239</v>
      </c>
      <c r="D3688" t="s">
        <v>137</v>
      </c>
      <c r="E3688" t="s">
        <v>219</v>
      </c>
      <c r="F3688" t="s">
        <v>228</v>
      </c>
      <c r="G3688" t="s">
        <v>147</v>
      </c>
      <c r="H3688" s="3">
        <v>0.55000000000000004</v>
      </c>
      <c r="I3688">
        <v>2250</v>
      </c>
      <c r="J3688" s="4">
        <v>1237.5</v>
      </c>
      <c r="K3688" s="4">
        <v>433.125</v>
      </c>
      <c r="L3688" s="5">
        <v>0.35</v>
      </c>
      <c r="M3688" t="s">
        <v>126</v>
      </c>
      <c r="N3688" t="s">
        <v>361</v>
      </c>
    </row>
    <row r="3689" spans="1:14">
      <c r="A3689" t="s">
        <v>29</v>
      </c>
      <c r="B3689">
        <v>1185732</v>
      </c>
      <c r="C3689" s="2">
        <v>44239</v>
      </c>
      <c r="D3689" t="s">
        <v>137</v>
      </c>
      <c r="E3689" t="s">
        <v>219</v>
      </c>
      <c r="F3689" t="s">
        <v>228</v>
      </c>
      <c r="G3689" t="s">
        <v>144</v>
      </c>
      <c r="H3689" s="3">
        <v>0.45</v>
      </c>
      <c r="I3689">
        <v>3250</v>
      </c>
      <c r="J3689" s="4">
        <v>1462.5</v>
      </c>
      <c r="K3689" s="4">
        <v>585</v>
      </c>
      <c r="L3689" s="5">
        <v>0.39999999999999997</v>
      </c>
      <c r="M3689" t="s">
        <v>126</v>
      </c>
      <c r="N3689" t="s">
        <v>361</v>
      </c>
    </row>
    <row r="3690" spans="1:14">
      <c r="A3690" t="s">
        <v>29</v>
      </c>
      <c r="B3690">
        <v>1185732</v>
      </c>
      <c r="C3690" s="2">
        <v>44265</v>
      </c>
      <c r="D3690" t="s">
        <v>137</v>
      </c>
      <c r="E3690" t="s">
        <v>219</v>
      </c>
      <c r="F3690" t="s">
        <v>228</v>
      </c>
      <c r="G3690" t="s">
        <v>27</v>
      </c>
      <c r="H3690" s="3">
        <v>0.45</v>
      </c>
      <c r="I3690">
        <v>5450</v>
      </c>
      <c r="J3690" s="4">
        <v>2452.5</v>
      </c>
      <c r="K3690" s="4">
        <v>1103.625</v>
      </c>
      <c r="L3690" s="5">
        <v>0.45</v>
      </c>
      <c r="M3690" t="s">
        <v>24</v>
      </c>
      <c r="N3690" t="s">
        <v>361</v>
      </c>
    </row>
    <row r="3691" spans="1:14">
      <c r="A3691" t="s">
        <v>29</v>
      </c>
      <c r="B3691">
        <v>1185732</v>
      </c>
      <c r="C3691" s="2">
        <v>44265</v>
      </c>
      <c r="D3691" t="s">
        <v>137</v>
      </c>
      <c r="E3691" t="s">
        <v>219</v>
      </c>
      <c r="F3691" t="s">
        <v>228</v>
      </c>
      <c r="G3691" t="s">
        <v>145</v>
      </c>
      <c r="H3691" s="3">
        <v>0.45</v>
      </c>
      <c r="I3691">
        <v>2500</v>
      </c>
      <c r="J3691" s="4">
        <v>1125</v>
      </c>
      <c r="K3691" s="4">
        <v>506.25</v>
      </c>
      <c r="L3691" s="5">
        <v>0.45</v>
      </c>
      <c r="M3691" t="s">
        <v>24</v>
      </c>
      <c r="N3691" t="s">
        <v>361</v>
      </c>
    </row>
    <row r="3692" spans="1:14">
      <c r="A3692" t="s">
        <v>29</v>
      </c>
      <c r="B3692">
        <v>1185732</v>
      </c>
      <c r="C3692" s="2">
        <v>44265</v>
      </c>
      <c r="D3692" t="s">
        <v>137</v>
      </c>
      <c r="E3692" t="s">
        <v>219</v>
      </c>
      <c r="F3692" t="s">
        <v>228</v>
      </c>
      <c r="G3692" t="s">
        <v>146</v>
      </c>
      <c r="H3692" s="3">
        <v>0.35000000000000003</v>
      </c>
      <c r="I3692">
        <v>2750</v>
      </c>
      <c r="J3692" s="4">
        <v>962.50000000000011</v>
      </c>
      <c r="K3692" s="4">
        <v>336.875</v>
      </c>
      <c r="L3692" s="5">
        <v>0.35</v>
      </c>
      <c r="M3692" t="s">
        <v>24</v>
      </c>
      <c r="N3692" t="s">
        <v>361</v>
      </c>
    </row>
    <row r="3693" spans="1:14">
      <c r="A3693" t="s">
        <v>29</v>
      </c>
      <c r="B3693">
        <v>1185732</v>
      </c>
      <c r="C3693" s="2">
        <v>44265</v>
      </c>
      <c r="D3693" t="s">
        <v>137</v>
      </c>
      <c r="E3693" t="s">
        <v>219</v>
      </c>
      <c r="F3693" t="s">
        <v>228</v>
      </c>
      <c r="G3693" t="s">
        <v>148</v>
      </c>
      <c r="H3693" s="3">
        <v>0.39999999999999997</v>
      </c>
      <c r="I3693">
        <v>1250</v>
      </c>
      <c r="J3693" s="4">
        <v>499.99999999999994</v>
      </c>
      <c r="K3693" s="4">
        <v>174.99999999999997</v>
      </c>
      <c r="L3693" s="5">
        <v>0.35</v>
      </c>
      <c r="M3693" t="s">
        <v>24</v>
      </c>
      <c r="N3693" t="s">
        <v>361</v>
      </c>
    </row>
    <row r="3694" spans="1:14">
      <c r="A3694" t="s">
        <v>29</v>
      </c>
      <c r="B3694">
        <v>1185732</v>
      </c>
      <c r="C3694" s="2">
        <v>44265</v>
      </c>
      <c r="D3694" t="s">
        <v>137</v>
      </c>
      <c r="E3694" t="s">
        <v>219</v>
      </c>
      <c r="F3694" t="s">
        <v>228</v>
      </c>
      <c r="G3694" t="s">
        <v>147</v>
      </c>
      <c r="H3694" s="3">
        <v>0.55000000000000004</v>
      </c>
      <c r="I3694">
        <v>1750</v>
      </c>
      <c r="J3694" s="4">
        <v>962.50000000000011</v>
      </c>
      <c r="K3694" s="4">
        <v>336.875</v>
      </c>
      <c r="L3694" s="5">
        <v>0.35</v>
      </c>
      <c r="M3694" t="s">
        <v>24</v>
      </c>
      <c r="N3694" t="s">
        <v>361</v>
      </c>
    </row>
    <row r="3695" spans="1:14">
      <c r="A3695" t="s">
        <v>29</v>
      </c>
      <c r="B3695">
        <v>1185732</v>
      </c>
      <c r="C3695" s="2">
        <v>44265</v>
      </c>
      <c r="D3695" t="s">
        <v>137</v>
      </c>
      <c r="E3695" t="s">
        <v>219</v>
      </c>
      <c r="F3695" t="s">
        <v>228</v>
      </c>
      <c r="G3695" t="s">
        <v>144</v>
      </c>
      <c r="H3695" s="3">
        <v>0.45</v>
      </c>
      <c r="I3695">
        <v>2750</v>
      </c>
      <c r="J3695" s="4">
        <v>1237.5</v>
      </c>
      <c r="K3695" s="4">
        <v>494.99999999999994</v>
      </c>
      <c r="L3695" s="5">
        <v>0.39999999999999997</v>
      </c>
      <c r="M3695" t="s">
        <v>24</v>
      </c>
      <c r="N3695" t="s">
        <v>361</v>
      </c>
    </row>
    <row r="3696" spans="1:14">
      <c r="A3696" t="s">
        <v>29</v>
      </c>
      <c r="B3696">
        <v>1185732</v>
      </c>
      <c r="C3696" s="2">
        <v>44297</v>
      </c>
      <c r="D3696" t="s">
        <v>137</v>
      </c>
      <c r="E3696" t="s">
        <v>219</v>
      </c>
      <c r="F3696" t="s">
        <v>228</v>
      </c>
      <c r="G3696" t="s">
        <v>27</v>
      </c>
      <c r="H3696" s="3">
        <v>0.45</v>
      </c>
      <c r="I3696">
        <v>5250</v>
      </c>
      <c r="J3696" s="4">
        <v>2362.5</v>
      </c>
      <c r="K3696" s="4">
        <v>1063.125</v>
      </c>
      <c r="L3696" s="5">
        <v>0.45</v>
      </c>
      <c r="M3696" t="s">
        <v>127</v>
      </c>
      <c r="N3696" t="s">
        <v>362</v>
      </c>
    </row>
    <row r="3697" spans="1:14">
      <c r="A3697" t="s">
        <v>29</v>
      </c>
      <c r="B3697">
        <v>1185732</v>
      </c>
      <c r="C3697" s="2">
        <v>44297</v>
      </c>
      <c r="D3697" t="s">
        <v>137</v>
      </c>
      <c r="E3697" t="s">
        <v>219</v>
      </c>
      <c r="F3697" t="s">
        <v>228</v>
      </c>
      <c r="G3697" t="s">
        <v>145</v>
      </c>
      <c r="H3697" s="3">
        <v>0.45</v>
      </c>
      <c r="I3697">
        <v>2250</v>
      </c>
      <c r="J3697" s="4">
        <v>1012.5</v>
      </c>
      <c r="K3697" s="4">
        <v>455.625</v>
      </c>
      <c r="L3697" s="5">
        <v>0.45</v>
      </c>
      <c r="M3697" t="s">
        <v>127</v>
      </c>
      <c r="N3697" t="s">
        <v>362</v>
      </c>
    </row>
    <row r="3698" spans="1:14">
      <c r="A3698" t="s">
        <v>29</v>
      </c>
      <c r="B3698">
        <v>1185732</v>
      </c>
      <c r="C3698" s="2">
        <v>44297</v>
      </c>
      <c r="D3698" t="s">
        <v>137</v>
      </c>
      <c r="E3698" t="s">
        <v>219</v>
      </c>
      <c r="F3698" t="s">
        <v>228</v>
      </c>
      <c r="G3698" t="s">
        <v>146</v>
      </c>
      <c r="H3698" s="3">
        <v>0.35000000000000003</v>
      </c>
      <c r="I3698">
        <v>2250</v>
      </c>
      <c r="J3698" s="4">
        <v>787.50000000000011</v>
      </c>
      <c r="K3698" s="4">
        <v>275.625</v>
      </c>
      <c r="L3698" s="5">
        <v>0.35</v>
      </c>
      <c r="M3698" t="s">
        <v>127</v>
      </c>
      <c r="N3698" t="s">
        <v>362</v>
      </c>
    </row>
    <row r="3699" spans="1:14">
      <c r="A3699" t="s">
        <v>29</v>
      </c>
      <c r="B3699">
        <v>1185732</v>
      </c>
      <c r="C3699" s="2">
        <v>44297</v>
      </c>
      <c r="D3699" t="s">
        <v>137</v>
      </c>
      <c r="E3699" t="s">
        <v>219</v>
      </c>
      <c r="F3699" t="s">
        <v>228</v>
      </c>
      <c r="G3699" t="s">
        <v>148</v>
      </c>
      <c r="H3699" s="3">
        <v>0.39999999999999997</v>
      </c>
      <c r="I3699">
        <v>1500</v>
      </c>
      <c r="J3699" s="4">
        <v>600</v>
      </c>
      <c r="K3699" s="4">
        <v>210</v>
      </c>
      <c r="L3699" s="5">
        <v>0.35</v>
      </c>
      <c r="M3699" t="s">
        <v>127</v>
      </c>
      <c r="N3699" t="s">
        <v>362</v>
      </c>
    </row>
    <row r="3700" spans="1:14">
      <c r="A3700" t="s">
        <v>29</v>
      </c>
      <c r="B3700">
        <v>1185732</v>
      </c>
      <c r="C3700" s="2">
        <v>44297</v>
      </c>
      <c r="D3700" t="s">
        <v>137</v>
      </c>
      <c r="E3700" t="s">
        <v>219</v>
      </c>
      <c r="F3700" t="s">
        <v>228</v>
      </c>
      <c r="G3700" t="s">
        <v>147</v>
      </c>
      <c r="H3700" s="3">
        <v>0.55000000000000004</v>
      </c>
      <c r="I3700">
        <v>1500</v>
      </c>
      <c r="J3700" s="4">
        <v>825.00000000000011</v>
      </c>
      <c r="K3700" s="4">
        <v>288.75</v>
      </c>
      <c r="L3700" s="5">
        <v>0.35</v>
      </c>
      <c r="M3700" t="s">
        <v>127</v>
      </c>
      <c r="N3700" t="s">
        <v>362</v>
      </c>
    </row>
    <row r="3701" spans="1:14">
      <c r="A3701" t="s">
        <v>29</v>
      </c>
      <c r="B3701">
        <v>1185732</v>
      </c>
      <c r="C3701" s="2">
        <v>44297</v>
      </c>
      <c r="D3701" t="s">
        <v>137</v>
      </c>
      <c r="E3701" t="s">
        <v>219</v>
      </c>
      <c r="F3701" t="s">
        <v>228</v>
      </c>
      <c r="G3701" t="s">
        <v>144</v>
      </c>
      <c r="H3701" s="3">
        <v>0.45</v>
      </c>
      <c r="I3701">
        <v>3000</v>
      </c>
      <c r="J3701" s="4">
        <v>1350</v>
      </c>
      <c r="K3701" s="4">
        <v>540</v>
      </c>
      <c r="L3701" s="5">
        <v>0.39999999999999997</v>
      </c>
      <c r="M3701" t="s">
        <v>127</v>
      </c>
      <c r="N3701" t="s">
        <v>362</v>
      </c>
    </row>
    <row r="3702" spans="1:14">
      <c r="A3702" t="s">
        <v>29</v>
      </c>
      <c r="B3702">
        <v>1185732</v>
      </c>
      <c r="C3702" s="2">
        <v>44326</v>
      </c>
      <c r="D3702" t="s">
        <v>137</v>
      </c>
      <c r="E3702" t="s">
        <v>219</v>
      </c>
      <c r="F3702" t="s">
        <v>228</v>
      </c>
      <c r="G3702" t="s">
        <v>27</v>
      </c>
      <c r="H3702" s="3">
        <v>0.6</v>
      </c>
      <c r="I3702">
        <v>5700</v>
      </c>
      <c r="J3702" s="4">
        <v>3420</v>
      </c>
      <c r="K3702" s="4">
        <v>1539</v>
      </c>
      <c r="L3702" s="5">
        <v>0.45</v>
      </c>
      <c r="M3702" t="s">
        <v>128</v>
      </c>
      <c r="N3702" t="s">
        <v>362</v>
      </c>
    </row>
    <row r="3703" spans="1:14">
      <c r="A3703" t="s">
        <v>29</v>
      </c>
      <c r="B3703">
        <v>1185732</v>
      </c>
      <c r="C3703" s="2">
        <v>44326</v>
      </c>
      <c r="D3703" t="s">
        <v>137</v>
      </c>
      <c r="E3703" t="s">
        <v>219</v>
      </c>
      <c r="F3703" t="s">
        <v>228</v>
      </c>
      <c r="G3703" t="s">
        <v>145</v>
      </c>
      <c r="H3703" s="3">
        <v>0.55000000000000004</v>
      </c>
      <c r="I3703">
        <v>2750</v>
      </c>
      <c r="J3703" s="4">
        <v>1512.5000000000002</v>
      </c>
      <c r="K3703" s="4">
        <v>680.62500000000011</v>
      </c>
      <c r="L3703" s="5">
        <v>0.45</v>
      </c>
      <c r="M3703" t="s">
        <v>128</v>
      </c>
      <c r="N3703" t="s">
        <v>362</v>
      </c>
    </row>
    <row r="3704" spans="1:14">
      <c r="A3704" t="s">
        <v>29</v>
      </c>
      <c r="B3704">
        <v>1185732</v>
      </c>
      <c r="C3704" s="2">
        <v>44326</v>
      </c>
      <c r="D3704" t="s">
        <v>137</v>
      </c>
      <c r="E3704" t="s">
        <v>219</v>
      </c>
      <c r="F3704" t="s">
        <v>228</v>
      </c>
      <c r="G3704" t="s">
        <v>146</v>
      </c>
      <c r="H3704" s="3">
        <v>0.5</v>
      </c>
      <c r="I3704">
        <v>3000</v>
      </c>
      <c r="J3704" s="4">
        <v>1500</v>
      </c>
      <c r="K3704" s="4">
        <v>525</v>
      </c>
      <c r="L3704" s="5">
        <v>0.35</v>
      </c>
      <c r="M3704" t="s">
        <v>128</v>
      </c>
      <c r="N3704" t="s">
        <v>362</v>
      </c>
    </row>
    <row r="3705" spans="1:14">
      <c r="A3705" t="s">
        <v>29</v>
      </c>
      <c r="B3705">
        <v>1185732</v>
      </c>
      <c r="C3705" s="2">
        <v>44326</v>
      </c>
      <c r="D3705" t="s">
        <v>137</v>
      </c>
      <c r="E3705" t="s">
        <v>219</v>
      </c>
      <c r="F3705" t="s">
        <v>228</v>
      </c>
      <c r="G3705" t="s">
        <v>148</v>
      </c>
      <c r="H3705" s="3">
        <v>0.5</v>
      </c>
      <c r="I3705">
        <v>2500</v>
      </c>
      <c r="J3705" s="4">
        <v>1250</v>
      </c>
      <c r="K3705" s="4">
        <v>437.5</v>
      </c>
      <c r="L3705" s="5">
        <v>0.35</v>
      </c>
      <c r="M3705" t="s">
        <v>128</v>
      </c>
      <c r="N3705" t="s">
        <v>362</v>
      </c>
    </row>
    <row r="3706" spans="1:14">
      <c r="A3706" t="s">
        <v>29</v>
      </c>
      <c r="B3706">
        <v>1185732</v>
      </c>
      <c r="C3706" s="2">
        <v>44326</v>
      </c>
      <c r="D3706" t="s">
        <v>137</v>
      </c>
      <c r="E3706" t="s">
        <v>219</v>
      </c>
      <c r="F3706" t="s">
        <v>228</v>
      </c>
      <c r="G3706" t="s">
        <v>147</v>
      </c>
      <c r="H3706" s="3">
        <v>0.6</v>
      </c>
      <c r="I3706">
        <v>2750</v>
      </c>
      <c r="J3706" s="4">
        <v>1650</v>
      </c>
      <c r="K3706" s="4">
        <v>577.5</v>
      </c>
      <c r="L3706" s="5">
        <v>0.35</v>
      </c>
      <c r="M3706" t="s">
        <v>128</v>
      </c>
      <c r="N3706" t="s">
        <v>362</v>
      </c>
    </row>
    <row r="3707" spans="1:14">
      <c r="A3707" t="s">
        <v>29</v>
      </c>
      <c r="B3707">
        <v>1185732</v>
      </c>
      <c r="C3707" s="2">
        <v>44326</v>
      </c>
      <c r="D3707" t="s">
        <v>137</v>
      </c>
      <c r="E3707" t="s">
        <v>219</v>
      </c>
      <c r="F3707" t="s">
        <v>228</v>
      </c>
      <c r="G3707" t="s">
        <v>144</v>
      </c>
      <c r="H3707" s="3">
        <v>0.65</v>
      </c>
      <c r="I3707">
        <v>4000</v>
      </c>
      <c r="J3707" s="4">
        <v>2600</v>
      </c>
      <c r="K3707" s="4">
        <v>1040</v>
      </c>
      <c r="L3707" s="5">
        <v>0.39999999999999997</v>
      </c>
      <c r="M3707" t="s">
        <v>128</v>
      </c>
      <c r="N3707" t="s">
        <v>362</v>
      </c>
    </row>
    <row r="3708" spans="1:14">
      <c r="A3708" t="s">
        <v>29</v>
      </c>
      <c r="B3708">
        <v>1185732</v>
      </c>
      <c r="C3708" s="2">
        <v>44359</v>
      </c>
      <c r="D3708" t="s">
        <v>137</v>
      </c>
      <c r="E3708" t="s">
        <v>219</v>
      </c>
      <c r="F3708" t="s">
        <v>228</v>
      </c>
      <c r="G3708" t="s">
        <v>27</v>
      </c>
      <c r="H3708" s="3">
        <v>0.6</v>
      </c>
      <c r="I3708">
        <v>6500</v>
      </c>
      <c r="J3708" s="4">
        <v>3900</v>
      </c>
      <c r="K3708" s="4">
        <v>1755</v>
      </c>
      <c r="L3708" s="5">
        <v>0.45</v>
      </c>
      <c r="M3708" t="s">
        <v>129</v>
      </c>
      <c r="N3708" t="s">
        <v>362</v>
      </c>
    </row>
    <row r="3709" spans="1:14">
      <c r="A3709" t="s">
        <v>29</v>
      </c>
      <c r="B3709">
        <v>1185732</v>
      </c>
      <c r="C3709" s="2">
        <v>44359</v>
      </c>
      <c r="D3709" t="s">
        <v>137</v>
      </c>
      <c r="E3709" t="s">
        <v>219</v>
      </c>
      <c r="F3709" t="s">
        <v>228</v>
      </c>
      <c r="G3709" t="s">
        <v>145</v>
      </c>
      <c r="H3709" s="3">
        <v>0.55000000000000004</v>
      </c>
      <c r="I3709">
        <v>4000</v>
      </c>
      <c r="J3709" s="4">
        <v>2200</v>
      </c>
      <c r="K3709" s="4">
        <v>990</v>
      </c>
      <c r="L3709" s="5">
        <v>0.45</v>
      </c>
      <c r="M3709" t="s">
        <v>129</v>
      </c>
      <c r="N3709" t="s">
        <v>362</v>
      </c>
    </row>
    <row r="3710" spans="1:14">
      <c r="A3710" t="s">
        <v>29</v>
      </c>
      <c r="B3710">
        <v>1185732</v>
      </c>
      <c r="C3710" s="2">
        <v>44359</v>
      </c>
      <c r="D3710" t="s">
        <v>137</v>
      </c>
      <c r="E3710" t="s">
        <v>219</v>
      </c>
      <c r="F3710" t="s">
        <v>228</v>
      </c>
      <c r="G3710" t="s">
        <v>146</v>
      </c>
      <c r="H3710" s="3">
        <v>0.5</v>
      </c>
      <c r="I3710">
        <v>3250</v>
      </c>
      <c r="J3710" s="4">
        <v>1625</v>
      </c>
      <c r="K3710" s="4">
        <v>568.75</v>
      </c>
      <c r="L3710" s="5">
        <v>0.35</v>
      </c>
      <c r="M3710" t="s">
        <v>129</v>
      </c>
      <c r="N3710" t="s">
        <v>362</v>
      </c>
    </row>
    <row r="3711" spans="1:14">
      <c r="A3711" t="s">
        <v>29</v>
      </c>
      <c r="B3711">
        <v>1185732</v>
      </c>
      <c r="C3711" s="2">
        <v>44359</v>
      </c>
      <c r="D3711" t="s">
        <v>137</v>
      </c>
      <c r="E3711" t="s">
        <v>219</v>
      </c>
      <c r="F3711" t="s">
        <v>228</v>
      </c>
      <c r="G3711" t="s">
        <v>148</v>
      </c>
      <c r="H3711" s="3">
        <v>0.5</v>
      </c>
      <c r="I3711">
        <v>3000</v>
      </c>
      <c r="J3711" s="4">
        <v>1500</v>
      </c>
      <c r="K3711" s="4">
        <v>525</v>
      </c>
      <c r="L3711" s="5">
        <v>0.35</v>
      </c>
      <c r="M3711" t="s">
        <v>129</v>
      </c>
      <c r="N3711" t="s">
        <v>362</v>
      </c>
    </row>
    <row r="3712" spans="1:14">
      <c r="A3712" t="s">
        <v>29</v>
      </c>
      <c r="B3712">
        <v>1185732</v>
      </c>
      <c r="C3712" s="2">
        <v>44359</v>
      </c>
      <c r="D3712" t="s">
        <v>137</v>
      </c>
      <c r="E3712" t="s">
        <v>219</v>
      </c>
      <c r="F3712" t="s">
        <v>228</v>
      </c>
      <c r="G3712" t="s">
        <v>147</v>
      </c>
      <c r="H3712" s="3">
        <v>0.6</v>
      </c>
      <c r="I3712">
        <v>3000</v>
      </c>
      <c r="J3712" s="4">
        <v>1800</v>
      </c>
      <c r="K3712" s="4">
        <v>630</v>
      </c>
      <c r="L3712" s="5">
        <v>0.35</v>
      </c>
      <c r="M3712" t="s">
        <v>129</v>
      </c>
      <c r="N3712" t="s">
        <v>362</v>
      </c>
    </row>
    <row r="3713" spans="1:14">
      <c r="A3713" t="s">
        <v>29</v>
      </c>
      <c r="B3713">
        <v>1185732</v>
      </c>
      <c r="C3713" s="2">
        <v>44359</v>
      </c>
      <c r="D3713" t="s">
        <v>137</v>
      </c>
      <c r="E3713" t="s">
        <v>219</v>
      </c>
      <c r="F3713" t="s">
        <v>228</v>
      </c>
      <c r="G3713" t="s">
        <v>144</v>
      </c>
      <c r="H3713" s="3">
        <v>0.65</v>
      </c>
      <c r="I3713">
        <v>4500</v>
      </c>
      <c r="J3713" s="4">
        <v>2925</v>
      </c>
      <c r="K3713" s="4">
        <v>1170</v>
      </c>
      <c r="L3713" s="5">
        <v>0.39999999999999997</v>
      </c>
      <c r="M3713" t="s">
        <v>129</v>
      </c>
      <c r="N3713" t="s">
        <v>362</v>
      </c>
    </row>
    <row r="3714" spans="1:14">
      <c r="A3714" t="s">
        <v>29</v>
      </c>
      <c r="B3714">
        <v>1185732</v>
      </c>
      <c r="C3714" s="2">
        <v>44387</v>
      </c>
      <c r="D3714" t="s">
        <v>137</v>
      </c>
      <c r="E3714" t="s">
        <v>219</v>
      </c>
      <c r="F3714" t="s">
        <v>228</v>
      </c>
      <c r="G3714" t="s">
        <v>27</v>
      </c>
      <c r="H3714" s="3">
        <v>0.6</v>
      </c>
      <c r="I3714">
        <v>6750</v>
      </c>
      <c r="J3714" s="4">
        <v>4050</v>
      </c>
      <c r="K3714" s="4">
        <v>1822.5</v>
      </c>
      <c r="L3714" s="5">
        <v>0.45</v>
      </c>
      <c r="M3714" t="s">
        <v>130</v>
      </c>
      <c r="N3714" t="s">
        <v>363</v>
      </c>
    </row>
    <row r="3715" spans="1:14">
      <c r="A3715" t="s">
        <v>29</v>
      </c>
      <c r="B3715">
        <v>1185732</v>
      </c>
      <c r="C3715" s="2">
        <v>44387</v>
      </c>
      <c r="D3715" t="s">
        <v>137</v>
      </c>
      <c r="E3715" t="s">
        <v>219</v>
      </c>
      <c r="F3715" t="s">
        <v>228</v>
      </c>
      <c r="G3715" t="s">
        <v>145</v>
      </c>
      <c r="H3715" s="3">
        <v>0.55000000000000004</v>
      </c>
      <c r="I3715">
        <v>4250</v>
      </c>
      <c r="J3715" s="4">
        <v>2337.5</v>
      </c>
      <c r="K3715" s="4">
        <v>1051.875</v>
      </c>
      <c r="L3715" s="5">
        <v>0.45</v>
      </c>
      <c r="M3715" t="s">
        <v>130</v>
      </c>
      <c r="N3715" t="s">
        <v>363</v>
      </c>
    </row>
    <row r="3716" spans="1:14">
      <c r="A3716" t="s">
        <v>29</v>
      </c>
      <c r="B3716">
        <v>1185732</v>
      </c>
      <c r="C3716" s="2">
        <v>44387</v>
      </c>
      <c r="D3716" t="s">
        <v>137</v>
      </c>
      <c r="E3716" t="s">
        <v>219</v>
      </c>
      <c r="F3716" t="s">
        <v>228</v>
      </c>
      <c r="G3716" t="s">
        <v>146</v>
      </c>
      <c r="H3716" s="3">
        <v>0.5</v>
      </c>
      <c r="I3716">
        <v>3500</v>
      </c>
      <c r="J3716" s="4">
        <v>1750</v>
      </c>
      <c r="K3716" s="4">
        <v>612.5</v>
      </c>
      <c r="L3716" s="5">
        <v>0.35</v>
      </c>
      <c r="M3716" t="s">
        <v>130</v>
      </c>
      <c r="N3716" t="s">
        <v>363</v>
      </c>
    </row>
    <row r="3717" spans="1:14">
      <c r="A3717" t="s">
        <v>29</v>
      </c>
      <c r="B3717">
        <v>1185732</v>
      </c>
      <c r="C3717" s="2">
        <v>44387</v>
      </c>
      <c r="D3717" t="s">
        <v>137</v>
      </c>
      <c r="E3717" t="s">
        <v>219</v>
      </c>
      <c r="F3717" t="s">
        <v>228</v>
      </c>
      <c r="G3717" t="s">
        <v>148</v>
      </c>
      <c r="H3717" s="3">
        <v>0.5</v>
      </c>
      <c r="I3717">
        <v>3000</v>
      </c>
      <c r="J3717" s="4">
        <v>1500</v>
      </c>
      <c r="K3717" s="4">
        <v>525</v>
      </c>
      <c r="L3717" s="5">
        <v>0.35</v>
      </c>
      <c r="M3717" t="s">
        <v>130</v>
      </c>
      <c r="N3717" t="s">
        <v>363</v>
      </c>
    </row>
    <row r="3718" spans="1:14">
      <c r="A3718" t="s">
        <v>29</v>
      </c>
      <c r="B3718">
        <v>1185732</v>
      </c>
      <c r="C3718" s="2">
        <v>44387</v>
      </c>
      <c r="D3718" t="s">
        <v>137</v>
      </c>
      <c r="E3718" t="s">
        <v>219</v>
      </c>
      <c r="F3718" t="s">
        <v>228</v>
      </c>
      <c r="G3718" t="s">
        <v>147</v>
      </c>
      <c r="H3718" s="3">
        <v>0.6</v>
      </c>
      <c r="I3718">
        <v>3250</v>
      </c>
      <c r="J3718" s="4">
        <v>1950</v>
      </c>
      <c r="K3718" s="4">
        <v>682.5</v>
      </c>
      <c r="L3718" s="5">
        <v>0.35</v>
      </c>
      <c r="M3718" t="s">
        <v>130</v>
      </c>
      <c r="N3718" t="s">
        <v>363</v>
      </c>
    </row>
    <row r="3719" spans="1:14">
      <c r="A3719" t="s">
        <v>29</v>
      </c>
      <c r="B3719">
        <v>1185732</v>
      </c>
      <c r="C3719" s="2">
        <v>44387</v>
      </c>
      <c r="D3719" t="s">
        <v>137</v>
      </c>
      <c r="E3719" t="s">
        <v>219</v>
      </c>
      <c r="F3719" t="s">
        <v>228</v>
      </c>
      <c r="G3719" t="s">
        <v>144</v>
      </c>
      <c r="H3719" s="3">
        <v>0.65</v>
      </c>
      <c r="I3719">
        <v>5000</v>
      </c>
      <c r="J3719" s="4">
        <v>3250</v>
      </c>
      <c r="K3719" s="4">
        <v>1300</v>
      </c>
      <c r="L3719" s="5">
        <v>0.39999999999999997</v>
      </c>
      <c r="M3719" t="s">
        <v>130</v>
      </c>
      <c r="N3719" t="s">
        <v>363</v>
      </c>
    </row>
    <row r="3720" spans="1:14">
      <c r="A3720" t="s">
        <v>29</v>
      </c>
      <c r="B3720">
        <v>1185732</v>
      </c>
      <c r="C3720" s="2">
        <v>44419</v>
      </c>
      <c r="D3720" t="s">
        <v>137</v>
      </c>
      <c r="E3720" t="s">
        <v>219</v>
      </c>
      <c r="F3720" t="s">
        <v>228</v>
      </c>
      <c r="G3720" t="s">
        <v>27</v>
      </c>
      <c r="H3720" s="3">
        <v>0.6</v>
      </c>
      <c r="I3720">
        <v>6500</v>
      </c>
      <c r="J3720" s="4">
        <v>3900</v>
      </c>
      <c r="K3720" s="4">
        <v>1755</v>
      </c>
      <c r="L3720" s="5">
        <v>0.45</v>
      </c>
      <c r="M3720" t="s">
        <v>131</v>
      </c>
      <c r="N3720" t="s">
        <v>363</v>
      </c>
    </row>
    <row r="3721" spans="1:14">
      <c r="A3721" t="s">
        <v>29</v>
      </c>
      <c r="B3721">
        <v>1185732</v>
      </c>
      <c r="C3721" s="2">
        <v>44419</v>
      </c>
      <c r="D3721" t="s">
        <v>137</v>
      </c>
      <c r="E3721" t="s">
        <v>219</v>
      </c>
      <c r="F3721" t="s">
        <v>228</v>
      </c>
      <c r="G3721" t="s">
        <v>145</v>
      </c>
      <c r="H3721" s="3">
        <v>0.55000000000000004</v>
      </c>
      <c r="I3721">
        <v>4250</v>
      </c>
      <c r="J3721" s="4">
        <v>2337.5</v>
      </c>
      <c r="K3721" s="4">
        <v>1051.875</v>
      </c>
      <c r="L3721" s="5">
        <v>0.45</v>
      </c>
      <c r="M3721" t="s">
        <v>131</v>
      </c>
      <c r="N3721" t="s">
        <v>363</v>
      </c>
    </row>
    <row r="3722" spans="1:14">
      <c r="A3722" t="s">
        <v>29</v>
      </c>
      <c r="B3722">
        <v>1185732</v>
      </c>
      <c r="C3722" s="2">
        <v>44419</v>
      </c>
      <c r="D3722" t="s">
        <v>137</v>
      </c>
      <c r="E3722" t="s">
        <v>219</v>
      </c>
      <c r="F3722" t="s">
        <v>228</v>
      </c>
      <c r="G3722" t="s">
        <v>146</v>
      </c>
      <c r="H3722" s="3">
        <v>0.5</v>
      </c>
      <c r="I3722">
        <v>3500</v>
      </c>
      <c r="J3722" s="4">
        <v>1750</v>
      </c>
      <c r="K3722" s="4">
        <v>612.5</v>
      </c>
      <c r="L3722" s="5">
        <v>0.35</v>
      </c>
      <c r="M3722" t="s">
        <v>131</v>
      </c>
      <c r="N3722" t="s">
        <v>363</v>
      </c>
    </row>
    <row r="3723" spans="1:14">
      <c r="A3723" t="s">
        <v>29</v>
      </c>
      <c r="B3723">
        <v>1185732</v>
      </c>
      <c r="C3723" s="2">
        <v>44419</v>
      </c>
      <c r="D3723" t="s">
        <v>137</v>
      </c>
      <c r="E3723" t="s">
        <v>219</v>
      </c>
      <c r="F3723" t="s">
        <v>228</v>
      </c>
      <c r="G3723" t="s">
        <v>148</v>
      </c>
      <c r="H3723" s="3">
        <v>0.5</v>
      </c>
      <c r="I3723">
        <v>2500</v>
      </c>
      <c r="J3723" s="4">
        <v>1250</v>
      </c>
      <c r="K3723" s="4">
        <v>437.5</v>
      </c>
      <c r="L3723" s="5">
        <v>0.35</v>
      </c>
      <c r="M3723" t="s">
        <v>131</v>
      </c>
      <c r="N3723" t="s">
        <v>363</v>
      </c>
    </row>
    <row r="3724" spans="1:14">
      <c r="A3724" t="s">
        <v>29</v>
      </c>
      <c r="B3724">
        <v>1185732</v>
      </c>
      <c r="C3724" s="2">
        <v>44419</v>
      </c>
      <c r="D3724" t="s">
        <v>137</v>
      </c>
      <c r="E3724" t="s">
        <v>219</v>
      </c>
      <c r="F3724" t="s">
        <v>228</v>
      </c>
      <c r="G3724" t="s">
        <v>147</v>
      </c>
      <c r="H3724" s="3">
        <v>0.6</v>
      </c>
      <c r="I3724">
        <v>2250</v>
      </c>
      <c r="J3724" s="4">
        <v>1350</v>
      </c>
      <c r="K3724" s="4">
        <v>472.49999999999994</v>
      </c>
      <c r="L3724" s="5">
        <v>0.35</v>
      </c>
      <c r="M3724" t="s">
        <v>131</v>
      </c>
      <c r="N3724" t="s">
        <v>363</v>
      </c>
    </row>
    <row r="3725" spans="1:14">
      <c r="A3725" t="s">
        <v>29</v>
      </c>
      <c r="B3725">
        <v>1185732</v>
      </c>
      <c r="C3725" s="2">
        <v>44419</v>
      </c>
      <c r="D3725" t="s">
        <v>137</v>
      </c>
      <c r="E3725" t="s">
        <v>219</v>
      </c>
      <c r="F3725" t="s">
        <v>228</v>
      </c>
      <c r="G3725" t="s">
        <v>144</v>
      </c>
      <c r="H3725" s="3">
        <v>0.65</v>
      </c>
      <c r="I3725">
        <v>4000</v>
      </c>
      <c r="J3725" s="4">
        <v>2600</v>
      </c>
      <c r="K3725" s="4">
        <v>1040</v>
      </c>
      <c r="L3725" s="5">
        <v>0.39999999999999997</v>
      </c>
      <c r="M3725" t="s">
        <v>131</v>
      </c>
      <c r="N3725" t="s">
        <v>363</v>
      </c>
    </row>
    <row r="3726" spans="1:14">
      <c r="A3726" t="s">
        <v>29</v>
      </c>
      <c r="B3726">
        <v>1185732</v>
      </c>
      <c r="C3726" s="2">
        <v>44449</v>
      </c>
      <c r="D3726" t="s">
        <v>137</v>
      </c>
      <c r="E3726" t="s">
        <v>219</v>
      </c>
      <c r="F3726" t="s">
        <v>228</v>
      </c>
      <c r="G3726" t="s">
        <v>27</v>
      </c>
      <c r="H3726" s="3">
        <v>0.6</v>
      </c>
      <c r="I3726">
        <v>5250</v>
      </c>
      <c r="J3726" s="4">
        <v>3150</v>
      </c>
      <c r="K3726" s="4">
        <v>1417.5</v>
      </c>
      <c r="L3726" s="5">
        <v>0.45</v>
      </c>
      <c r="M3726" t="s">
        <v>132</v>
      </c>
      <c r="N3726" t="s">
        <v>363</v>
      </c>
    </row>
    <row r="3727" spans="1:14">
      <c r="A3727" t="s">
        <v>29</v>
      </c>
      <c r="B3727">
        <v>1185732</v>
      </c>
      <c r="C3727" s="2">
        <v>44449</v>
      </c>
      <c r="D3727" t="s">
        <v>137</v>
      </c>
      <c r="E3727" t="s">
        <v>219</v>
      </c>
      <c r="F3727" t="s">
        <v>228</v>
      </c>
      <c r="G3727" t="s">
        <v>145</v>
      </c>
      <c r="H3727" s="3">
        <v>0.55000000000000004</v>
      </c>
      <c r="I3727">
        <v>3250</v>
      </c>
      <c r="J3727" s="4">
        <v>1787.5000000000002</v>
      </c>
      <c r="K3727" s="4">
        <v>804.37500000000011</v>
      </c>
      <c r="L3727" s="5">
        <v>0.45</v>
      </c>
      <c r="M3727" t="s">
        <v>132</v>
      </c>
      <c r="N3727" t="s">
        <v>363</v>
      </c>
    </row>
    <row r="3728" spans="1:14">
      <c r="A3728" t="s">
        <v>29</v>
      </c>
      <c r="B3728">
        <v>1185732</v>
      </c>
      <c r="C3728" s="2">
        <v>44449</v>
      </c>
      <c r="D3728" t="s">
        <v>137</v>
      </c>
      <c r="E3728" t="s">
        <v>219</v>
      </c>
      <c r="F3728" t="s">
        <v>228</v>
      </c>
      <c r="G3728" t="s">
        <v>146</v>
      </c>
      <c r="H3728" s="3">
        <v>0.5</v>
      </c>
      <c r="I3728">
        <v>2250</v>
      </c>
      <c r="J3728" s="4">
        <v>1125</v>
      </c>
      <c r="K3728" s="4">
        <v>393.75</v>
      </c>
      <c r="L3728" s="5">
        <v>0.35</v>
      </c>
      <c r="M3728" t="s">
        <v>132</v>
      </c>
      <c r="N3728" t="s">
        <v>363</v>
      </c>
    </row>
    <row r="3729" spans="1:14">
      <c r="A3729" t="s">
        <v>29</v>
      </c>
      <c r="B3729">
        <v>1185732</v>
      </c>
      <c r="C3729" s="2">
        <v>44449</v>
      </c>
      <c r="D3729" t="s">
        <v>137</v>
      </c>
      <c r="E3729" t="s">
        <v>219</v>
      </c>
      <c r="F3729" t="s">
        <v>228</v>
      </c>
      <c r="G3729" t="s">
        <v>148</v>
      </c>
      <c r="H3729" s="3">
        <v>0.5</v>
      </c>
      <c r="I3729">
        <v>2000</v>
      </c>
      <c r="J3729" s="4">
        <v>1000</v>
      </c>
      <c r="K3729" s="4">
        <v>350</v>
      </c>
      <c r="L3729" s="5">
        <v>0.35</v>
      </c>
      <c r="M3729" t="s">
        <v>132</v>
      </c>
      <c r="N3729" t="s">
        <v>363</v>
      </c>
    </row>
    <row r="3730" spans="1:14">
      <c r="A3730" t="s">
        <v>29</v>
      </c>
      <c r="B3730">
        <v>1185732</v>
      </c>
      <c r="C3730" s="2">
        <v>44449</v>
      </c>
      <c r="D3730" t="s">
        <v>137</v>
      </c>
      <c r="E3730" t="s">
        <v>219</v>
      </c>
      <c r="F3730" t="s">
        <v>228</v>
      </c>
      <c r="G3730" t="s">
        <v>147</v>
      </c>
      <c r="H3730" s="3">
        <v>0.6</v>
      </c>
      <c r="I3730">
        <v>2000</v>
      </c>
      <c r="J3730" s="4">
        <v>1200</v>
      </c>
      <c r="K3730" s="4">
        <v>420</v>
      </c>
      <c r="L3730" s="5">
        <v>0.35</v>
      </c>
      <c r="M3730" t="s">
        <v>132</v>
      </c>
      <c r="N3730" t="s">
        <v>363</v>
      </c>
    </row>
    <row r="3731" spans="1:14">
      <c r="A3731" t="s">
        <v>29</v>
      </c>
      <c r="B3731">
        <v>1185732</v>
      </c>
      <c r="C3731" s="2">
        <v>44449</v>
      </c>
      <c r="D3731" t="s">
        <v>137</v>
      </c>
      <c r="E3731" t="s">
        <v>219</v>
      </c>
      <c r="F3731" t="s">
        <v>228</v>
      </c>
      <c r="G3731" t="s">
        <v>144</v>
      </c>
      <c r="H3731" s="3">
        <v>0.65</v>
      </c>
      <c r="I3731">
        <v>3000</v>
      </c>
      <c r="J3731" s="4">
        <v>1950</v>
      </c>
      <c r="K3731" s="4">
        <v>779.99999999999989</v>
      </c>
      <c r="L3731" s="5">
        <v>0.39999999999999997</v>
      </c>
      <c r="M3731" t="s">
        <v>132</v>
      </c>
      <c r="N3731" t="s">
        <v>363</v>
      </c>
    </row>
    <row r="3732" spans="1:14">
      <c r="A3732" t="s">
        <v>29</v>
      </c>
      <c r="B3732">
        <v>1185732</v>
      </c>
      <c r="C3732" s="2">
        <v>44481</v>
      </c>
      <c r="D3732" t="s">
        <v>137</v>
      </c>
      <c r="E3732" t="s">
        <v>219</v>
      </c>
      <c r="F3732" t="s">
        <v>228</v>
      </c>
      <c r="G3732" t="s">
        <v>27</v>
      </c>
      <c r="H3732" s="3">
        <v>0.65</v>
      </c>
      <c r="I3732">
        <v>4750</v>
      </c>
      <c r="J3732" s="4">
        <v>3087.5</v>
      </c>
      <c r="K3732" s="4">
        <v>1389.375</v>
      </c>
      <c r="L3732" s="5">
        <v>0.45</v>
      </c>
      <c r="M3732" t="s">
        <v>133</v>
      </c>
      <c r="N3732" t="s">
        <v>364</v>
      </c>
    </row>
    <row r="3733" spans="1:14">
      <c r="A3733" t="s">
        <v>29</v>
      </c>
      <c r="B3733">
        <v>1185732</v>
      </c>
      <c r="C3733" s="2">
        <v>44481</v>
      </c>
      <c r="D3733" t="s">
        <v>137</v>
      </c>
      <c r="E3733" t="s">
        <v>219</v>
      </c>
      <c r="F3733" t="s">
        <v>228</v>
      </c>
      <c r="G3733" t="s">
        <v>145</v>
      </c>
      <c r="H3733" s="3">
        <v>0.60000000000000009</v>
      </c>
      <c r="I3733">
        <v>3000</v>
      </c>
      <c r="J3733" s="4">
        <v>1800.0000000000002</v>
      </c>
      <c r="K3733" s="4">
        <v>810.00000000000011</v>
      </c>
      <c r="L3733" s="5">
        <v>0.45</v>
      </c>
      <c r="M3733" t="s">
        <v>133</v>
      </c>
      <c r="N3733" t="s">
        <v>364</v>
      </c>
    </row>
    <row r="3734" spans="1:14">
      <c r="A3734" t="s">
        <v>29</v>
      </c>
      <c r="B3734">
        <v>1185732</v>
      </c>
      <c r="C3734" s="2">
        <v>44481</v>
      </c>
      <c r="D3734" t="s">
        <v>137</v>
      </c>
      <c r="E3734" t="s">
        <v>219</v>
      </c>
      <c r="F3734" t="s">
        <v>228</v>
      </c>
      <c r="G3734" t="s">
        <v>146</v>
      </c>
      <c r="H3734" s="3">
        <v>0.60000000000000009</v>
      </c>
      <c r="I3734">
        <v>2000</v>
      </c>
      <c r="J3734" s="4">
        <v>1200.0000000000002</v>
      </c>
      <c r="K3734" s="4">
        <v>420.00000000000006</v>
      </c>
      <c r="L3734" s="5">
        <v>0.35</v>
      </c>
      <c r="M3734" t="s">
        <v>133</v>
      </c>
      <c r="N3734" t="s">
        <v>364</v>
      </c>
    </row>
    <row r="3735" spans="1:14">
      <c r="A3735" t="s">
        <v>29</v>
      </c>
      <c r="B3735">
        <v>1185732</v>
      </c>
      <c r="C3735" s="2">
        <v>44481</v>
      </c>
      <c r="D3735" t="s">
        <v>137</v>
      </c>
      <c r="E3735" t="s">
        <v>219</v>
      </c>
      <c r="F3735" t="s">
        <v>228</v>
      </c>
      <c r="G3735" t="s">
        <v>148</v>
      </c>
      <c r="H3735" s="3">
        <v>0.60000000000000009</v>
      </c>
      <c r="I3735">
        <v>1750</v>
      </c>
      <c r="J3735" s="4">
        <v>1050.0000000000002</v>
      </c>
      <c r="K3735" s="4">
        <v>367.50000000000006</v>
      </c>
      <c r="L3735" s="5">
        <v>0.35</v>
      </c>
      <c r="M3735" t="s">
        <v>133</v>
      </c>
      <c r="N3735" t="s">
        <v>364</v>
      </c>
    </row>
    <row r="3736" spans="1:14">
      <c r="A3736" t="s">
        <v>29</v>
      </c>
      <c r="B3736">
        <v>1185732</v>
      </c>
      <c r="C3736" s="2">
        <v>44481</v>
      </c>
      <c r="D3736" t="s">
        <v>137</v>
      </c>
      <c r="E3736" t="s">
        <v>219</v>
      </c>
      <c r="F3736" t="s">
        <v>228</v>
      </c>
      <c r="G3736" t="s">
        <v>147</v>
      </c>
      <c r="H3736" s="3">
        <v>0.70000000000000007</v>
      </c>
      <c r="I3736">
        <v>1750</v>
      </c>
      <c r="J3736" s="4">
        <v>1225.0000000000002</v>
      </c>
      <c r="K3736" s="4">
        <v>428.75000000000006</v>
      </c>
      <c r="L3736" s="5">
        <v>0.35</v>
      </c>
      <c r="M3736" t="s">
        <v>133</v>
      </c>
      <c r="N3736" t="s">
        <v>364</v>
      </c>
    </row>
    <row r="3737" spans="1:14">
      <c r="A3737" t="s">
        <v>29</v>
      </c>
      <c r="B3737">
        <v>1185732</v>
      </c>
      <c r="C3737" s="2">
        <v>44481</v>
      </c>
      <c r="D3737" t="s">
        <v>137</v>
      </c>
      <c r="E3737" t="s">
        <v>219</v>
      </c>
      <c r="F3737" t="s">
        <v>228</v>
      </c>
      <c r="G3737" t="s">
        <v>144</v>
      </c>
      <c r="H3737" s="3">
        <v>0.75</v>
      </c>
      <c r="I3737">
        <v>3000</v>
      </c>
      <c r="J3737" s="4">
        <v>2250</v>
      </c>
      <c r="K3737" s="4">
        <v>899.99999999999989</v>
      </c>
      <c r="L3737" s="5">
        <v>0.39999999999999997</v>
      </c>
      <c r="M3737" t="s">
        <v>133</v>
      </c>
      <c r="N3737" t="s">
        <v>364</v>
      </c>
    </row>
    <row r="3738" spans="1:14">
      <c r="A3738" t="s">
        <v>29</v>
      </c>
      <c r="B3738">
        <v>1185732</v>
      </c>
      <c r="C3738" s="2">
        <v>44511</v>
      </c>
      <c r="D3738" t="s">
        <v>137</v>
      </c>
      <c r="E3738" t="s">
        <v>219</v>
      </c>
      <c r="F3738" t="s">
        <v>228</v>
      </c>
      <c r="G3738" t="s">
        <v>27</v>
      </c>
      <c r="H3738" s="3">
        <v>0.70000000000000007</v>
      </c>
      <c r="I3738">
        <v>4500</v>
      </c>
      <c r="J3738" s="4">
        <v>3150.0000000000005</v>
      </c>
      <c r="K3738" s="4">
        <v>1417.5000000000002</v>
      </c>
      <c r="L3738" s="5">
        <v>0.45</v>
      </c>
      <c r="M3738" t="s">
        <v>134</v>
      </c>
      <c r="N3738" t="s">
        <v>364</v>
      </c>
    </row>
    <row r="3739" spans="1:14">
      <c r="A3739" t="s">
        <v>29</v>
      </c>
      <c r="B3739">
        <v>1185732</v>
      </c>
      <c r="C3739" s="2">
        <v>44511</v>
      </c>
      <c r="D3739" t="s">
        <v>137</v>
      </c>
      <c r="E3739" t="s">
        <v>219</v>
      </c>
      <c r="F3739" t="s">
        <v>228</v>
      </c>
      <c r="G3739" t="s">
        <v>145</v>
      </c>
      <c r="H3739" s="3">
        <v>0.60000000000000009</v>
      </c>
      <c r="I3739">
        <v>3250</v>
      </c>
      <c r="J3739" s="4">
        <v>1950.0000000000002</v>
      </c>
      <c r="K3739" s="4">
        <v>877.50000000000011</v>
      </c>
      <c r="L3739" s="5">
        <v>0.45</v>
      </c>
      <c r="M3739" t="s">
        <v>134</v>
      </c>
      <c r="N3739" t="s">
        <v>364</v>
      </c>
    </row>
    <row r="3740" spans="1:14">
      <c r="A3740" t="s">
        <v>29</v>
      </c>
      <c r="B3740">
        <v>1185732</v>
      </c>
      <c r="C3740" s="2">
        <v>44511</v>
      </c>
      <c r="D3740" t="s">
        <v>137</v>
      </c>
      <c r="E3740" t="s">
        <v>219</v>
      </c>
      <c r="F3740" t="s">
        <v>228</v>
      </c>
      <c r="G3740" t="s">
        <v>146</v>
      </c>
      <c r="H3740" s="3">
        <v>0.60000000000000009</v>
      </c>
      <c r="I3740">
        <v>3200</v>
      </c>
      <c r="J3740" s="4">
        <v>1920.0000000000002</v>
      </c>
      <c r="K3740" s="4">
        <v>672</v>
      </c>
      <c r="L3740" s="5">
        <v>0.35</v>
      </c>
      <c r="M3740" t="s">
        <v>134</v>
      </c>
      <c r="N3740" t="s">
        <v>364</v>
      </c>
    </row>
    <row r="3741" spans="1:14">
      <c r="A3741" t="s">
        <v>29</v>
      </c>
      <c r="B3741">
        <v>1185732</v>
      </c>
      <c r="C3741" s="2">
        <v>44511</v>
      </c>
      <c r="D3741" t="s">
        <v>137</v>
      </c>
      <c r="E3741" t="s">
        <v>219</v>
      </c>
      <c r="F3741" t="s">
        <v>228</v>
      </c>
      <c r="G3741" t="s">
        <v>148</v>
      </c>
      <c r="H3741" s="3">
        <v>0.60000000000000009</v>
      </c>
      <c r="I3741">
        <v>3000</v>
      </c>
      <c r="J3741" s="4">
        <v>1800.0000000000002</v>
      </c>
      <c r="K3741" s="4">
        <v>630</v>
      </c>
      <c r="L3741" s="5">
        <v>0.35</v>
      </c>
      <c r="M3741" t="s">
        <v>134</v>
      </c>
      <c r="N3741" t="s">
        <v>364</v>
      </c>
    </row>
    <row r="3742" spans="1:14">
      <c r="A3742" t="s">
        <v>29</v>
      </c>
      <c r="B3742">
        <v>1185732</v>
      </c>
      <c r="C3742" s="2">
        <v>44511</v>
      </c>
      <c r="D3742" t="s">
        <v>137</v>
      </c>
      <c r="E3742" t="s">
        <v>219</v>
      </c>
      <c r="F3742" t="s">
        <v>228</v>
      </c>
      <c r="G3742" t="s">
        <v>147</v>
      </c>
      <c r="H3742" s="3">
        <v>0.70000000000000007</v>
      </c>
      <c r="I3742">
        <v>2750</v>
      </c>
      <c r="J3742" s="4">
        <v>1925.0000000000002</v>
      </c>
      <c r="K3742" s="4">
        <v>673.75</v>
      </c>
      <c r="L3742" s="5">
        <v>0.35</v>
      </c>
      <c r="M3742" t="s">
        <v>134</v>
      </c>
      <c r="N3742" t="s">
        <v>364</v>
      </c>
    </row>
    <row r="3743" spans="1:14">
      <c r="A3743" t="s">
        <v>29</v>
      </c>
      <c r="B3743">
        <v>1185732</v>
      </c>
      <c r="C3743" s="2">
        <v>44511</v>
      </c>
      <c r="D3743" t="s">
        <v>137</v>
      </c>
      <c r="E3743" t="s">
        <v>219</v>
      </c>
      <c r="F3743" t="s">
        <v>228</v>
      </c>
      <c r="G3743" t="s">
        <v>144</v>
      </c>
      <c r="H3743" s="3">
        <v>0.75</v>
      </c>
      <c r="I3743">
        <v>3750</v>
      </c>
      <c r="J3743" s="4">
        <v>2812.5</v>
      </c>
      <c r="K3743" s="4">
        <v>1125</v>
      </c>
      <c r="L3743" s="5">
        <v>0.39999999999999997</v>
      </c>
      <c r="M3743" t="s">
        <v>134</v>
      </c>
      <c r="N3743" t="s">
        <v>364</v>
      </c>
    </row>
    <row r="3744" spans="1:14">
      <c r="A3744" t="s">
        <v>29</v>
      </c>
      <c r="B3744">
        <v>1185732</v>
      </c>
      <c r="C3744" s="2">
        <v>44540</v>
      </c>
      <c r="D3744" t="s">
        <v>137</v>
      </c>
      <c r="E3744" t="s">
        <v>219</v>
      </c>
      <c r="F3744" t="s">
        <v>228</v>
      </c>
      <c r="G3744" t="s">
        <v>27</v>
      </c>
      <c r="H3744" s="3">
        <v>0.70000000000000007</v>
      </c>
      <c r="I3744">
        <v>6000</v>
      </c>
      <c r="J3744" s="4">
        <v>4200</v>
      </c>
      <c r="K3744" s="4">
        <v>1890</v>
      </c>
      <c r="L3744" s="5">
        <v>0.45</v>
      </c>
      <c r="M3744" t="s">
        <v>23</v>
      </c>
      <c r="N3744" t="s">
        <v>364</v>
      </c>
    </row>
    <row r="3745" spans="1:14">
      <c r="A3745" t="s">
        <v>29</v>
      </c>
      <c r="B3745">
        <v>1185732</v>
      </c>
      <c r="C3745" s="2">
        <v>44540</v>
      </c>
      <c r="D3745" t="s">
        <v>137</v>
      </c>
      <c r="E3745" t="s">
        <v>219</v>
      </c>
      <c r="F3745" t="s">
        <v>228</v>
      </c>
      <c r="G3745" t="s">
        <v>145</v>
      </c>
      <c r="H3745" s="3">
        <v>0.60000000000000009</v>
      </c>
      <c r="I3745">
        <v>4000</v>
      </c>
      <c r="J3745" s="4">
        <v>2400.0000000000005</v>
      </c>
      <c r="K3745" s="4">
        <v>1080.0000000000002</v>
      </c>
      <c r="L3745" s="5">
        <v>0.45</v>
      </c>
      <c r="M3745" t="s">
        <v>23</v>
      </c>
      <c r="N3745" t="s">
        <v>364</v>
      </c>
    </row>
    <row r="3746" spans="1:14">
      <c r="A3746" t="s">
        <v>29</v>
      </c>
      <c r="B3746">
        <v>1185732</v>
      </c>
      <c r="C3746" s="2">
        <v>44540</v>
      </c>
      <c r="D3746" t="s">
        <v>137</v>
      </c>
      <c r="E3746" t="s">
        <v>219</v>
      </c>
      <c r="F3746" t="s">
        <v>228</v>
      </c>
      <c r="G3746" t="s">
        <v>146</v>
      </c>
      <c r="H3746" s="3">
        <v>0.60000000000000009</v>
      </c>
      <c r="I3746">
        <v>3750</v>
      </c>
      <c r="J3746" s="4">
        <v>2250.0000000000005</v>
      </c>
      <c r="K3746" s="4">
        <v>787.50000000000011</v>
      </c>
      <c r="L3746" s="5">
        <v>0.35</v>
      </c>
      <c r="M3746" t="s">
        <v>23</v>
      </c>
      <c r="N3746" t="s">
        <v>364</v>
      </c>
    </row>
    <row r="3747" spans="1:14">
      <c r="A3747" t="s">
        <v>29</v>
      </c>
      <c r="B3747">
        <v>1185732</v>
      </c>
      <c r="C3747" s="2">
        <v>44540</v>
      </c>
      <c r="D3747" t="s">
        <v>137</v>
      </c>
      <c r="E3747" t="s">
        <v>219</v>
      </c>
      <c r="F3747" t="s">
        <v>228</v>
      </c>
      <c r="G3747" t="s">
        <v>148</v>
      </c>
      <c r="H3747" s="3">
        <v>0.60000000000000009</v>
      </c>
      <c r="I3747">
        <v>3250</v>
      </c>
      <c r="J3747" s="4">
        <v>1950.0000000000002</v>
      </c>
      <c r="K3747" s="4">
        <v>682.5</v>
      </c>
      <c r="L3747" s="5">
        <v>0.35</v>
      </c>
      <c r="M3747" t="s">
        <v>23</v>
      </c>
      <c r="N3747" t="s">
        <v>364</v>
      </c>
    </row>
    <row r="3748" spans="1:14">
      <c r="A3748" t="s">
        <v>29</v>
      </c>
      <c r="B3748">
        <v>1185732</v>
      </c>
      <c r="C3748" s="2">
        <v>44540</v>
      </c>
      <c r="D3748" t="s">
        <v>137</v>
      </c>
      <c r="E3748" t="s">
        <v>219</v>
      </c>
      <c r="F3748" t="s">
        <v>228</v>
      </c>
      <c r="G3748" t="s">
        <v>147</v>
      </c>
      <c r="H3748" s="3">
        <v>0.70000000000000007</v>
      </c>
      <c r="I3748">
        <v>3250</v>
      </c>
      <c r="J3748" s="4">
        <v>2275</v>
      </c>
      <c r="K3748" s="4">
        <v>796.25</v>
      </c>
      <c r="L3748" s="5">
        <v>0.35</v>
      </c>
      <c r="M3748" t="s">
        <v>23</v>
      </c>
      <c r="N3748" t="s">
        <v>364</v>
      </c>
    </row>
    <row r="3749" spans="1:14">
      <c r="A3749" t="s">
        <v>29</v>
      </c>
      <c r="B3749">
        <v>1185732</v>
      </c>
      <c r="C3749" s="2">
        <v>44540</v>
      </c>
      <c r="D3749" t="s">
        <v>137</v>
      </c>
      <c r="E3749" t="s">
        <v>219</v>
      </c>
      <c r="F3749" t="s">
        <v>228</v>
      </c>
      <c r="G3749" t="s">
        <v>144</v>
      </c>
      <c r="H3749" s="3">
        <v>0.75</v>
      </c>
      <c r="I3749">
        <v>4250</v>
      </c>
      <c r="J3749" s="4">
        <v>3187.5</v>
      </c>
      <c r="K3749" s="4">
        <v>1275</v>
      </c>
      <c r="L3749" s="5">
        <v>0.39999999999999997</v>
      </c>
      <c r="M3749" t="s">
        <v>23</v>
      </c>
      <c r="N3749" t="s">
        <v>364</v>
      </c>
    </row>
    <row r="3750" spans="1:14">
      <c r="A3750" t="s">
        <v>29</v>
      </c>
      <c r="B3750">
        <v>1185732</v>
      </c>
      <c r="C3750" s="2">
        <v>44217</v>
      </c>
      <c r="D3750" t="s">
        <v>137</v>
      </c>
      <c r="E3750" t="s">
        <v>209</v>
      </c>
      <c r="F3750" t="s">
        <v>218</v>
      </c>
      <c r="G3750" t="s">
        <v>27</v>
      </c>
      <c r="H3750" s="3">
        <v>0.5</v>
      </c>
      <c r="I3750">
        <v>5250</v>
      </c>
      <c r="J3750" s="4">
        <v>2625</v>
      </c>
      <c r="K3750" s="4">
        <v>1050</v>
      </c>
      <c r="L3750" s="5">
        <v>0.4</v>
      </c>
      <c r="M3750" t="s">
        <v>125</v>
      </c>
      <c r="N3750" t="s">
        <v>361</v>
      </c>
    </row>
    <row r="3751" spans="1:14">
      <c r="A3751" t="s">
        <v>29</v>
      </c>
      <c r="B3751">
        <v>1185732</v>
      </c>
      <c r="C3751" s="2">
        <v>44217</v>
      </c>
      <c r="D3751" t="s">
        <v>137</v>
      </c>
      <c r="E3751" t="s">
        <v>209</v>
      </c>
      <c r="F3751" t="s">
        <v>218</v>
      </c>
      <c r="G3751" t="s">
        <v>145</v>
      </c>
      <c r="H3751" s="3">
        <v>0.5</v>
      </c>
      <c r="I3751">
        <v>3250</v>
      </c>
      <c r="J3751" s="4">
        <v>1625</v>
      </c>
      <c r="K3751" s="4">
        <v>650</v>
      </c>
      <c r="L3751" s="5">
        <v>0.4</v>
      </c>
      <c r="M3751" t="s">
        <v>125</v>
      </c>
      <c r="N3751" t="s">
        <v>361</v>
      </c>
    </row>
    <row r="3752" spans="1:14">
      <c r="A3752" t="s">
        <v>29</v>
      </c>
      <c r="B3752">
        <v>1185732</v>
      </c>
      <c r="C3752" s="2">
        <v>44217</v>
      </c>
      <c r="D3752" t="s">
        <v>137</v>
      </c>
      <c r="E3752" t="s">
        <v>209</v>
      </c>
      <c r="F3752" t="s">
        <v>218</v>
      </c>
      <c r="G3752" t="s">
        <v>146</v>
      </c>
      <c r="H3752" s="3">
        <v>0.4</v>
      </c>
      <c r="I3752">
        <v>3250</v>
      </c>
      <c r="J3752" s="4">
        <v>1300</v>
      </c>
      <c r="K3752" s="4">
        <v>390</v>
      </c>
      <c r="L3752" s="5">
        <v>0.3</v>
      </c>
      <c r="M3752" t="s">
        <v>125</v>
      </c>
      <c r="N3752" t="s">
        <v>361</v>
      </c>
    </row>
    <row r="3753" spans="1:14">
      <c r="A3753" t="s">
        <v>29</v>
      </c>
      <c r="B3753">
        <v>1185732</v>
      </c>
      <c r="C3753" s="2">
        <v>44217</v>
      </c>
      <c r="D3753" t="s">
        <v>137</v>
      </c>
      <c r="E3753" t="s">
        <v>209</v>
      </c>
      <c r="F3753" t="s">
        <v>218</v>
      </c>
      <c r="G3753" t="s">
        <v>148</v>
      </c>
      <c r="H3753" s="3">
        <v>0.44999999999999996</v>
      </c>
      <c r="I3753">
        <v>1750</v>
      </c>
      <c r="J3753" s="4">
        <v>787.49999999999989</v>
      </c>
      <c r="K3753" s="4">
        <v>236.24999999999994</v>
      </c>
      <c r="L3753" s="5">
        <v>0.3</v>
      </c>
      <c r="M3753" t="s">
        <v>125</v>
      </c>
      <c r="N3753" t="s">
        <v>361</v>
      </c>
    </row>
    <row r="3754" spans="1:14">
      <c r="A3754" t="s">
        <v>29</v>
      </c>
      <c r="B3754">
        <v>1185732</v>
      </c>
      <c r="C3754" s="2">
        <v>44217</v>
      </c>
      <c r="D3754" t="s">
        <v>137</v>
      </c>
      <c r="E3754" t="s">
        <v>209</v>
      </c>
      <c r="F3754" t="s">
        <v>218</v>
      </c>
      <c r="G3754" t="s">
        <v>147</v>
      </c>
      <c r="H3754" s="3">
        <v>0.60000000000000009</v>
      </c>
      <c r="I3754">
        <v>2250</v>
      </c>
      <c r="J3754" s="4">
        <v>1350.0000000000002</v>
      </c>
      <c r="K3754" s="4">
        <v>405.00000000000006</v>
      </c>
      <c r="L3754" s="5">
        <v>0.3</v>
      </c>
      <c r="M3754" t="s">
        <v>125</v>
      </c>
      <c r="N3754" t="s">
        <v>361</v>
      </c>
    </row>
    <row r="3755" spans="1:14">
      <c r="A3755" t="s">
        <v>29</v>
      </c>
      <c r="B3755">
        <v>1185732</v>
      </c>
      <c r="C3755" s="2">
        <v>44217</v>
      </c>
      <c r="D3755" t="s">
        <v>137</v>
      </c>
      <c r="E3755" t="s">
        <v>209</v>
      </c>
      <c r="F3755" t="s">
        <v>218</v>
      </c>
      <c r="G3755" t="s">
        <v>144</v>
      </c>
      <c r="H3755" s="3">
        <v>0.5</v>
      </c>
      <c r="I3755">
        <v>3250</v>
      </c>
      <c r="J3755" s="4">
        <v>1625</v>
      </c>
      <c r="K3755" s="4">
        <v>568.75</v>
      </c>
      <c r="L3755" s="5">
        <v>0.35</v>
      </c>
      <c r="M3755" t="s">
        <v>125</v>
      </c>
      <c r="N3755" t="s">
        <v>361</v>
      </c>
    </row>
    <row r="3756" spans="1:14">
      <c r="A3756" t="s">
        <v>29</v>
      </c>
      <c r="B3756">
        <v>1185732</v>
      </c>
      <c r="C3756" s="2">
        <v>44246</v>
      </c>
      <c r="D3756" t="s">
        <v>137</v>
      </c>
      <c r="E3756" t="s">
        <v>209</v>
      </c>
      <c r="F3756" t="s">
        <v>218</v>
      </c>
      <c r="G3756" t="s">
        <v>27</v>
      </c>
      <c r="H3756" s="3">
        <v>0.5</v>
      </c>
      <c r="I3756">
        <v>6000</v>
      </c>
      <c r="J3756" s="4">
        <v>3000</v>
      </c>
      <c r="K3756" s="4">
        <v>1200</v>
      </c>
      <c r="L3756" s="5">
        <v>0.4</v>
      </c>
      <c r="M3756" t="s">
        <v>126</v>
      </c>
      <c r="N3756" t="s">
        <v>361</v>
      </c>
    </row>
    <row r="3757" spans="1:14">
      <c r="A3757" t="s">
        <v>29</v>
      </c>
      <c r="B3757">
        <v>1185732</v>
      </c>
      <c r="C3757" s="2">
        <v>44246</v>
      </c>
      <c r="D3757" t="s">
        <v>137</v>
      </c>
      <c r="E3757" t="s">
        <v>209</v>
      </c>
      <c r="F3757" t="s">
        <v>218</v>
      </c>
      <c r="G3757" t="s">
        <v>145</v>
      </c>
      <c r="H3757" s="3">
        <v>0.5</v>
      </c>
      <c r="I3757">
        <v>2500</v>
      </c>
      <c r="J3757" s="4">
        <v>1250</v>
      </c>
      <c r="K3757" s="4">
        <v>500</v>
      </c>
      <c r="L3757" s="5">
        <v>0.4</v>
      </c>
      <c r="M3757" t="s">
        <v>126</v>
      </c>
      <c r="N3757" t="s">
        <v>361</v>
      </c>
    </row>
    <row r="3758" spans="1:14">
      <c r="A3758" t="s">
        <v>29</v>
      </c>
      <c r="B3758">
        <v>1185732</v>
      </c>
      <c r="C3758" s="2">
        <v>44246</v>
      </c>
      <c r="D3758" t="s">
        <v>137</v>
      </c>
      <c r="E3758" t="s">
        <v>209</v>
      </c>
      <c r="F3758" t="s">
        <v>218</v>
      </c>
      <c r="G3758" t="s">
        <v>146</v>
      </c>
      <c r="H3758" s="3">
        <v>0.4</v>
      </c>
      <c r="I3758">
        <v>3000</v>
      </c>
      <c r="J3758" s="4">
        <v>1200</v>
      </c>
      <c r="K3758" s="4">
        <v>360</v>
      </c>
      <c r="L3758" s="5">
        <v>0.3</v>
      </c>
      <c r="M3758" t="s">
        <v>126</v>
      </c>
      <c r="N3758" t="s">
        <v>361</v>
      </c>
    </row>
    <row r="3759" spans="1:14">
      <c r="A3759" t="s">
        <v>29</v>
      </c>
      <c r="B3759">
        <v>1185732</v>
      </c>
      <c r="C3759" s="2">
        <v>44246</v>
      </c>
      <c r="D3759" t="s">
        <v>137</v>
      </c>
      <c r="E3759" t="s">
        <v>209</v>
      </c>
      <c r="F3759" t="s">
        <v>218</v>
      </c>
      <c r="G3759" t="s">
        <v>148</v>
      </c>
      <c r="H3759" s="3">
        <v>0.44999999999999996</v>
      </c>
      <c r="I3759">
        <v>2000</v>
      </c>
      <c r="J3759" s="4">
        <v>899.99999999999989</v>
      </c>
      <c r="K3759" s="4">
        <v>269.99999999999994</v>
      </c>
      <c r="L3759" s="5">
        <v>0.3</v>
      </c>
      <c r="M3759" t="s">
        <v>126</v>
      </c>
      <c r="N3759" t="s">
        <v>361</v>
      </c>
    </row>
    <row r="3760" spans="1:14">
      <c r="A3760" t="s">
        <v>29</v>
      </c>
      <c r="B3760">
        <v>1185732</v>
      </c>
      <c r="C3760" s="2">
        <v>44246</v>
      </c>
      <c r="D3760" t="s">
        <v>137</v>
      </c>
      <c r="E3760" t="s">
        <v>209</v>
      </c>
      <c r="F3760" t="s">
        <v>218</v>
      </c>
      <c r="G3760" t="s">
        <v>147</v>
      </c>
      <c r="H3760" s="3">
        <v>0.60000000000000009</v>
      </c>
      <c r="I3760">
        <v>2750</v>
      </c>
      <c r="J3760" s="4">
        <v>1650.0000000000002</v>
      </c>
      <c r="K3760" s="4">
        <v>495.00000000000006</v>
      </c>
      <c r="L3760" s="5">
        <v>0.3</v>
      </c>
      <c r="M3760" t="s">
        <v>126</v>
      </c>
      <c r="N3760" t="s">
        <v>361</v>
      </c>
    </row>
    <row r="3761" spans="1:14">
      <c r="A3761" t="s">
        <v>29</v>
      </c>
      <c r="B3761">
        <v>1185732</v>
      </c>
      <c r="C3761" s="2">
        <v>44246</v>
      </c>
      <c r="D3761" t="s">
        <v>137</v>
      </c>
      <c r="E3761" t="s">
        <v>209</v>
      </c>
      <c r="F3761" t="s">
        <v>218</v>
      </c>
      <c r="G3761" t="s">
        <v>144</v>
      </c>
      <c r="H3761" s="3">
        <v>0.5</v>
      </c>
      <c r="I3761">
        <v>3750</v>
      </c>
      <c r="J3761" s="4">
        <v>1875</v>
      </c>
      <c r="K3761" s="4">
        <v>656.25</v>
      </c>
      <c r="L3761" s="5">
        <v>0.35</v>
      </c>
      <c r="M3761" t="s">
        <v>126</v>
      </c>
      <c r="N3761" t="s">
        <v>361</v>
      </c>
    </row>
    <row r="3762" spans="1:14">
      <c r="A3762" t="s">
        <v>29</v>
      </c>
      <c r="B3762">
        <v>1185732</v>
      </c>
      <c r="C3762" s="2">
        <v>44272</v>
      </c>
      <c r="D3762" t="s">
        <v>137</v>
      </c>
      <c r="E3762" t="s">
        <v>209</v>
      </c>
      <c r="F3762" t="s">
        <v>218</v>
      </c>
      <c r="G3762" t="s">
        <v>27</v>
      </c>
      <c r="H3762" s="3">
        <v>0.5</v>
      </c>
      <c r="I3762">
        <v>5700</v>
      </c>
      <c r="J3762" s="4">
        <v>2850</v>
      </c>
      <c r="K3762" s="4">
        <v>1140</v>
      </c>
      <c r="L3762" s="5">
        <v>0.4</v>
      </c>
      <c r="M3762" t="s">
        <v>24</v>
      </c>
      <c r="N3762" t="s">
        <v>361</v>
      </c>
    </row>
    <row r="3763" spans="1:14">
      <c r="A3763" t="s">
        <v>29</v>
      </c>
      <c r="B3763">
        <v>1185732</v>
      </c>
      <c r="C3763" s="2">
        <v>44272</v>
      </c>
      <c r="D3763" t="s">
        <v>137</v>
      </c>
      <c r="E3763" t="s">
        <v>209</v>
      </c>
      <c r="F3763" t="s">
        <v>218</v>
      </c>
      <c r="G3763" t="s">
        <v>145</v>
      </c>
      <c r="H3763" s="3">
        <v>0.5</v>
      </c>
      <c r="I3763">
        <v>2750</v>
      </c>
      <c r="J3763" s="4">
        <v>1375</v>
      </c>
      <c r="K3763" s="4">
        <v>550</v>
      </c>
      <c r="L3763" s="5">
        <v>0.4</v>
      </c>
      <c r="M3763" t="s">
        <v>24</v>
      </c>
      <c r="N3763" t="s">
        <v>361</v>
      </c>
    </row>
    <row r="3764" spans="1:14">
      <c r="A3764" t="s">
        <v>29</v>
      </c>
      <c r="B3764">
        <v>1185732</v>
      </c>
      <c r="C3764" s="2">
        <v>44272</v>
      </c>
      <c r="D3764" t="s">
        <v>137</v>
      </c>
      <c r="E3764" t="s">
        <v>209</v>
      </c>
      <c r="F3764" t="s">
        <v>218</v>
      </c>
      <c r="G3764" t="s">
        <v>146</v>
      </c>
      <c r="H3764" s="3">
        <v>0.4</v>
      </c>
      <c r="I3764">
        <v>3000</v>
      </c>
      <c r="J3764" s="4">
        <v>1200</v>
      </c>
      <c r="K3764" s="4">
        <v>360</v>
      </c>
      <c r="L3764" s="5">
        <v>0.3</v>
      </c>
      <c r="M3764" t="s">
        <v>24</v>
      </c>
      <c r="N3764" t="s">
        <v>361</v>
      </c>
    </row>
    <row r="3765" spans="1:14">
      <c r="A3765" t="s">
        <v>29</v>
      </c>
      <c r="B3765">
        <v>1185732</v>
      </c>
      <c r="C3765" s="2">
        <v>44272</v>
      </c>
      <c r="D3765" t="s">
        <v>137</v>
      </c>
      <c r="E3765" t="s">
        <v>209</v>
      </c>
      <c r="F3765" t="s">
        <v>218</v>
      </c>
      <c r="G3765" t="s">
        <v>148</v>
      </c>
      <c r="H3765" s="3">
        <v>0.44999999999999996</v>
      </c>
      <c r="I3765">
        <v>1500</v>
      </c>
      <c r="J3765" s="4">
        <v>674.99999999999989</v>
      </c>
      <c r="K3765" s="4">
        <v>202.49999999999997</v>
      </c>
      <c r="L3765" s="5">
        <v>0.3</v>
      </c>
      <c r="M3765" t="s">
        <v>24</v>
      </c>
      <c r="N3765" t="s">
        <v>361</v>
      </c>
    </row>
    <row r="3766" spans="1:14">
      <c r="A3766" t="s">
        <v>29</v>
      </c>
      <c r="B3766">
        <v>1185732</v>
      </c>
      <c r="C3766" s="2">
        <v>44272</v>
      </c>
      <c r="D3766" t="s">
        <v>137</v>
      </c>
      <c r="E3766" t="s">
        <v>209</v>
      </c>
      <c r="F3766" t="s">
        <v>218</v>
      </c>
      <c r="G3766" t="s">
        <v>147</v>
      </c>
      <c r="H3766" s="3">
        <v>0.60000000000000009</v>
      </c>
      <c r="I3766">
        <v>2000</v>
      </c>
      <c r="J3766" s="4">
        <v>1200.0000000000002</v>
      </c>
      <c r="K3766" s="4">
        <v>360.00000000000006</v>
      </c>
      <c r="L3766" s="5">
        <v>0.3</v>
      </c>
      <c r="M3766" t="s">
        <v>24</v>
      </c>
      <c r="N3766" t="s">
        <v>361</v>
      </c>
    </row>
    <row r="3767" spans="1:14">
      <c r="A3767" t="s">
        <v>29</v>
      </c>
      <c r="B3767">
        <v>1185732</v>
      </c>
      <c r="C3767" s="2">
        <v>44272</v>
      </c>
      <c r="D3767" t="s">
        <v>137</v>
      </c>
      <c r="E3767" t="s">
        <v>209</v>
      </c>
      <c r="F3767" t="s">
        <v>218</v>
      </c>
      <c r="G3767" t="s">
        <v>144</v>
      </c>
      <c r="H3767" s="3">
        <v>0.5</v>
      </c>
      <c r="I3767">
        <v>3000</v>
      </c>
      <c r="J3767" s="4">
        <v>1500</v>
      </c>
      <c r="K3767" s="4">
        <v>525</v>
      </c>
      <c r="L3767" s="5">
        <v>0.35</v>
      </c>
      <c r="M3767" t="s">
        <v>24</v>
      </c>
      <c r="N3767" t="s">
        <v>361</v>
      </c>
    </row>
    <row r="3768" spans="1:14">
      <c r="A3768" t="s">
        <v>29</v>
      </c>
      <c r="B3768">
        <v>1185732</v>
      </c>
      <c r="C3768" s="2">
        <v>44304</v>
      </c>
      <c r="D3768" t="s">
        <v>137</v>
      </c>
      <c r="E3768" t="s">
        <v>209</v>
      </c>
      <c r="F3768" t="s">
        <v>218</v>
      </c>
      <c r="G3768" t="s">
        <v>27</v>
      </c>
      <c r="H3768" s="3">
        <v>0.5</v>
      </c>
      <c r="I3768">
        <v>5500</v>
      </c>
      <c r="J3768" s="4">
        <v>2750</v>
      </c>
      <c r="K3768" s="4">
        <v>1100</v>
      </c>
      <c r="L3768" s="5">
        <v>0.4</v>
      </c>
      <c r="M3768" t="s">
        <v>127</v>
      </c>
      <c r="N3768" t="s">
        <v>362</v>
      </c>
    </row>
    <row r="3769" spans="1:14">
      <c r="A3769" t="s">
        <v>29</v>
      </c>
      <c r="B3769">
        <v>1185732</v>
      </c>
      <c r="C3769" s="2">
        <v>44304</v>
      </c>
      <c r="D3769" t="s">
        <v>137</v>
      </c>
      <c r="E3769" t="s">
        <v>209</v>
      </c>
      <c r="F3769" t="s">
        <v>218</v>
      </c>
      <c r="G3769" t="s">
        <v>145</v>
      </c>
      <c r="H3769" s="3">
        <v>0.5</v>
      </c>
      <c r="I3769">
        <v>2500</v>
      </c>
      <c r="J3769" s="4">
        <v>1250</v>
      </c>
      <c r="K3769" s="4">
        <v>500</v>
      </c>
      <c r="L3769" s="5">
        <v>0.4</v>
      </c>
      <c r="M3769" t="s">
        <v>127</v>
      </c>
      <c r="N3769" t="s">
        <v>362</v>
      </c>
    </row>
    <row r="3770" spans="1:14">
      <c r="A3770" t="s">
        <v>29</v>
      </c>
      <c r="B3770">
        <v>1185732</v>
      </c>
      <c r="C3770" s="2">
        <v>44304</v>
      </c>
      <c r="D3770" t="s">
        <v>137</v>
      </c>
      <c r="E3770" t="s">
        <v>209</v>
      </c>
      <c r="F3770" t="s">
        <v>218</v>
      </c>
      <c r="G3770" t="s">
        <v>146</v>
      </c>
      <c r="H3770" s="3">
        <v>0.4</v>
      </c>
      <c r="I3770">
        <v>2500</v>
      </c>
      <c r="J3770" s="4">
        <v>1000</v>
      </c>
      <c r="K3770" s="4">
        <v>300</v>
      </c>
      <c r="L3770" s="5">
        <v>0.3</v>
      </c>
      <c r="M3770" t="s">
        <v>127</v>
      </c>
      <c r="N3770" t="s">
        <v>362</v>
      </c>
    </row>
    <row r="3771" spans="1:14">
      <c r="A3771" t="s">
        <v>29</v>
      </c>
      <c r="B3771">
        <v>1185732</v>
      </c>
      <c r="C3771" s="2">
        <v>44304</v>
      </c>
      <c r="D3771" t="s">
        <v>137</v>
      </c>
      <c r="E3771" t="s">
        <v>209</v>
      </c>
      <c r="F3771" t="s">
        <v>218</v>
      </c>
      <c r="G3771" t="s">
        <v>148</v>
      </c>
      <c r="H3771" s="3">
        <v>0.44999999999999996</v>
      </c>
      <c r="I3771">
        <v>1750</v>
      </c>
      <c r="J3771" s="4">
        <v>787.49999999999989</v>
      </c>
      <c r="K3771" s="4">
        <v>236.24999999999994</v>
      </c>
      <c r="L3771" s="5">
        <v>0.3</v>
      </c>
      <c r="M3771" t="s">
        <v>127</v>
      </c>
      <c r="N3771" t="s">
        <v>362</v>
      </c>
    </row>
    <row r="3772" spans="1:14">
      <c r="A3772" t="s">
        <v>29</v>
      </c>
      <c r="B3772">
        <v>1185732</v>
      </c>
      <c r="C3772" s="2">
        <v>44304</v>
      </c>
      <c r="D3772" t="s">
        <v>137</v>
      </c>
      <c r="E3772" t="s">
        <v>209</v>
      </c>
      <c r="F3772" t="s">
        <v>218</v>
      </c>
      <c r="G3772" t="s">
        <v>147</v>
      </c>
      <c r="H3772" s="3">
        <v>0.60000000000000009</v>
      </c>
      <c r="I3772">
        <v>1750</v>
      </c>
      <c r="J3772" s="4">
        <v>1050.0000000000002</v>
      </c>
      <c r="K3772" s="4">
        <v>315.00000000000006</v>
      </c>
      <c r="L3772" s="5">
        <v>0.3</v>
      </c>
      <c r="M3772" t="s">
        <v>127</v>
      </c>
      <c r="N3772" t="s">
        <v>362</v>
      </c>
    </row>
    <row r="3773" spans="1:14">
      <c r="A3773" t="s">
        <v>29</v>
      </c>
      <c r="B3773">
        <v>1185732</v>
      </c>
      <c r="C3773" s="2">
        <v>44304</v>
      </c>
      <c r="D3773" t="s">
        <v>137</v>
      </c>
      <c r="E3773" t="s">
        <v>209</v>
      </c>
      <c r="F3773" t="s">
        <v>218</v>
      </c>
      <c r="G3773" t="s">
        <v>144</v>
      </c>
      <c r="H3773" s="3">
        <v>0.5</v>
      </c>
      <c r="I3773">
        <v>3250</v>
      </c>
      <c r="J3773" s="4">
        <v>1625</v>
      </c>
      <c r="K3773" s="4">
        <v>568.75</v>
      </c>
      <c r="L3773" s="5">
        <v>0.35</v>
      </c>
      <c r="M3773" t="s">
        <v>127</v>
      </c>
      <c r="N3773" t="s">
        <v>362</v>
      </c>
    </row>
    <row r="3774" spans="1:14">
      <c r="A3774" t="s">
        <v>29</v>
      </c>
      <c r="B3774">
        <v>1185732</v>
      </c>
      <c r="C3774" s="2">
        <v>44333</v>
      </c>
      <c r="D3774" t="s">
        <v>137</v>
      </c>
      <c r="E3774" t="s">
        <v>209</v>
      </c>
      <c r="F3774" t="s">
        <v>218</v>
      </c>
      <c r="G3774" t="s">
        <v>27</v>
      </c>
      <c r="H3774" s="3">
        <v>0.65</v>
      </c>
      <c r="I3774">
        <v>5950</v>
      </c>
      <c r="J3774" s="4">
        <v>3867.5</v>
      </c>
      <c r="K3774" s="4">
        <v>1547</v>
      </c>
      <c r="L3774" s="5">
        <v>0.4</v>
      </c>
      <c r="M3774" t="s">
        <v>128</v>
      </c>
      <c r="N3774" t="s">
        <v>362</v>
      </c>
    </row>
    <row r="3775" spans="1:14">
      <c r="A3775" t="s">
        <v>29</v>
      </c>
      <c r="B3775">
        <v>1185732</v>
      </c>
      <c r="C3775" s="2">
        <v>44333</v>
      </c>
      <c r="D3775" t="s">
        <v>137</v>
      </c>
      <c r="E3775" t="s">
        <v>209</v>
      </c>
      <c r="F3775" t="s">
        <v>218</v>
      </c>
      <c r="G3775" t="s">
        <v>145</v>
      </c>
      <c r="H3775" s="3">
        <v>0.60000000000000009</v>
      </c>
      <c r="I3775">
        <v>3000</v>
      </c>
      <c r="J3775" s="4">
        <v>1800.0000000000002</v>
      </c>
      <c r="K3775" s="4">
        <v>720.00000000000011</v>
      </c>
      <c r="L3775" s="5">
        <v>0.4</v>
      </c>
      <c r="M3775" t="s">
        <v>128</v>
      </c>
      <c r="N3775" t="s">
        <v>362</v>
      </c>
    </row>
    <row r="3776" spans="1:14">
      <c r="A3776" t="s">
        <v>29</v>
      </c>
      <c r="B3776">
        <v>1185732</v>
      </c>
      <c r="C3776" s="2">
        <v>44333</v>
      </c>
      <c r="D3776" t="s">
        <v>137</v>
      </c>
      <c r="E3776" t="s">
        <v>209</v>
      </c>
      <c r="F3776" t="s">
        <v>218</v>
      </c>
      <c r="G3776" t="s">
        <v>146</v>
      </c>
      <c r="H3776" s="3">
        <v>0.55000000000000004</v>
      </c>
      <c r="I3776">
        <v>3250</v>
      </c>
      <c r="J3776" s="4">
        <v>1787.5000000000002</v>
      </c>
      <c r="K3776" s="4">
        <v>536.25</v>
      </c>
      <c r="L3776" s="5">
        <v>0.3</v>
      </c>
      <c r="M3776" t="s">
        <v>128</v>
      </c>
      <c r="N3776" t="s">
        <v>362</v>
      </c>
    </row>
    <row r="3777" spans="1:14">
      <c r="A3777" t="s">
        <v>29</v>
      </c>
      <c r="B3777">
        <v>1185732</v>
      </c>
      <c r="C3777" s="2">
        <v>44333</v>
      </c>
      <c r="D3777" t="s">
        <v>137</v>
      </c>
      <c r="E3777" t="s">
        <v>209</v>
      </c>
      <c r="F3777" t="s">
        <v>218</v>
      </c>
      <c r="G3777" t="s">
        <v>148</v>
      </c>
      <c r="H3777" s="3">
        <v>0.55000000000000004</v>
      </c>
      <c r="I3777">
        <v>2750</v>
      </c>
      <c r="J3777" s="4">
        <v>1512.5000000000002</v>
      </c>
      <c r="K3777" s="4">
        <v>453.75000000000006</v>
      </c>
      <c r="L3777" s="5">
        <v>0.3</v>
      </c>
      <c r="M3777" t="s">
        <v>128</v>
      </c>
      <c r="N3777" t="s">
        <v>362</v>
      </c>
    </row>
    <row r="3778" spans="1:14">
      <c r="A3778" t="s">
        <v>29</v>
      </c>
      <c r="B3778">
        <v>1185732</v>
      </c>
      <c r="C3778" s="2">
        <v>44333</v>
      </c>
      <c r="D3778" t="s">
        <v>137</v>
      </c>
      <c r="E3778" t="s">
        <v>209</v>
      </c>
      <c r="F3778" t="s">
        <v>218</v>
      </c>
      <c r="G3778" t="s">
        <v>147</v>
      </c>
      <c r="H3778" s="3">
        <v>0.65</v>
      </c>
      <c r="I3778">
        <v>3000</v>
      </c>
      <c r="J3778" s="4">
        <v>1950</v>
      </c>
      <c r="K3778" s="4">
        <v>585</v>
      </c>
      <c r="L3778" s="5">
        <v>0.3</v>
      </c>
      <c r="M3778" t="s">
        <v>128</v>
      </c>
      <c r="N3778" t="s">
        <v>362</v>
      </c>
    </row>
    <row r="3779" spans="1:14">
      <c r="A3779" t="s">
        <v>29</v>
      </c>
      <c r="B3779">
        <v>1185732</v>
      </c>
      <c r="C3779" s="2">
        <v>44333</v>
      </c>
      <c r="D3779" t="s">
        <v>137</v>
      </c>
      <c r="E3779" t="s">
        <v>209</v>
      </c>
      <c r="F3779" t="s">
        <v>218</v>
      </c>
      <c r="G3779" t="s">
        <v>144</v>
      </c>
      <c r="H3779" s="3">
        <v>0.70000000000000007</v>
      </c>
      <c r="I3779">
        <v>4250</v>
      </c>
      <c r="J3779" s="4">
        <v>2975.0000000000005</v>
      </c>
      <c r="K3779" s="4">
        <v>1041.25</v>
      </c>
      <c r="L3779" s="5">
        <v>0.35</v>
      </c>
      <c r="M3779" t="s">
        <v>128</v>
      </c>
      <c r="N3779" t="s">
        <v>362</v>
      </c>
    </row>
    <row r="3780" spans="1:14">
      <c r="A3780" t="s">
        <v>29</v>
      </c>
      <c r="B3780">
        <v>1185732</v>
      </c>
      <c r="C3780" s="2">
        <v>44366</v>
      </c>
      <c r="D3780" t="s">
        <v>137</v>
      </c>
      <c r="E3780" t="s">
        <v>209</v>
      </c>
      <c r="F3780" t="s">
        <v>218</v>
      </c>
      <c r="G3780" t="s">
        <v>27</v>
      </c>
      <c r="H3780" s="3">
        <v>0.65</v>
      </c>
      <c r="I3780">
        <v>6750</v>
      </c>
      <c r="J3780" s="4">
        <v>4387.5</v>
      </c>
      <c r="K3780" s="4">
        <v>1755</v>
      </c>
      <c r="L3780" s="5">
        <v>0.4</v>
      </c>
      <c r="M3780" t="s">
        <v>129</v>
      </c>
      <c r="N3780" t="s">
        <v>362</v>
      </c>
    </row>
    <row r="3781" spans="1:14">
      <c r="A3781" t="s">
        <v>29</v>
      </c>
      <c r="B3781">
        <v>1185732</v>
      </c>
      <c r="C3781" s="2">
        <v>44366</v>
      </c>
      <c r="D3781" t="s">
        <v>137</v>
      </c>
      <c r="E3781" t="s">
        <v>209</v>
      </c>
      <c r="F3781" t="s">
        <v>218</v>
      </c>
      <c r="G3781" t="s">
        <v>145</v>
      </c>
      <c r="H3781" s="3">
        <v>0.60000000000000009</v>
      </c>
      <c r="I3781">
        <v>4250</v>
      </c>
      <c r="J3781" s="4">
        <v>2550.0000000000005</v>
      </c>
      <c r="K3781" s="4">
        <v>1020.0000000000002</v>
      </c>
      <c r="L3781" s="5">
        <v>0.4</v>
      </c>
      <c r="M3781" t="s">
        <v>129</v>
      </c>
      <c r="N3781" t="s">
        <v>362</v>
      </c>
    </row>
    <row r="3782" spans="1:14">
      <c r="A3782" t="s">
        <v>29</v>
      </c>
      <c r="B3782">
        <v>1185732</v>
      </c>
      <c r="C3782" s="2">
        <v>44366</v>
      </c>
      <c r="D3782" t="s">
        <v>137</v>
      </c>
      <c r="E3782" t="s">
        <v>209</v>
      </c>
      <c r="F3782" t="s">
        <v>218</v>
      </c>
      <c r="G3782" t="s">
        <v>146</v>
      </c>
      <c r="H3782" s="3">
        <v>0.55000000000000004</v>
      </c>
      <c r="I3782">
        <v>3500</v>
      </c>
      <c r="J3782" s="4">
        <v>1925.0000000000002</v>
      </c>
      <c r="K3782" s="4">
        <v>577.5</v>
      </c>
      <c r="L3782" s="5">
        <v>0.3</v>
      </c>
      <c r="M3782" t="s">
        <v>129</v>
      </c>
      <c r="N3782" t="s">
        <v>362</v>
      </c>
    </row>
    <row r="3783" spans="1:14">
      <c r="A3783" t="s">
        <v>29</v>
      </c>
      <c r="B3783">
        <v>1185732</v>
      </c>
      <c r="C3783" s="2">
        <v>44366</v>
      </c>
      <c r="D3783" t="s">
        <v>137</v>
      </c>
      <c r="E3783" t="s">
        <v>209</v>
      </c>
      <c r="F3783" t="s">
        <v>218</v>
      </c>
      <c r="G3783" t="s">
        <v>148</v>
      </c>
      <c r="H3783" s="3">
        <v>0.55000000000000004</v>
      </c>
      <c r="I3783">
        <v>3250</v>
      </c>
      <c r="J3783" s="4">
        <v>1787.5000000000002</v>
      </c>
      <c r="K3783" s="4">
        <v>536.25</v>
      </c>
      <c r="L3783" s="5">
        <v>0.3</v>
      </c>
      <c r="M3783" t="s">
        <v>129</v>
      </c>
      <c r="N3783" t="s">
        <v>362</v>
      </c>
    </row>
    <row r="3784" spans="1:14">
      <c r="A3784" t="s">
        <v>29</v>
      </c>
      <c r="B3784">
        <v>1185732</v>
      </c>
      <c r="C3784" s="2">
        <v>44366</v>
      </c>
      <c r="D3784" t="s">
        <v>137</v>
      </c>
      <c r="E3784" t="s">
        <v>209</v>
      </c>
      <c r="F3784" t="s">
        <v>218</v>
      </c>
      <c r="G3784" t="s">
        <v>147</v>
      </c>
      <c r="H3784" s="3">
        <v>0.65</v>
      </c>
      <c r="I3784">
        <v>3250</v>
      </c>
      <c r="J3784" s="4">
        <v>2112.5</v>
      </c>
      <c r="K3784" s="4">
        <v>633.75</v>
      </c>
      <c r="L3784" s="5">
        <v>0.3</v>
      </c>
      <c r="M3784" t="s">
        <v>129</v>
      </c>
      <c r="N3784" t="s">
        <v>362</v>
      </c>
    </row>
    <row r="3785" spans="1:14">
      <c r="A3785" t="s">
        <v>29</v>
      </c>
      <c r="B3785">
        <v>1185732</v>
      </c>
      <c r="C3785" s="2">
        <v>44366</v>
      </c>
      <c r="D3785" t="s">
        <v>137</v>
      </c>
      <c r="E3785" t="s">
        <v>209</v>
      </c>
      <c r="F3785" t="s">
        <v>218</v>
      </c>
      <c r="G3785" t="s">
        <v>144</v>
      </c>
      <c r="H3785" s="3">
        <v>0.70000000000000007</v>
      </c>
      <c r="I3785">
        <v>4750</v>
      </c>
      <c r="J3785" s="4">
        <v>3325.0000000000005</v>
      </c>
      <c r="K3785" s="4">
        <v>1163.75</v>
      </c>
      <c r="L3785" s="5">
        <v>0.35</v>
      </c>
      <c r="M3785" t="s">
        <v>129</v>
      </c>
      <c r="N3785" t="s">
        <v>362</v>
      </c>
    </row>
    <row r="3786" spans="1:14">
      <c r="A3786" t="s">
        <v>29</v>
      </c>
      <c r="B3786">
        <v>1185732</v>
      </c>
      <c r="C3786" s="2">
        <v>44394</v>
      </c>
      <c r="D3786" t="s">
        <v>137</v>
      </c>
      <c r="E3786" t="s">
        <v>209</v>
      </c>
      <c r="F3786" t="s">
        <v>218</v>
      </c>
      <c r="G3786" t="s">
        <v>27</v>
      </c>
      <c r="H3786" s="3">
        <v>0.65</v>
      </c>
      <c r="I3786">
        <v>7000</v>
      </c>
      <c r="J3786" s="4">
        <v>4550</v>
      </c>
      <c r="K3786" s="4">
        <v>1820</v>
      </c>
      <c r="L3786" s="5">
        <v>0.4</v>
      </c>
      <c r="M3786" t="s">
        <v>130</v>
      </c>
      <c r="N3786" t="s">
        <v>363</v>
      </c>
    </row>
    <row r="3787" spans="1:14">
      <c r="A3787" t="s">
        <v>29</v>
      </c>
      <c r="B3787">
        <v>1185732</v>
      </c>
      <c r="C3787" s="2">
        <v>44394</v>
      </c>
      <c r="D3787" t="s">
        <v>137</v>
      </c>
      <c r="E3787" t="s">
        <v>209</v>
      </c>
      <c r="F3787" t="s">
        <v>218</v>
      </c>
      <c r="G3787" t="s">
        <v>145</v>
      </c>
      <c r="H3787" s="3">
        <v>0.60000000000000009</v>
      </c>
      <c r="I3787">
        <v>4500</v>
      </c>
      <c r="J3787" s="4">
        <v>2700.0000000000005</v>
      </c>
      <c r="K3787" s="4">
        <v>1080.0000000000002</v>
      </c>
      <c r="L3787" s="5">
        <v>0.4</v>
      </c>
      <c r="M3787" t="s">
        <v>130</v>
      </c>
      <c r="N3787" t="s">
        <v>363</v>
      </c>
    </row>
    <row r="3788" spans="1:14">
      <c r="A3788" t="s">
        <v>29</v>
      </c>
      <c r="B3788">
        <v>1185732</v>
      </c>
      <c r="C3788" s="2">
        <v>44394</v>
      </c>
      <c r="D3788" t="s">
        <v>137</v>
      </c>
      <c r="E3788" t="s">
        <v>209</v>
      </c>
      <c r="F3788" t="s">
        <v>218</v>
      </c>
      <c r="G3788" t="s">
        <v>146</v>
      </c>
      <c r="H3788" s="3">
        <v>0.55000000000000004</v>
      </c>
      <c r="I3788">
        <v>3750</v>
      </c>
      <c r="J3788" s="4">
        <v>2062.5</v>
      </c>
      <c r="K3788" s="4">
        <v>618.75</v>
      </c>
      <c r="L3788" s="5">
        <v>0.3</v>
      </c>
      <c r="M3788" t="s">
        <v>130</v>
      </c>
      <c r="N3788" t="s">
        <v>363</v>
      </c>
    </row>
    <row r="3789" spans="1:14">
      <c r="A3789" t="s">
        <v>29</v>
      </c>
      <c r="B3789">
        <v>1185732</v>
      </c>
      <c r="C3789" s="2">
        <v>44394</v>
      </c>
      <c r="D3789" t="s">
        <v>137</v>
      </c>
      <c r="E3789" t="s">
        <v>209</v>
      </c>
      <c r="F3789" t="s">
        <v>218</v>
      </c>
      <c r="G3789" t="s">
        <v>148</v>
      </c>
      <c r="H3789" s="3">
        <v>0.55000000000000004</v>
      </c>
      <c r="I3789">
        <v>3250</v>
      </c>
      <c r="J3789" s="4">
        <v>1787.5000000000002</v>
      </c>
      <c r="K3789" s="4">
        <v>536.25</v>
      </c>
      <c r="L3789" s="5">
        <v>0.3</v>
      </c>
      <c r="M3789" t="s">
        <v>130</v>
      </c>
      <c r="N3789" t="s">
        <v>363</v>
      </c>
    </row>
    <row r="3790" spans="1:14">
      <c r="A3790" t="s">
        <v>29</v>
      </c>
      <c r="B3790">
        <v>1185732</v>
      </c>
      <c r="C3790" s="2">
        <v>44394</v>
      </c>
      <c r="D3790" t="s">
        <v>137</v>
      </c>
      <c r="E3790" t="s">
        <v>209</v>
      </c>
      <c r="F3790" t="s">
        <v>218</v>
      </c>
      <c r="G3790" t="s">
        <v>147</v>
      </c>
      <c r="H3790" s="3">
        <v>0.65</v>
      </c>
      <c r="I3790">
        <v>3500</v>
      </c>
      <c r="J3790" s="4">
        <v>2275</v>
      </c>
      <c r="K3790" s="4">
        <v>682.5</v>
      </c>
      <c r="L3790" s="5">
        <v>0.3</v>
      </c>
      <c r="M3790" t="s">
        <v>130</v>
      </c>
      <c r="N3790" t="s">
        <v>363</v>
      </c>
    </row>
    <row r="3791" spans="1:14">
      <c r="A3791" t="s">
        <v>29</v>
      </c>
      <c r="B3791">
        <v>1185732</v>
      </c>
      <c r="C3791" s="2">
        <v>44394</v>
      </c>
      <c r="D3791" t="s">
        <v>137</v>
      </c>
      <c r="E3791" t="s">
        <v>209</v>
      </c>
      <c r="F3791" t="s">
        <v>218</v>
      </c>
      <c r="G3791" t="s">
        <v>144</v>
      </c>
      <c r="H3791" s="3">
        <v>0.70000000000000007</v>
      </c>
      <c r="I3791">
        <v>5250</v>
      </c>
      <c r="J3791" s="4">
        <v>3675.0000000000005</v>
      </c>
      <c r="K3791" s="4">
        <v>1286.25</v>
      </c>
      <c r="L3791" s="5">
        <v>0.35</v>
      </c>
      <c r="M3791" t="s">
        <v>130</v>
      </c>
      <c r="N3791" t="s">
        <v>363</v>
      </c>
    </row>
    <row r="3792" spans="1:14">
      <c r="A3792" t="s">
        <v>29</v>
      </c>
      <c r="B3792">
        <v>1185732</v>
      </c>
      <c r="C3792" s="2">
        <v>44426</v>
      </c>
      <c r="D3792" t="s">
        <v>137</v>
      </c>
      <c r="E3792" t="s">
        <v>209</v>
      </c>
      <c r="F3792" t="s">
        <v>218</v>
      </c>
      <c r="G3792" t="s">
        <v>27</v>
      </c>
      <c r="H3792" s="3">
        <v>0.65</v>
      </c>
      <c r="I3792">
        <v>6750</v>
      </c>
      <c r="J3792" s="4">
        <v>4387.5</v>
      </c>
      <c r="K3792" s="4">
        <v>1755</v>
      </c>
      <c r="L3792" s="5">
        <v>0.4</v>
      </c>
      <c r="M3792" t="s">
        <v>131</v>
      </c>
      <c r="N3792" t="s">
        <v>363</v>
      </c>
    </row>
    <row r="3793" spans="1:14">
      <c r="A3793" t="s">
        <v>29</v>
      </c>
      <c r="B3793">
        <v>1185732</v>
      </c>
      <c r="C3793" s="2">
        <v>44426</v>
      </c>
      <c r="D3793" t="s">
        <v>137</v>
      </c>
      <c r="E3793" t="s">
        <v>209</v>
      </c>
      <c r="F3793" t="s">
        <v>218</v>
      </c>
      <c r="G3793" t="s">
        <v>145</v>
      </c>
      <c r="H3793" s="3">
        <v>0.60000000000000009</v>
      </c>
      <c r="I3793">
        <v>4500</v>
      </c>
      <c r="J3793" s="4">
        <v>2700.0000000000005</v>
      </c>
      <c r="K3793" s="4">
        <v>1080.0000000000002</v>
      </c>
      <c r="L3793" s="5">
        <v>0.4</v>
      </c>
      <c r="M3793" t="s">
        <v>131</v>
      </c>
      <c r="N3793" t="s">
        <v>363</v>
      </c>
    </row>
    <row r="3794" spans="1:14">
      <c r="A3794" t="s">
        <v>29</v>
      </c>
      <c r="B3794">
        <v>1185732</v>
      </c>
      <c r="C3794" s="2">
        <v>44426</v>
      </c>
      <c r="D3794" t="s">
        <v>137</v>
      </c>
      <c r="E3794" t="s">
        <v>209</v>
      </c>
      <c r="F3794" t="s">
        <v>218</v>
      </c>
      <c r="G3794" t="s">
        <v>146</v>
      </c>
      <c r="H3794" s="3">
        <v>0.55000000000000004</v>
      </c>
      <c r="I3794">
        <v>3750</v>
      </c>
      <c r="J3794" s="4">
        <v>2062.5</v>
      </c>
      <c r="K3794" s="4">
        <v>618.75</v>
      </c>
      <c r="L3794" s="5">
        <v>0.3</v>
      </c>
      <c r="M3794" t="s">
        <v>131</v>
      </c>
      <c r="N3794" t="s">
        <v>363</v>
      </c>
    </row>
    <row r="3795" spans="1:14">
      <c r="A3795" t="s">
        <v>29</v>
      </c>
      <c r="B3795">
        <v>1185732</v>
      </c>
      <c r="C3795" s="2">
        <v>44426</v>
      </c>
      <c r="D3795" t="s">
        <v>137</v>
      </c>
      <c r="E3795" t="s">
        <v>209</v>
      </c>
      <c r="F3795" t="s">
        <v>218</v>
      </c>
      <c r="G3795" t="s">
        <v>148</v>
      </c>
      <c r="H3795" s="3">
        <v>0.55000000000000004</v>
      </c>
      <c r="I3795">
        <v>2750</v>
      </c>
      <c r="J3795" s="4">
        <v>1512.5000000000002</v>
      </c>
      <c r="K3795" s="4">
        <v>453.75000000000006</v>
      </c>
      <c r="L3795" s="5">
        <v>0.3</v>
      </c>
      <c r="M3795" t="s">
        <v>131</v>
      </c>
      <c r="N3795" t="s">
        <v>363</v>
      </c>
    </row>
    <row r="3796" spans="1:14">
      <c r="A3796" t="s">
        <v>29</v>
      </c>
      <c r="B3796">
        <v>1185732</v>
      </c>
      <c r="C3796" s="2">
        <v>44426</v>
      </c>
      <c r="D3796" t="s">
        <v>137</v>
      </c>
      <c r="E3796" t="s">
        <v>209</v>
      </c>
      <c r="F3796" t="s">
        <v>218</v>
      </c>
      <c r="G3796" t="s">
        <v>147</v>
      </c>
      <c r="H3796" s="3">
        <v>0.65</v>
      </c>
      <c r="I3796">
        <v>2500</v>
      </c>
      <c r="J3796" s="4">
        <v>1625</v>
      </c>
      <c r="K3796" s="4">
        <v>487.5</v>
      </c>
      <c r="L3796" s="5">
        <v>0.3</v>
      </c>
      <c r="M3796" t="s">
        <v>131</v>
      </c>
      <c r="N3796" t="s">
        <v>363</v>
      </c>
    </row>
    <row r="3797" spans="1:14">
      <c r="A3797" t="s">
        <v>29</v>
      </c>
      <c r="B3797">
        <v>1185732</v>
      </c>
      <c r="C3797" s="2">
        <v>44426</v>
      </c>
      <c r="D3797" t="s">
        <v>137</v>
      </c>
      <c r="E3797" t="s">
        <v>209</v>
      </c>
      <c r="F3797" t="s">
        <v>218</v>
      </c>
      <c r="G3797" t="s">
        <v>144</v>
      </c>
      <c r="H3797" s="3">
        <v>0.70000000000000007</v>
      </c>
      <c r="I3797">
        <v>4250</v>
      </c>
      <c r="J3797" s="4">
        <v>2975.0000000000005</v>
      </c>
      <c r="K3797" s="4">
        <v>1041.25</v>
      </c>
      <c r="L3797" s="5">
        <v>0.35</v>
      </c>
      <c r="M3797" t="s">
        <v>131</v>
      </c>
      <c r="N3797" t="s">
        <v>363</v>
      </c>
    </row>
    <row r="3798" spans="1:14">
      <c r="A3798" t="s">
        <v>29</v>
      </c>
      <c r="B3798">
        <v>1185732</v>
      </c>
      <c r="C3798" s="2">
        <v>44456</v>
      </c>
      <c r="D3798" t="s">
        <v>137</v>
      </c>
      <c r="E3798" t="s">
        <v>209</v>
      </c>
      <c r="F3798" t="s">
        <v>218</v>
      </c>
      <c r="G3798" t="s">
        <v>27</v>
      </c>
      <c r="H3798" s="3">
        <v>0.65</v>
      </c>
      <c r="I3798">
        <v>5500</v>
      </c>
      <c r="J3798" s="4">
        <v>3575</v>
      </c>
      <c r="K3798" s="4">
        <v>1430</v>
      </c>
      <c r="L3798" s="5">
        <v>0.4</v>
      </c>
      <c r="M3798" t="s">
        <v>132</v>
      </c>
      <c r="N3798" t="s">
        <v>363</v>
      </c>
    </row>
    <row r="3799" spans="1:14">
      <c r="A3799" t="s">
        <v>29</v>
      </c>
      <c r="B3799">
        <v>1185732</v>
      </c>
      <c r="C3799" s="2">
        <v>44456</v>
      </c>
      <c r="D3799" t="s">
        <v>137</v>
      </c>
      <c r="E3799" t="s">
        <v>209</v>
      </c>
      <c r="F3799" t="s">
        <v>218</v>
      </c>
      <c r="G3799" t="s">
        <v>145</v>
      </c>
      <c r="H3799" s="3">
        <v>0.60000000000000009</v>
      </c>
      <c r="I3799">
        <v>3500</v>
      </c>
      <c r="J3799" s="4">
        <v>2100.0000000000005</v>
      </c>
      <c r="K3799" s="4">
        <v>840.00000000000023</v>
      </c>
      <c r="L3799" s="5">
        <v>0.4</v>
      </c>
      <c r="M3799" t="s">
        <v>132</v>
      </c>
      <c r="N3799" t="s">
        <v>363</v>
      </c>
    </row>
    <row r="3800" spans="1:14">
      <c r="A3800" t="s">
        <v>29</v>
      </c>
      <c r="B3800">
        <v>1185732</v>
      </c>
      <c r="C3800" s="2">
        <v>44456</v>
      </c>
      <c r="D3800" t="s">
        <v>137</v>
      </c>
      <c r="E3800" t="s">
        <v>209</v>
      </c>
      <c r="F3800" t="s">
        <v>218</v>
      </c>
      <c r="G3800" t="s">
        <v>146</v>
      </c>
      <c r="H3800" s="3">
        <v>0.55000000000000004</v>
      </c>
      <c r="I3800">
        <v>2500</v>
      </c>
      <c r="J3800" s="4">
        <v>1375</v>
      </c>
      <c r="K3800" s="4">
        <v>412.5</v>
      </c>
      <c r="L3800" s="5">
        <v>0.3</v>
      </c>
      <c r="M3800" t="s">
        <v>132</v>
      </c>
      <c r="N3800" t="s">
        <v>363</v>
      </c>
    </row>
    <row r="3801" spans="1:14">
      <c r="A3801" t="s">
        <v>29</v>
      </c>
      <c r="B3801">
        <v>1185732</v>
      </c>
      <c r="C3801" s="2">
        <v>44456</v>
      </c>
      <c r="D3801" t="s">
        <v>137</v>
      </c>
      <c r="E3801" t="s">
        <v>209</v>
      </c>
      <c r="F3801" t="s">
        <v>218</v>
      </c>
      <c r="G3801" t="s">
        <v>148</v>
      </c>
      <c r="H3801" s="3">
        <v>0.55000000000000004</v>
      </c>
      <c r="I3801">
        <v>2250</v>
      </c>
      <c r="J3801" s="4">
        <v>1237.5</v>
      </c>
      <c r="K3801" s="4">
        <v>371.25</v>
      </c>
      <c r="L3801" s="5">
        <v>0.3</v>
      </c>
      <c r="M3801" t="s">
        <v>132</v>
      </c>
      <c r="N3801" t="s">
        <v>363</v>
      </c>
    </row>
    <row r="3802" spans="1:14">
      <c r="A3802" t="s">
        <v>29</v>
      </c>
      <c r="B3802">
        <v>1185732</v>
      </c>
      <c r="C3802" s="2">
        <v>44456</v>
      </c>
      <c r="D3802" t="s">
        <v>137</v>
      </c>
      <c r="E3802" t="s">
        <v>209</v>
      </c>
      <c r="F3802" t="s">
        <v>218</v>
      </c>
      <c r="G3802" t="s">
        <v>147</v>
      </c>
      <c r="H3802" s="3">
        <v>0.65</v>
      </c>
      <c r="I3802">
        <v>2250</v>
      </c>
      <c r="J3802" s="4">
        <v>1462.5</v>
      </c>
      <c r="K3802" s="4">
        <v>438.75</v>
      </c>
      <c r="L3802" s="5">
        <v>0.3</v>
      </c>
      <c r="M3802" t="s">
        <v>132</v>
      </c>
      <c r="N3802" t="s">
        <v>363</v>
      </c>
    </row>
    <row r="3803" spans="1:14">
      <c r="A3803" t="s">
        <v>29</v>
      </c>
      <c r="B3803">
        <v>1185732</v>
      </c>
      <c r="C3803" s="2">
        <v>44456</v>
      </c>
      <c r="D3803" t="s">
        <v>137</v>
      </c>
      <c r="E3803" t="s">
        <v>209</v>
      </c>
      <c r="F3803" t="s">
        <v>218</v>
      </c>
      <c r="G3803" t="s">
        <v>144</v>
      </c>
      <c r="H3803" s="3">
        <v>0.70000000000000007</v>
      </c>
      <c r="I3803">
        <v>3250</v>
      </c>
      <c r="J3803" s="4">
        <v>2275</v>
      </c>
      <c r="K3803" s="4">
        <v>796.25</v>
      </c>
      <c r="L3803" s="5">
        <v>0.35</v>
      </c>
      <c r="M3803" t="s">
        <v>132</v>
      </c>
      <c r="N3803" t="s">
        <v>363</v>
      </c>
    </row>
    <row r="3804" spans="1:14">
      <c r="A3804" t="s">
        <v>29</v>
      </c>
      <c r="B3804">
        <v>1185732</v>
      </c>
      <c r="C3804" s="2">
        <v>44488</v>
      </c>
      <c r="D3804" t="s">
        <v>137</v>
      </c>
      <c r="E3804" t="s">
        <v>209</v>
      </c>
      <c r="F3804" t="s">
        <v>218</v>
      </c>
      <c r="G3804" t="s">
        <v>27</v>
      </c>
      <c r="H3804" s="3">
        <v>0.70000000000000007</v>
      </c>
      <c r="I3804">
        <v>4750</v>
      </c>
      <c r="J3804" s="4">
        <v>3325.0000000000005</v>
      </c>
      <c r="K3804" s="4">
        <v>1330.0000000000002</v>
      </c>
      <c r="L3804" s="5">
        <v>0.4</v>
      </c>
      <c r="M3804" t="s">
        <v>133</v>
      </c>
      <c r="N3804" t="s">
        <v>364</v>
      </c>
    </row>
    <row r="3805" spans="1:14">
      <c r="A3805" t="s">
        <v>29</v>
      </c>
      <c r="B3805">
        <v>1185732</v>
      </c>
      <c r="C3805" s="2">
        <v>44488</v>
      </c>
      <c r="D3805" t="s">
        <v>137</v>
      </c>
      <c r="E3805" t="s">
        <v>209</v>
      </c>
      <c r="F3805" t="s">
        <v>218</v>
      </c>
      <c r="G3805" t="s">
        <v>145</v>
      </c>
      <c r="H3805" s="3">
        <v>0.65000000000000013</v>
      </c>
      <c r="I3805">
        <v>3000</v>
      </c>
      <c r="J3805" s="4">
        <v>1950.0000000000005</v>
      </c>
      <c r="K3805" s="4">
        <v>780.00000000000023</v>
      </c>
      <c r="L3805" s="5">
        <v>0.4</v>
      </c>
      <c r="M3805" t="s">
        <v>133</v>
      </c>
      <c r="N3805" t="s">
        <v>364</v>
      </c>
    </row>
    <row r="3806" spans="1:14">
      <c r="A3806" t="s">
        <v>29</v>
      </c>
      <c r="B3806">
        <v>1185732</v>
      </c>
      <c r="C3806" s="2">
        <v>44488</v>
      </c>
      <c r="D3806" t="s">
        <v>137</v>
      </c>
      <c r="E3806" t="s">
        <v>209</v>
      </c>
      <c r="F3806" t="s">
        <v>218</v>
      </c>
      <c r="G3806" t="s">
        <v>146</v>
      </c>
      <c r="H3806" s="3">
        <v>0.65000000000000013</v>
      </c>
      <c r="I3806">
        <v>2000</v>
      </c>
      <c r="J3806" s="4">
        <v>1300.0000000000002</v>
      </c>
      <c r="K3806" s="4">
        <v>390.00000000000006</v>
      </c>
      <c r="L3806" s="5">
        <v>0.3</v>
      </c>
      <c r="M3806" t="s">
        <v>133</v>
      </c>
      <c r="N3806" t="s">
        <v>364</v>
      </c>
    </row>
    <row r="3807" spans="1:14">
      <c r="A3807" t="s">
        <v>29</v>
      </c>
      <c r="B3807">
        <v>1185732</v>
      </c>
      <c r="C3807" s="2">
        <v>44488</v>
      </c>
      <c r="D3807" t="s">
        <v>137</v>
      </c>
      <c r="E3807" t="s">
        <v>209</v>
      </c>
      <c r="F3807" t="s">
        <v>218</v>
      </c>
      <c r="G3807" t="s">
        <v>148</v>
      </c>
      <c r="H3807" s="3">
        <v>0.65000000000000013</v>
      </c>
      <c r="I3807">
        <v>1750</v>
      </c>
      <c r="J3807" s="4">
        <v>1137.5000000000002</v>
      </c>
      <c r="K3807" s="4">
        <v>341.25000000000006</v>
      </c>
      <c r="L3807" s="5">
        <v>0.3</v>
      </c>
      <c r="M3807" t="s">
        <v>133</v>
      </c>
      <c r="N3807" t="s">
        <v>364</v>
      </c>
    </row>
    <row r="3808" spans="1:14">
      <c r="A3808" t="s">
        <v>29</v>
      </c>
      <c r="B3808">
        <v>1185732</v>
      </c>
      <c r="C3808" s="2">
        <v>44488</v>
      </c>
      <c r="D3808" t="s">
        <v>137</v>
      </c>
      <c r="E3808" t="s">
        <v>209</v>
      </c>
      <c r="F3808" t="s">
        <v>218</v>
      </c>
      <c r="G3808" t="s">
        <v>147</v>
      </c>
      <c r="H3808" s="3">
        <v>0.75000000000000011</v>
      </c>
      <c r="I3808">
        <v>1750</v>
      </c>
      <c r="J3808" s="4">
        <v>1312.5000000000002</v>
      </c>
      <c r="K3808" s="4">
        <v>393.75000000000006</v>
      </c>
      <c r="L3808" s="5">
        <v>0.3</v>
      </c>
      <c r="M3808" t="s">
        <v>133</v>
      </c>
      <c r="N3808" t="s">
        <v>364</v>
      </c>
    </row>
    <row r="3809" spans="1:14">
      <c r="A3809" t="s">
        <v>29</v>
      </c>
      <c r="B3809">
        <v>1185732</v>
      </c>
      <c r="C3809" s="2">
        <v>44488</v>
      </c>
      <c r="D3809" t="s">
        <v>137</v>
      </c>
      <c r="E3809" t="s">
        <v>209</v>
      </c>
      <c r="F3809" t="s">
        <v>218</v>
      </c>
      <c r="G3809" t="s">
        <v>144</v>
      </c>
      <c r="H3809" s="3">
        <v>0.8</v>
      </c>
      <c r="I3809">
        <v>3000</v>
      </c>
      <c r="J3809" s="4">
        <v>2400</v>
      </c>
      <c r="K3809" s="4">
        <v>840</v>
      </c>
      <c r="L3809" s="5">
        <v>0.35</v>
      </c>
      <c r="M3809" t="s">
        <v>133</v>
      </c>
      <c r="N3809" t="s">
        <v>364</v>
      </c>
    </row>
    <row r="3810" spans="1:14">
      <c r="A3810" t="s">
        <v>29</v>
      </c>
      <c r="B3810">
        <v>1185732</v>
      </c>
      <c r="C3810" s="2">
        <v>44518</v>
      </c>
      <c r="D3810" t="s">
        <v>137</v>
      </c>
      <c r="E3810" t="s">
        <v>209</v>
      </c>
      <c r="F3810" t="s">
        <v>218</v>
      </c>
      <c r="G3810" t="s">
        <v>27</v>
      </c>
      <c r="H3810" s="3">
        <v>0.75000000000000011</v>
      </c>
      <c r="I3810">
        <v>4500</v>
      </c>
      <c r="J3810" s="4">
        <v>3375.0000000000005</v>
      </c>
      <c r="K3810" s="4">
        <v>1350.0000000000002</v>
      </c>
      <c r="L3810" s="5">
        <v>0.4</v>
      </c>
      <c r="M3810" t="s">
        <v>134</v>
      </c>
      <c r="N3810" t="s">
        <v>364</v>
      </c>
    </row>
    <row r="3811" spans="1:14">
      <c r="A3811" t="s">
        <v>29</v>
      </c>
      <c r="B3811">
        <v>1185732</v>
      </c>
      <c r="C3811" s="2">
        <v>44518</v>
      </c>
      <c r="D3811" t="s">
        <v>137</v>
      </c>
      <c r="E3811" t="s">
        <v>209</v>
      </c>
      <c r="F3811" t="s">
        <v>218</v>
      </c>
      <c r="G3811" t="s">
        <v>145</v>
      </c>
      <c r="H3811" s="3">
        <v>0.65000000000000013</v>
      </c>
      <c r="I3811">
        <v>3250</v>
      </c>
      <c r="J3811" s="4">
        <v>2112.5000000000005</v>
      </c>
      <c r="K3811" s="4">
        <v>845.00000000000023</v>
      </c>
      <c r="L3811" s="5">
        <v>0.4</v>
      </c>
      <c r="M3811" t="s">
        <v>134</v>
      </c>
      <c r="N3811" t="s">
        <v>364</v>
      </c>
    </row>
    <row r="3812" spans="1:14">
      <c r="A3812" t="s">
        <v>29</v>
      </c>
      <c r="B3812">
        <v>1185732</v>
      </c>
      <c r="C3812" s="2">
        <v>44518</v>
      </c>
      <c r="D3812" t="s">
        <v>137</v>
      </c>
      <c r="E3812" t="s">
        <v>209</v>
      </c>
      <c r="F3812" t="s">
        <v>218</v>
      </c>
      <c r="G3812" t="s">
        <v>146</v>
      </c>
      <c r="H3812" s="3">
        <v>0.65000000000000013</v>
      </c>
      <c r="I3812">
        <v>3450</v>
      </c>
      <c r="J3812" s="4">
        <v>2242.5000000000005</v>
      </c>
      <c r="K3812" s="4">
        <v>672.75000000000011</v>
      </c>
      <c r="L3812" s="5">
        <v>0.3</v>
      </c>
      <c r="M3812" t="s">
        <v>134</v>
      </c>
      <c r="N3812" t="s">
        <v>364</v>
      </c>
    </row>
    <row r="3813" spans="1:14">
      <c r="A3813" t="s">
        <v>29</v>
      </c>
      <c r="B3813">
        <v>1185732</v>
      </c>
      <c r="C3813" s="2">
        <v>44518</v>
      </c>
      <c r="D3813" t="s">
        <v>137</v>
      </c>
      <c r="E3813" t="s">
        <v>209</v>
      </c>
      <c r="F3813" t="s">
        <v>218</v>
      </c>
      <c r="G3813" t="s">
        <v>148</v>
      </c>
      <c r="H3813" s="3">
        <v>0.65000000000000013</v>
      </c>
      <c r="I3813">
        <v>3250</v>
      </c>
      <c r="J3813" s="4">
        <v>2112.5000000000005</v>
      </c>
      <c r="K3813" s="4">
        <v>633.75000000000011</v>
      </c>
      <c r="L3813" s="5">
        <v>0.3</v>
      </c>
      <c r="M3813" t="s">
        <v>134</v>
      </c>
      <c r="N3813" t="s">
        <v>364</v>
      </c>
    </row>
    <row r="3814" spans="1:14">
      <c r="A3814" t="s">
        <v>29</v>
      </c>
      <c r="B3814">
        <v>1185732</v>
      </c>
      <c r="C3814" s="2">
        <v>44518</v>
      </c>
      <c r="D3814" t="s">
        <v>137</v>
      </c>
      <c r="E3814" t="s">
        <v>209</v>
      </c>
      <c r="F3814" t="s">
        <v>218</v>
      </c>
      <c r="G3814" t="s">
        <v>147</v>
      </c>
      <c r="H3814" s="3">
        <v>0.75000000000000011</v>
      </c>
      <c r="I3814">
        <v>3000</v>
      </c>
      <c r="J3814" s="4">
        <v>2250.0000000000005</v>
      </c>
      <c r="K3814" s="4">
        <v>675.00000000000011</v>
      </c>
      <c r="L3814" s="5">
        <v>0.3</v>
      </c>
      <c r="M3814" t="s">
        <v>134</v>
      </c>
      <c r="N3814" t="s">
        <v>364</v>
      </c>
    </row>
    <row r="3815" spans="1:14">
      <c r="A3815" t="s">
        <v>29</v>
      </c>
      <c r="B3815">
        <v>1185732</v>
      </c>
      <c r="C3815" s="2">
        <v>44518</v>
      </c>
      <c r="D3815" t="s">
        <v>137</v>
      </c>
      <c r="E3815" t="s">
        <v>209</v>
      </c>
      <c r="F3815" t="s">
        <v>218</v>
      </c>
      <c r="G3815" t="s">
        <v>144</v>
      </c>
      <c r="H3815" s="3">
        <v>0.8</v>
      </c>
      <c r="I3815">
        <v>4000</v>
      </c>
      <c r="J3815" s="4">
        <v>3200</v>
      </c>
      <c r="K3815" s="4">
        <v>1120</v>
      </c>
      <c r="L3815" s="5">
        <v>0.35</v>
      </c>
      <c r="M3815" t="s">
        <v>134</v>
      </c>
      <c r="N3815" t="s">
        <v>364</v>
      </c>
    </row>
    <row r="3816" spans="1:14">
      <c r="A3816" t="s">
        <v>29</v>
      </c>
      <c r="B3816">
        <v>1185732</v>
      </c>
      <c r="C3816" s="2">
        <v>44547</v>
      </c>
      <c r="D3816" t="s">
        <v>137</v>
      </c>
      <c r="E3816" t="s">
        <v>209</v>
      </c>
      <c r="F3816" t="s">
        <v>218</v>
      </c>
      <c r="G3816" t="s">
        <v>27</v>
      </c>
      <c r="H3816" s="3">
        <v>0.75000000000000011</v>
      </c>
      <c r="I3816">
        <v>6250</v>
      </c>
      <c r="J3816" s="4">
        <v>4687.5000000000009</v>
      </c>
      <c r="K3816" s="4">
        <v>1875.0000000000005</v>
      </c>
      <c r="L3816" s="5">
        <v>0.4</v>
      </c>
      <c r="M3816" t="s">
        <v>23</v>
      </c>
      <c r="N3816" t="s">
        <v>364</v>
      </c>
    </row>
    <row r="3817" spans="1:14">
      <c r="A3817" t="s">
        <v>29</v>
      </c>
      <c r="B3817">
        <v>1185732</v>
      </c>
      <c r="C3817" s="2">
        <v>44547</v>
      </c>
      <c r="D3817" t="s">
        <v>137</v>
      </c>
      <c r="E3817" t="s">
        <v>209</v>
      </c>
      <c r="F3817" t="s">
        <v>218</v>
      </c>
      <c r="G3817" t="s">
        <v>145</v>
      </c>
      <c r="H3817" s="3">
        <v>0.65000000000000013</v>
      </c>
      <c r="I3817">
        <v>4250</v>
      </c>
      <c r="J3817" s="4">
        <v>2762.5000000000005</v>
      </c>
      <c r="K3817" s="4">
        <v>1105.0000000000002</v>
      </c>
      <c r="L3817" s="5">
        <v>0.4</v>
      </c>
      <c r="M3817" t="s">
        <v>23</v>
      </c>
      <c r="N3817" t="s">
        <v>364</v>
      </c>
    </row>
    <row r="3818" spans="1:14">
      <c r="A3818" t="s">
        <v>29</v>
      </c>
      <c r="B3818">
        <v>1185732</v>
      </c>
      <c r="C3818" s="2">
        <v>44547</v>
      </c>
      <c r="D3818" t="s">
        <v>137</v>
      </c>
      <c r="E3818" t="s">
        <v>209</v>
      </c>
      <c r="F3818" t="s">
        <v>218</v>
      </c>
      <c r="G3818" t="s">
        <v>146</v>
      </c>
      <c r="H3818" s="3">
        <v>0.65000000000000013</v>
      </c>
      <c r="I3818">
        <v>4000</v>
      </c>
      <c r="J3818" s="4">
        <v>2600.0000000000005</v>
      </c>
      <c r="K3818" s="4">
        <v>780.00000000000011</v>
      </c>
      <c r="L3818" s="5">
        <v>0.3</v>
      </c>
      <c r="M3818" t="s">
        <v>23</v>
      </c>
      <c r="N3818" t="s">
        <v>364</v>
      </c>
    </row>
    <row r="3819" spans="1:14">
      <c r="A3819" t="s">
        <v>29</v>
      </c>
      <c r="B3819">
        <v>1185732</v>
      </c>
      <c r="C3819" s="2">
        <v>44547</v>
      </c>
      <c r="D3819" t="s">
        <v>137</v>
      </c>
      <c r="E3819" t="s">
        <v>209</v>
      </c>
      <c r="F3819" t="s">
        <v>218</v>
      </c>
      <c r="G3819" t="s">
        <v>148</v>
      </c>
      <c r="H3819" s="3">
        <v>0.65000000000000013</v>
      </c>
      <c r="I3819">
        <v>3500</v>
      </c>
      <c r="J3819" s="4">
        <v>2275.0000000000005</v>
      </c>
      <c r="K3819" s="4">
        <v>682.50000000000011</v>
      </c>
      <c r="L3819" s="5">
        <v>0.3</v>
      </c>
      <c r="M3819" t="s">
        <v>23</v>
      </c>
      <c r="N3819" t="s">
        <v>364</v>
      </c>
    </row>
    <row r="3820" spans="1:14">
      <c r="A3820" t="s">
        <v>29</v>
      </c>
      <c r="B3820">
        <v>1185732</v>
      </c>
      <c r="C3820" s="2">
        <v>44547</v>
      </c>
      <c r="D3820" t="s">
        <v>137</v>
      </c>
      <c r="E3820" t="s">
        <v>209</v>
      </c>
      <c r="F3820" t="s">
        <v>218</v>
      </c>
      <c r="G3820" t="s">
        <v>147</v>
      </c>
      <c r="H3820" s="3">
        <v>0.75000000000000011</v>
      </c>
      <c r="I3820">
        <v>3500</v>
      </c>
      <c r="J3820" s="4">
        <v>2625.0000000000005</v>
      </c>
      <c r="K3820" s="4">
        <v>787.50000000000011</v>
      </c>
      <c r="L3820" s="5">
        <v>0.3</v>
      </c>
      <c r="M3820" t="s">
        <v>23</v>
      </c>
      <c r="N3820" t="s">
        <v>364</v>
      </c>
    </row>
    <row r="3821" spans="1:14">
      <c r="A3821" t="s">
        <v>29</v>
      </c>
      <c r="B3821">
        <v>1185732</v>
      </c>
      <c r="C3821" s="2">
        <v>44547</v>
      </c>
      <c r="D3821" t="s">
        <v>137</v>
      </c>
      <c r="E3821" t="s">
        <v>209</v>
      </c>
      <c r="F3821" t="s">
        <v>218</v>
      </c>
      <c r="G3821" t="s">
        <v>144</v>
      </c>
      <c r="H3821" s="3">
        <v>0.8</v>
      </c>
      <c r="I3821">
        <v>4500</v>
      </c>
      <c r="J3821" s="4">
        <v>3600</v>
      </c>
      <c r="K3821" s="4">
        <v>1260</v>
      </c>
      <c r="L3821" s="5">
        <v>0.35</v>
      </c>
      <c r="M3821" t="s">
        <v>23</v>
      </c>
      <c r="N3821" t="s">
        <v>364</v>
      </c>
    </row>
    <row r="3822" spans="1:14">
      <c r="A3822" t="s">
        <v>29</v>
      </c>
      <c r="B3822">
        <v>1185732</v>
      </c>
      <c r="C3822" s="2">
        <v>44220</v>
      </c>
      <c r="D3822" t="s">
        <v>137</v>
      </c>
      <c r="E3822" t="s">
        <v>215</v>
      </c>
      <c r="F3822" t="s">
        <v>224</v>
      </c>
      <c r="G3822" t="s">
        <v>27</v>
      </c>
      <c r="H3822" s="3">
        <v>0.55000000000000004</v>
      </c>
      <c r="I3822">
        <v>5000</v>
      </c>
      <c r="J3822" s="4">
        <v>2750</v>
      </c>
      <c r="K3822" s="4">
        <v>962.50000000000011</v>
      </c>
      <c r="L3822" s="5">
        <v>0.35000000000000003</v>
      </c>
      <c r="M3822" t="s">
        <v>125</v>
      </c>
      <c r="N3822" t="s">
        <v>361</v>
      </c>
    </row>
    <row r="3823" spans="1:14">
      <c r="A3823" t="s">
        <v>29</v>
      </c>
      <c r="B3823">
        <v>1185732</v>
      </c>
      <c r="C3823" s="2">
        <v>44220</v>
      </c>
      <c r="D3823" t="s">
        <v>137</v>
      </c>
      <c r="E3823" t="s">
        <v>215</v>
      </c>
      <c r="F3823" t="s">
        <v>224</v>
      </c>
      <c r="G3823" t="s">
        <v>145</v>
      </c>
      <c r="H3823" s="3">
        <v>0.55000000000000004</v>
      </c>
      <c r="I3823">
        <v>3000</v>
      </c>
      <c r="J3823" s="4">
        <v>1650.0000000000002</v>
      </c>
      <c r="K3823" s="4">
        <v>577.50000000000011</v>
      </c>
      <c r="L3823" s="5">
        <v>0.35000000000000003</v>
      </c>
      <c r="M3823" t="s">
        <v>125</v>
      </c>
      <c r="N3823" t="s">
        <v>361</v>
      </c>
    </row>
    <row r="3824" spans="1:14">
      <c r="A3824" t="s">
        <v>29</v>
      </c>
      <c r="B3824">
        <v>1185732</v>
      </c>
      <c r="C3824" s="2">
        <v>44220</v>
      </c>
      <c r="D3824" t="s">
        <v>137</v>
      </c>
      <c r="E3824" t="s">
        <v>215</v>
      </c>
      <c r="F3824" t="s">
        <v>224</v>
      </c>
      <c r="G3824" t="s">
        <v>146</v>
      </c>
      <c r="H3824" s="3">
        <v>0.45</v>
      </c>
      <c r="I3824">
        <v>3000</v>
      </c>
      <c r="J3824" s="4">
        <v>1350</v>
      </c>
      <c r="K3824" s="4">
        <v>337.5</v>
      </c>
      <c r="L3824" s="5">
        <v>0.25</v>
      </c>
      <c r="M3824" t="s">
        <v>125</v>
      </c>
      <c r="N3824" t="s">
        <v>361</v>
      </c>
    </row>
    <row r="3825" spans="1:14">
      <c r="A3825" t="s">
        <v>29</v>
      </c>
      <c r="B3825">
        <v>1185732</v>
      </c>
      <c r="C3825" s="2">
        <v>44220</v>
      </c>
      <c r="D3825" t="s">
        <v>137</v>
      </c>
      <c r="E3825" t="s">
        <v>215</v>
      </c>
      <c r="F3825" t="s">
        <v>224</v>
      </c>
      <c r="G3825" t="s">
        <v>148</v>
      </c>
      <c r="H3825" s="3">
        <v>0.49999999999999994</v>
      </c>
      <c r="I3825">
        <v>1500</v>
      </c>
      <c r="J3825" s="4">
        <v>749.99999999999989</v>
      </c>
      <c r="K3825" s="4">
        <v>187.49999999999997</v>
      </c>
      <c r="L3825" s="5">
        <v>0.25</v>
      </c>
      <c r="M3825" t="s">
        <v>125</v>
      </c>
      <c r="N3825" t="s">
        <v>361</v>
      </c>
    </row>
    <row r="3826" spans="1:14">
      <c r="A3826" t="s">
        <v>29</v>
      </c>
      <c r="B3826">
        <v>1185732</v>
      </c>
      <c r="C3826" s="2">
        <v>44220</v>
      </c>
      <c r="D3826" t="s">
        <v>137</v>
      </c>
      <c r="E3826" t="s">
        <v>215</v>
      </c>
      <c r="F3826" t="s">
        <v>224</v>
      </c>
      <c r="G3826" t="s">
        <v>147</v>
      </c>
      <c r="H3826" s="3">
        <v>0.65000000000000013</v>
      </c>
      <c r="I3826">
        <v>2000</v>
      </c>
      <c r="J3826" s="4">
        <v>1300.0000000000002</v>
      </c>
      <c r="K3826" s="4">
        <v>325.00000000000006</v>
      </c>
      <c r="L3826" s="5">
        <v>0.25</v>
      </c>
      <c r="M3826" t="s">
        <v>125</v>
      </c>
      <c r="N3826" t="s">
        <v>361</v>
      </c>
    </row>
    <row r="3827" spans="1:14">
      <c r="A3827" t="s">
        <v>29</v>
      </c>
      <c r="B3827">
        <v>1185732</v>
      </c>
      <c r="C3827" s="2">
        <v>44220</v>
      </c>
      <c r="D3827" t="s">
        <v>137</v>
      </c>
      <c r="E3827" t="s">
        <v>215</v>
      </c>
      <c r="F3827" t="s">
        <v>224</v>
      </c>
      <c r="G3827" t="s">
        <v>144</v>
      </c>
      <c r="H3827" s="3">
        <v>0.55000000000000004</v>
      </c>
      <c r="I3827">
        <v>3000</v>
      </c>
      <c r="J3827" s="4">
        <v>1650.0000000000002</v>
      </c>
      <c r="K3827" s="4">
        <v>495.00000000000006</v>
      </c>
      <c r="L3827" s="5">
        <v>0.3</v>
      </c>
      <c r="M3827" t="s">
        <v>125</v>
      </c>
      <c r="N3827" t="s">
        <v>361</v>
      </c>
    </row>
    <row r="3828" spans="1:14">
      <c r="A3828" t="s">
        <v>29</v>
      </c>
      <c r="B3828">
        <v>1185732</v>
      </c>
      <c r="C3828" s="2">
        <v>44249</v>
      </c>
      <c r="D3828" t="s">
        <v>137</v>
      </c>
      <c r="E3828" t="s">
        <v>215</v>
      </c>
      <c r="F3828" t="s">
        <v>224</v>
      </c>
      <c r="G3828" t="s">
        <v>27</v>
      </c>
      <c r="H3828" s="3">
        <v>0.55000000000000004</v>
      </c>
      <c r="I3828">
        <v>5750</v>
      </c>
      <c r="J3828" s="4">
        <v>3162.5000000000005</v>
      </c>
      <c r="K3828" s="4">
        <v>1106.8750000000002</v>
      </c>
      <c r="L3828" s="5">
        <v>0.35000000000000003</v>
      </c>
      <c r="M3828" t="s">
        <v>126</v>
      </c>
      <c r="N3828" t="s">
        <v>361</v>
      </c>
    </row>
    <row r="3829" spans="1:14">
      <c r="A3829" t="s">
        <v>29</v>
      </c>
      <c r="B3829">
        <v>1185732</v>
      </c>
      <c r="C3829" s="2">
        <v>44249</v>
      </c>
      <c r="D3829" t="s">
        <v>137</v>
      </c>
      <c r="E3829" t="s">
        <v>215</v>
      </c>
      <c r="F3829" t="s">
        <v>224</v>
      </c>
      <c r="G3829" t="s">
        <v>145</v>
      </c>
      <c r="H3829" s="3">
        <v>0.55000000000000004</v>
      </c>
      <c r="I3829">
        <v>2250</v>
      </c>
      <c r="J3829" s="4">
        <v>1237.5</v>
      </c>
      <c r="K3829" s="4">
        <v>433.12500000000006</v>
      </c>
      <c r="L3829" s="5">
        <v>0.35000000000000003</v>
      </c>
      <c r="M3829" t="s">
        <v>126</v>
      </c>
      <c r="N3829" t="s">
        <v>361</v>
      </c>
    </row>
    <row r="3830" spans="1:14">
      <c r="A3830" t="s">
        <v>29</v>
      </c>
      <c r="B3830">
        <v>1185732</v>
      </c>
      <c r="C3830" s="2">
        <v>44249</v>
      </c>
      <c r="D3830" t="s">
        <v>137</v>
      </c>
      <c r="E3830" t="s">
        <v>215</v>
      </c>
      <c r="F3830" t="s">
        <v>224</v>
      </c>
      <c r="G3830" t="s">
        <v>146</v>
      </c>
      <c r="H3830" s="3">
        <v>0.45</v>
      </c>
      <c r="I3830">
        <v>2750</v>
      </c>
      <c r="J3830" s="4">
        <v>1237.5</v>
      </c>
      <c r="K3830" s="4">
        <v>309.375</v>
      </c>
      <c r="L3830" s="5">
        <v>0.25</v>
      </c>
      <c r="M3830" t="s">
        <v>126</v>
      </c>
      <c r="N3830" t="s">
        <v>361</v>
      </c>
    </row>
    <row r="3831" spans="1:14">
      <c r="A3831" t="s">
        <v>29</v>
      </c>
      <c r="B3831">
        <v>1185732</v>
      </c>
      <c r="C3831" s="2">
        <v>44249</v>
      </c>
      <c r="D3831" t="s">
        <v>137</v>
      </c>
      <c r="E3831" t="s">
        <v>215</v>
      </c>
      <c r="F3831" t="s">
        <v>224</v>
      </c>
      <c r="G3831" t="s">
        <v>148</v>
      </c>
      <c r="H3831" s="3">
        <v>0.49999999999999994</v>
      </c>
      <c r="I3831">
        <v>1750</v>
      </c>
      <c r="J3831" s="4">
        <v>874.99999999999989</v>
      </c>
      <c r="K3831" s="4">
        <v>218.74999999999997</v>
      </c>
      <c r="L3831" s="5">
        <v>0.25</v>
      </c>
      <c r="M3831" t="s">
        <v>126</v>
      </c>
      <c r="N3831" t="s">
        <v>361</v>
      </c>
    </row>
    <row r="3832" spans="1:14">
      <c r="A3832" t="s">
        <v>29</v>
      </c>
      <c r="B3832">
        <v>1185732</v>
      </c>
      <c r="C3832" s="2">
        <v>44249</v>
      </c>
      <c r="D3832" t="s">
        <v>137</v>
      </c>
      <c r="E3832" t="s">
        <v>215</v>
      </c>
      <c r="F3832" t="s">
        <v>224</v>
      </c>
      <c r="G3832" t="s">
        <v>147</v>
      </c>
      <c r="H3832" s="3">
        <v>0.65000000000000013</v>
      </c>
      <c r="I3832">
        <v>2500</v>
      </c>
      <c r="J3832" s="4">
        <v>1625.0000000000002</v>
      </c>
      <c r="K3832" s="4">
        <v>406.25000000000006</v>
      </c>
      <c r="L3832" s="5">
        <v>0.25</v>
      </c>
      <c r="M3832" t="s">
        <v>126</v>
      </c>
      <c r="N3832" t="s">
        <v>361</v>
      </c>
    </row>
    <row r="3833" spans="1:14">
      <c r="A3833" t="s">
        <v>29</v>
      </c>
      <c r="B3833">
        <v>1185732</v>
      </c>
      <c r="C3833" s="2">
        <v>44249</v>
      </c>
      <c r="D3833" t="s">
        <v>137</v>
      </c>
      <c r="E3833" t="s">
        <v>215</v>
      </c>
      <c r="F3833" t="s">
        <v>224</v>
      </c>
      <c r="G3833" t="s">
        <v>144</v>
      </c>
      <c r="H3833" s="3">
        <v>0.55000000000000004</v>
      </c>
      <c r="I3833">
        <v>3500</v>
      </c>
      <c r="J3833" s="4">
        <v>1925.0000000000002</v>
      </c>
      <c r="K3833" s="4">
        <v>577.5</v>
      </c>
      <c r="L3833" s="5">
        <v>0.3</v>
      </c>
      <c r="M3833" t="s">
        <v>126</v>
      </c>
      <c r="N3833" t="s">
        <v>361</v>
      </c>
    </row>
    <row r="3834" spans="1:14">
      <c r="A3834" t="s">
        <v>29</v>
      </c>
      <c r="B3834">
        <v>1185732</v>
      </c>
      <c r="C3834" s="2">
        <v>44275</v>
      </c>
      <c r="D3834" t="s">
        <v>137</v>
      </c>
      <c r="E3834" t="s">
        <v>215</v>
      </c>
      <c r="F3834" t="s">
        <v>224</v>
      </c>
      <c r="G3834" t="s">
        <v>27</v>
      </c>
      <c r="H3834" s="3">
        <v>0.55000000000000004</v>
      </c>
      <c r="I3834">
        <v>5450</v>
      </c>
      <c r="J3834" s="4">
        <v>2997.5000000000005</v>
      </c>
      <c r="K3834" s="4">
        <v>1049.1250000000002</v>
      </c>
      <c r="L3834" s="5">
        <v>0.35000000000000003</v>
      </c>
      <c r="M3834" t="s">
        <v>24</v>
      </c>
      <c r="N3834" t="s">
        <v>361</v>
      </c>
    </row>
    <row r="3835" spans="1:14">
      <c r="A3835" t="s">
        <v>29</v>
      </c>
      <c r="B3835">
        <v>1185732</v>
      </c>
      <c r="C3835" s="2">
        <v>44275</v>
      </c>
      <c r="D3835" t="s">
        <v>137</v>
      </c>
      <c r="E3835" t="s">
        <v>215</v>
      </c>
      <c r="F3835" t="s">
        <v>224</v>
      </c>
      <c r="G3835" t="s">
        <v>145</v>
      </c>
      <c r="H3835" s="3">
        <v>0.55000000000000004</v>
      </c>
      <c r="I3835">
        <v>2500</v>
      </c>
      <c r="J3835" s="4">
        <v>1375</v>
      </c>
      <c r="K3835" s="4">
        <v>481.25000000000006</v>
      </c>
      <c r="L3835" s="5">
        <v>0.35000000000000003</v>
      </c>
      <c r="M3835" t="s">
        <v>24</v>
      </c>
      <c r="N3835" t="s">
        <v>361</v>
      </c>
    </row>
    <row r="3836" spans="1:14">
      <c r="A3836" t="s">
        <v>29</v>
      </c>
      <c r="B3836">
        <v>1185732</v>
      </c>
      <c r="C3836" s="2">
        <v>44275</v>
      </c>
      <c r="D3836" t="s">
        <v>137</v>
      </c>
      <c r="E3836" t="s">
        <v>215</v>
      </c>
      <c r="F3836" t="s">
        <v>224</v>
      </c>
      <c r="G3836" t="s">
        <v>146</v>
      </c>
      <c r="H3836" s="3">
        <v>0.45</v>
      </c>
      <c r="I3836">
        <v>2750</v>
      </c>
      <c r="J3836" s="4">
        <v>1237.5</v>
      </c>
      <c r="K3836" s="4">
        <v>309.375</v>
      </c>
      <c r="L3836" s="5">
        <v>0.25</v>
      </c>
      <c r="M3836" t="s">
        <v>24</v>
      </c>
      <c r="N3836" t="s">
        <v>361</v>
      </c>
    </row>
    <row r="3837" spans="1:14">
      <c r="A3837" t="s">
        <v>29</v>
      </c>
      <c r="B3837">
        <v>1185732</v>
      </c>
      <c r="C3837" s="2">
        <v>44275</v>
      </c>
      <c r="D3837" t="s">
        <v>137</v>
      </c>
      <c r="E3837" t="s">
        <v>215</v>
      </c>
      <c r="F3837" t="s">
        <v>224</v>
      </c>
      <c r="G3837" t="s">
        <v>148</v>
      </c>
      <c r="H3837" s="3">
        <v>0.49999999999999994</v>
      </c>
      <c r="I3837">
        <v>1250</v>
      </c>
      <c r="J3837" s="4">
        <v>624.99999999999989</v>
      </c>
      <c r="K3837" s="4">
        <v>156.24999999999997</v>
      </c>
      <c r="L3837" s="5">
        <v>0.25</v>
      </c>
      <c r="M3837" t="s">
        <v>24</v>
      </c>
      <c r="N3837" t="s">
        <v>361</v>
      </c>
    </row>
    <row r="3838" spans="1:14">
      <c r="A3838" t="s">
        <v>29</v>
      </c>
      <c r="B3838">
        <v>1185732</v>
      </c>
      <c r="C3838" s="2">
        <v>44275</v>
      </c>
      <c r="D3838" t="s">
        <v>137</v>
      </c>
      <c r="E3838" t="s">
        <v>215</v>
      </c>
      <c r="F3838" t="s">
        <v>224</v>
      </c>
      <c r="G3838" t="s">
        <v>147</v>
      </c>
      <c r="H3838" s="3">
        <v>0.65000000000000013</v>
      </c>
      <c r="I3838">
        <v>1750</v>
      </c>
      <c r="J3838" s="4">
        <v>1137.5000000000002</v>
      </c>
      <c r="K3838" s="4">
        <v>284.37500000000006</v>
      </c>
      <c r="L3838" s="5">
        <v>0.25</v>
      </c>
      <c r="M3838" t="s">
        <v>24</v>
      </c>
      <c r="N3838" t="s">
        <v>361</v>
      </c>
    </row>
    <row r="3839" spans="1:14">
      <c r="A3839" t="s">
        <v>29</v>
      </c>
      <c r="B3839">
        <v>1185732</v>
      </c>
      <c r="C3839" s="2">
        <v>44275</v>
      </c>
      <c r="D3839" t="s">
        <v>137</v>
      </c>
      <c r="E3839" t="s">
        <v>215</v>
      </c>
      <c r="F3839" t="s">
        <v>224</v>
      </c>
      <c r="G3839" t="s">
        <v>144</v>
      </c>
      <c r="H3839" s="3">
        <v>0.55000000000000004</v>
      </c>
      <c r="I3839">
        <v>2750</v>
      </c>
      <c r="J3839" s="4">
        <v>1512.5000000000002</v>
      </c>
      <c r="K3839" s="4">
        <v>453.75000000000006</v>
      </c>
      <c r="L3839" s="5">
        <v>0.3</v>
      </c>
      <c r="M3839" t="s">
        <v>24</v>
      </c>
      <c r="N3839" t="s">
        <v>361</v>
      </c>
    </row>
    <row r="3840" spans="1:14">
      <c r="A3840" t="s">
        <v>29</v>
      </c>
      <c r="B3840">
        <v>1185732</v>
      </c>
      <c r="C3840" s="2">
        <v>44307</v>
      </c>
      <c r="D3840" t="s">
        <v>137</v>
      </c>
      <c r="E3840" t="s">
        <v>215</v>
      </c>
      <c r="F3840" t="s">
        <v>224</v>
      </c>
      <c r="G3840" t="s">
        <v>27</v>
      </c>
      <c r="H3840" s="3">
        <v>0.55000000000000004</v>
      </c>
      <c r="I3840">
        <v>5250</v>
      </c>
      <c r="J3840" s="4">
        <v>2887.5000000000005</v>
      </c>
      <c r="K3840" s="4">
        <v>1010.6250000000002</v>
      </c>
      <c r="L3840" s="5">
        <v>0.35000000000000003</v>
      </c>
      <c r="M3840" t="s">
        <v>127</v>
      </c>
      <c r="N3840" t="s">
        <v>362</v>
      </c>
    </row>
    <row r="3841" spans="1:14">
      <c r="A3841" t="s">
        <v>29</v>
      </c>
      <c r="B3841">
        <v>1185732</v>
      </c>
      <c r="C3841" s="2">
        <v>44307</v>
      </c>
      <c r="D3841" t="s">
        <v>137</v>
      </c>
      <c r="E3841" t="s">
        <v>215</v>
      </c>
      <c r="F3841" t="s">
        <v>224</v>
      </c>
      <c r="G3841" t="s">
        <v>145</v>
      </c>
      <c r="H3841" s="3">
        <v>0.55000000000000004</v>
      </c>
      <c r="I3841">
        <v>2250</v>
      </c>
      <c r="J3841" s="4">
        <v>1237.5</v>
      </c>
      <c r="K3841" s="4">
        <v>433.12500000000006</v>
      </c>
      <c r="L3841" s="5">
        <v>0.35000000000000003</v>
      </c>
      <c r="M3841" t="s">
        <v>127</v>
      </c>
      <c r="N3841" t="s">
        <v>362</v>
      </c>
    </row>
    <row r="3842" spans="1:14">
      <c r="A3842" t="s">
        <v>29</v>
      </c>
      <c r="B3842">
        <v>1185732</v>
      </c>
      <c r="C3842" s="2">
        <v>44307</v>
      </c>
      <c r="D3842" t="s">
        <v>137</v>
      </c>
      <c r="E3842" t="s">
        <v>215</v>
      </c>
      <c r="F3842" t="s">
        <v>224</v>
      </c>
      <c r="G3842" t="s">
        <v>146</v>
      </c>
      <c r="H3842" s="3">
        <v>0.45</v>
      </c>
      <c r="I3842">
        <v>2250</v>
      </c>
      <c r="J3842" s="4">
        <v>1012.5</v>
      </c>
      <c r="K3842" s="4">
        <v>253.125</v>
      </c>
      <c r="L3842" s="5">
        <v>0.25</v>
      </c>
      <c r="M3842" t="s">
        <v>127</v>
      </c>
      <c r="N3842" t="s">
        <v>362</v>
      </c>
    </row>
    <row r="3843" spans="1:14">
      <c r="A3843" t="s">
        <v>29</v>
      </c>
      <c r="B3843">
        <v>1185732</v>
      </c>
      <c r="C3843" s="2">
        <v>44307</v>
      </c>
      <c r="D3843" t="s">
        <v>137</v>
      </c>
      <c r="E3843" t="s">
        <v>215</v>
      </c>
      <c r="F3843" t="s">
        <v>224</v>
      </c>
      <c r="G3843" t="s">
        <v>148</v>
      </c>
      <c r="H3843" s="3">
        <v>0.49999999999999994</v>
      </c>
      <c r="I3843">
        <v>1500</v>
      </c>
      <c r="J3843" s="4">
        <v>749.99999999999989</v>
      </c>
      <c r="K3843" s="4">
        <v>187.49999999999997</v>
      </c>
      <c r="L3843" s="5">
        <v>0.25</v>
      </c>
      <c r="M3843" t="s">
        <v>127</v>
      </c>
      <c r="N3843" t="s">
        <v>362</v>
      </c>
    </row>
    <row r="3844" spans="1:14">
      <c r="A3844" t="s">
        <v>29</v>
      </c>
      <c r="B3844">
        <v>1185732</v>
      </c>
      <c r="C3844" s="2">
        <v>44307</v>
      </c>
      <c r="D3844" t="s">
        <v>137</v>
      </c>
      <c r="E3844" t="s">
        <v>215</v>
      </c>
      <c r="F3844" t="s">
        <v>224</v>
      </c>
      <c r="G3844" t="s">
        <v>147</v>
      </c>
      <c r="H3844" s="3">
        <v>0.60000000000000009</v>
      </c>
      <c r="I3844">
        <v>1500</v>
      </c>
      <c r="J3844" s="4">
        <v>900.00000000000011</v>
      </c>
      <c r="K3844" s="4">
        <v>225.00000000000003</v>
      </c>
      <c r="L3844" s="5">
        <v>0.25</v>
      </c>
      <c r="M3844" t="s">
        <v>127</v>
      </c>
      <c r="N3844" t="s">
        <v>362</v>
      </c>
    </row>
    <row r="3845" spans="1:14">
      <c r="A3845" t="s">
        <v>29</v>
      </c>
      <c r="B3845">
        <v>1185732</v>
      </c>
      <c r="C3845" s="2">
        <v>44307</v>
      </c>
      <c r="D3845" t="s">
        <v>137</v>
      </c>
      <c r="E3845" t="s">
        <v>215</v>
      </c>
      <c r="F3845" t="s">
        <v>224</v>
      </c>
      <c r="G3845" t="s">
        <v>144</v>
      </c>
      <c r="H3845" s="3">
        <v>0.5</v>
      </c>
      <c r="I3845">
        <v>3000</v>
      </c>
      <c r="J3845" s="4">
        <v>1500</v>
      </c>
      <c r="K3845" s="4">
        <v>450</v>
      </c>
      <c r="L3845" s="5">
        <v>0.3</v>
      </c>
      <c r="M3845" t="s">
        <v>127</v>
      </c>
      <c r="N3845" t="s">
        <v>362</v>
      </c>
    </row>
    <row r="3846" spans="1:14">
      <c r="A3846" t="s">
        <v>29</v>
      </c>
      <c r="B3846">
        <v>1185732</v>
      </c>
      <c r="C3846" s="2">
        <v>44336</v>
      </c>
      <c r="D3846" t="s">
        <v>137</v>
      </c>
      <c r="E3846" t="s">
        <v>215</v>
      </c>
      <c r="F3846" t="s">
        <v>224</v>
      </c>
      <c r="G3846" t="s">
        <v>27</v>
      </c>
      <c r="H3846" s="3">
        <v>0.65</v>
      </c>
      <c r="I3846">
        <v>5700</v>
      </c>
      <c r="J3846" s="4">
        <v>3705</v>
      </c>
      <c r="K3846" s="4">
        <v>1296.7500000000002</v>
      </c>
      <c r="L3846" s="5">
        <v>0.35000000000000003</v>
      </c>
      <c r="M3846" t="s">
        <v>128</v>
      </c>
      <c r="N3846" t="s">
        <v>362</v>
      </c>
    </row>
    <row r="3847" spans="1:14">
      <c r="A3847" t="s">
        <v>29</v>
      </c>
      <c r="B3847">
        <v>1185732</v>
      </c>
      <c r="C3847" s="2">
        <v>44336</v>
      </c>
      <c r="D3847" t="s">
        <v>137</v>
      </c>
      <c r="E3847" t="s">
        <v>215</v>
      </c>
      <c r="F3847" t="s">
        <v>224</v>
      </c>
      <c r="G3847" t="s">
        <v>145</v>
      </c>
      <c r="H3847" s="3">
        <v>0.60000000000000009</v>
      </c>
      <c r="I3847">
        <v>2750</v>
      </c>
      <c r="J3847" s="4">
        <v>1650.0000000000002</v>
      </c>
      <c r="K3847" s="4">
        <v>577.50000000000011</v>
      </c>
      <c r="L3847" s="5">
        <v>0.35000000000000003</v>
      </c>
      <c r="M3847" t="s">
        <v>128</v>
      </c>
      <c r="N3847" t="s">
        <v>362</v>
      </c>
    </row>
    <row r="3848" spans="1:14">
      <c r="A3848" t="s">
        <v>29</v>
      </c>
      <c r="B3848">
        <v>1185732</v>
      </c>
      <c r="C3848" s="2">
        <v>44336</v>
      </c>
      <c r="D3848" t="s">
        <v>137</v>
      </c>
      <c r="E3848" t="s">
        <v>215</v>
      </c>
      <c r="F3848" t="s">
        <v>224</v>
      </c>
      <c r="G3848" t="s">
        <v>146</v>
      </c>
      <c r="H3848" s="3">
        <v>0.55000000000000004</v>
      </c>
      <c r="I3848">
        <v>3000</v>
      </c>
      <c r="J3848" s="4">
        <v>1650.0000000000002</v>
      </c>
      <c r="K3848" s="4">
        <v>412.50000000000006</v>
      </c>
      <c r="L3848" s="5">
        <v>0.25</v>
      </c>
      <c r="M3848" t="s">
        <v>128</v>
      </c>
      <c r="N3848" t="s">
        <v>362</v>
      </c>
    </row>
    <row r="3849" spans="1:14">
      <c r="A3849" t="s">
        <v>29</v>
      </c>
      <c r="B3849">
        <v>1185732</v>
      </c>
      <c r="C3849" s="2">
        <v>44336</v>
      </c>
      <c r="D3849" t="s">
        <v>137</v>
      </c>
      <c r="E3849" t="s">
        <v>215</v>
      </c>
      <c r="F3849" t="s">
        <v>224</v>
      </c>
      <c r="G3849" t="s">
        <v>148</v>
      </c>
      <c r="H3849" s="3">
        <v>0.55000000000000004</v>
      </c>
      <c r="I3849">
        <v>2500</v>
      </c>
      <c r="J3849" s="4">
        <v>1375</v>
      </c>
      <c r="K3849" s="4">
        <v>343.75</v>
      </c>
      <c r="L3849" s="5">
        <v>0.25</v>
      </c>
      <c r="M3849" t="s">
        <v>128</v>
      </c>
      <c r="N3849" t="s">
        <v>362</v>
      </c>
    </row>
    <row r="3850" spans="1:14">
      <c r="A3850" t="s">
        <v>29</v>
      </c>
      <c r="B3850">
        <v>1185732</v>
      </c>
      <c r="C3850" s="2">
        <v>44336</v>
      </c>
      <c r="D3850" t="s">
        <v>137</v>
      </c>
      <c r="E3850" t="s">
        <v>215</v>
      </c>
      <c r="F3850" t="s">
        <v>224</v>
      </c>
      <c r="G3850" t="s">
        <v>147</v>
      </c>
      <c r="H3850" s="3">
        <v>0.65</v>
      </c>
      <c r="I3850">
        <v>2750</v>
      </c>
      <c r="J3850" s="4">
        <v>1787.5</v>
      </c>
      <c r="K3850" s="4">
        <v>446.875</v>
      </c>
      <c r="L3850" s="5">
        <v>0.25</v>
      </c>
      <c r="M3850" t="s">
        <v>128</v>
      </c>
      <c r="N3850" t="s">
        <v>362</v>
      </c>
    </row>
    <row r="3851" spans="1:14">
      <c r="A3851" t="s">
        <v>29</v>
      </c>
      <c r="B3851">
        <v>1185732</v>
      </c>
      <c r="C3851" s="2">
        <v>44336</v>
      </c>
      <c r="D3851" t="s">
        <v>137</v>
      </c>
      <c r="E3851" t="s">
        <v>215</v>
      </c>
      <c r="F3851" t="s">
        <v>224</v>
      </c>
      <c r="G3851" t="s">
        <v>144</v>
      </c>
      <c r="H3851" s="3">
        <v>0.70000000000000007</v>
      </c>
      <c r="I3851">
        <v>4000</v>
      </c>
      <c r="J3851" s="4">
        <v>2800.0000000000005</v>
      </c>
      <c r="K3851" s="4">
        <v>840.00000000000011</v>
      </c>
      <c r="L3851" s="5">
        <v>0.3</v>
      </c>
      <c r="M3851" t="s">
        <v>128</v>
      </c>
      <c r="N3851" t="s">
        <v>362</v>
      </c>
    </row>
    <row r="3852" spans="1:14">
      <c r="A3852" t="s">
        <v>29</v>
      </c>
      <c r="B3852">
        <v>1185732</v>
      </c>
      <c r="C3852" s="2">
        <v>44369</v>
      </c>
      <c r="D3852" t="s">
        <v>137</v>
      </c>
      <c r="E3852" t="s">
        <v>215</v>
      </c>
      <c r="F3852" t="s">
        <v>224</v>
      </c>
      <c r="G3852" t="s">
        <v>27</v>
      </c>
      <c r="H3852" s="3">
        <v>0.65</v>
      </c>
      <c r="I3852">
        <v>6500</v>
      </c>
      <c r="J3852" s="4">
        <v>4225</v>
      </c>
      <c r="K3852" s="4">
        <v>1478.7500000000002</v>
      </c>
      <c r="L3852" s="5">
        <v>0.35000000000000003</v>
      </c>
      <c r="M3852" t="s">
        <v>129</v>
      </c>
      <c r="N3852" t="s">
        <v>362</v>
      </c>
    </row>
    <row r="3853" spans="1:14">
      <c r="A3853" t="s">
        <v>29</v>
      </c>
      <c r="B3853">
        <v>1185732</v>
      </c>
      <c r="C3853" s="2">
        <v>44369</v>
      </c>
      <c r="D3853" t="s">
        <v>137</v>
      </c>
      <c r="E3853" t="s">
        <v>215</v>
      </c>
      <c r="F3853" t="s">
        <v>224</v>
      </c>
      <c r="G3853" t="s">
        <v>145</v>
      </c>
      <c r="H3853" s="3">
        <v>0.60000000000000009</v>
      </c>
      <c r="I3853">
        <v>4000</v>
      </c>
      <c r="J3853" s="4">
        <v>2400.0000000000005</v>
      </c>
      <c r="K3853" s="4">
        <v>840.00000000000023</v>
      </c>
      <c r="L3853" s="5">
        <v>0.35000000000000003</v>
      </c>
      <c r="M3853" t="s">
        <v>129</v>
      </c>
      <c r="N3853" t="s">
        <v>362</v>
      </c>
    </row>
    <row r="3854" spans="1:14">
      <c r="A3854" t="s">
        <v>29</v>
      </c>
      <c r="B3854">
        <v>1185732</v>
      </c>
      <c r="C3854" s="2">
        <v>44369</v>
      </c>
      <c r="D3854" t="s">
        <v>137</v>
      </c>
      <c r="E3854" t="s">
        <v>215</v>
      </c>
      <c r="F3854" t="s">
        <v>224</v>
      </c>
      <c r="G3854" t="s">
        <v>146</v>
      </c>
      <c r="H3854" s="3">
        <v>0.55000000000000004</v>
      </c>
      <c r="I3854">
        <v>3250</v>
      </c>
      <c r="J3854" s="4">
        <v>1787.5000000000002</v>
      </c>
      <c r="K3854" s="4">
        <v>446.87500000000006</v>
      </c>
      <c r="L3854" s="5">
        <v>0.25</v>
      </c>
      <c r="M3854" t="s">
        <v>129</v>
      </c>
      <c r="N3854" t="s">
        <v>362</v>
      </c>
    </row>
    <row r="3855" spans="1:14">
      <c r="A3855" t="s">
        <v>29</v>
      </c>
      <c r="B3855">
        <v>1185732</v>
      </c>
      <c r="C3855" s="2">
        <v>44369</v>
      </c>
      <c r="D3855" t="s">
        <v>137</v>
      </c>
      <c r="E3855" t="s">
        <v>215</v>
      </c>
      <c r="F3855" t="s">
        <v>224</v>
      </c>
      <c r="G3855" t="s">
        <v>148</v>
      </c>
      <c r="H3855" s="3">
        <v>0.55000000000000004</v>
      </c>
      <c r="I3855">
        <v>3000</v>
      </c>
      <c r="J3855" s="4">
        <v>1650.0000000000002</v>
      </c>
      <c r="K3855" s="4">
        <v>412.50000000000006</v>
      </c>
      <c r="L3855" s="5">
        <v>0.25</v>
      </c>
      <c r="M3855" t="s">
        <v>129</v>
      </c>
      <c r="N3855" t="s">
        <v>362</v>
      </c>
    </row>
    <row r="3856" spans="1:14">
      <c r="A3856" t="s">
        <v>29</v>
      </c>
      <c r="B3856">
        <v>1185732</v>
      </c>
      <c r="C3856" s="2">
        <v>44369</v>
      </c>
      <c r="D3856" t="s">
        <v>137</v>
      </c>
      <c r="E3856" t="s">
        <v>215</v>
      </c>
      <c r="F3856" t="s">
        <v>224</v>
      </c>
      <c r="G3856" t="s">
        <v>147</v>
      </c>
      <c r="H3856" s="3">
        <v>0.65</v>
      </c>
      <c r="I3856">
        <v>3000</v>
      </c>
      <c r="J3856" s="4">
        <v>1950</v>
      </c>
      <c r="K3856" s="4">
        <v>487.5</v>
      </c>
      <c r="L3856" s="5">
        <v>0.25</v>
      </c>
      <c r="M3856" t="s">
        <v>129</v>
      </c>
      <c r="N3856" t="s">
        <v>362</v>
      </c>
    </row>
    <row r="3857" spans="1:14">
      <c r="A3857" t="s">
        <v>29</v>
      </c>
      <c r="B3857">
        <v>1185732</v>
      </c>
      <c r="C3857" s="2">
        <v>44369</v>
      </c>
      <c r="D3857" t="s">
        <v>137</v>
      </c>
      <c r="E3857" t="s">
        <v>215</v>
      </c>
      <c r="F3857" t="s">
        <v>224</v>
      </c>
      <c r="G3857" t="s">
        <v>144</v>
      </c>
      <c r="H3857" s="3">
        <v>0.70000000000000007</v>
      </c>
      <c r="I3857">
        <v>4500</v>
      </c>
      <c r="J3857" s="4">
        <v>3150.0000000000005</v>
      </c>
      <c r="K3857" s="4">
        <v>945.00000000000011</v>
      </c>
      <c r="L3857" s="5">
        <v>0.3</v>
      </c>
      <c r="M3857" t="s">
        <v>129</v>
      </c>
      <c r="N3857" t="s">
        <v>362</v>
      </c>
    </row>
    <row r="3858" spans="1:14">
      <c r="A3858" t="s">
        <v>29</v>
      </c>
      <c r="B3858">
        <v>1185732</v>
      </c>
      <c r="C3858" s="2">
        <v>44397</v>
      </c>
      <c r="D3858" t="s">
        <v>137</v>
      </c>
      <c r="E3858" t="s">
        <v>215</v>
      </c>
      <c r="F3858" t="s">
        <v>224</v>
      </c>
      <c r="G3858" t="s">
        <v>27</v>
      </c>
      <c r="H3858" s="3">
        <v>0.65</v>
      </c>
      <c r="I3858">
        <v>6750</v>
      </c>
      <c r="J3858" s="4">
        <v>4387.5</v>
      </c>
      <c r="K3858" s="4">
        <v>1535.6250000000002</v>
      </c>
      <c r="L3858" s="5">
        <v>0.35000000000000003</v>
      </c>
      <c r="M3858" t="s">
        <v>130</v>
      </c>
      <c r="N3858" t="s">
        <v>363</v>
      </c>
    </row>
    <row r="3859" spans="1:14">
      <c r="A3859" t="s">
        <v>29</v>
      </c>
      <c r="B3859">
        <v>1185732</v>
      </c>
      <c r="C3859" s="2">
        <v>44397</v>
      </c>
      <c r="D3859" t="s">
        <v>137</v>
      </c>
      <c r="E3859" t="s">
        <v>215</v>
      </c>
      <c r="F3859" t="s">
        <v>224</v>
      </c>
      <c r="G3859" t="s">
        <v>145</v>
      </c>
      <c r="H3859" s="3">
        <v>0.60000000000000009</v>
      </c>
      <c r="I3859">
        <v>4250</v>
      </c>
      <c r="J3859" s="4">
        <v>2550.0000000000005</v>
      </c>
      <c r="K3859" s="4">
        <v>892.50000000000023</v>
      </c>
      <c r="L3859" s="5">
        <v>0.35000000000000003</v>
      </c>
      <c r="M3859" t="s">
        <v>130</v>
      </c>
      <c r="N3859" t="s">
        <v>363</v>
      </c>
    </row>
    <row r="3860" spans="1:14">
      <c r="A3860" t="s">
        <v>29</v>
      </c>
      <c r="B3860">
        <v>1185732</v>
      </c>
      <c r="C3860" s="2">
        <v>44397</v>
      </c>
      <c r="D3860" t="s">
        <v>137</v>
      </c>
      <c r="E3860" t="s">
        <v>215</v>
      </c>
      <c r="F3860" t="s">
        <v>224</v>
      </c>
      <c r="G3860" t="s">
        <v>146</v>
      </c>
      <c r="H3860" s="3">
        <v>0.55000000000000004</v>
      </c>
      <c r="I3860">
        <v>3500</v>
      </c>
      <c r="J3860" s="4">
        <v>1925.0000000000002</v>
      </c>
      <c r="K3860" s="4">
        <v>481.25000000000006</v>
      </c>
      <c r="L3860" s="5">
        <v>0.25</v>
      </c>
      <c r="M3860" t="s">
        <v>130</v>
      </c>
      <c r="N3860" t="s">
        <v>363</v>
      </c>
    </row>
    <row r="3861" spans="1:14">
      <c r="A3861" t="s">
        <v>29</v>
      </c>
      <c r="B3861">
        <v>1185732</v>
      </c>
      <c r="C3861" s="2">
        <v>44397</v>
      </c>
      <c r="D3861" t="s">
        <v>137</v>
      </c>
      <c r="E3861" t="s">
        <v>215</v>
      </c>
      <c r="F3861" t="s">
        <v>224</v>
      </c>
      <c r="G3861" t="s">
        <v>148</v>
      </c>
      <c r="H3861" s="3">
        <v>0.55000000000000004</v>
      </c>
      <c r="I3861">
        <v>3000</v>
      </c>
      <c r="J3861" s="4">
        <v>1650.0000000000002</v>
      </c>
      <c r="K3861" s="4">
        <v>412.50000000000006</v>
      </c>
      <c r="L3861" s="5">
        <v>0.25</v>
      </c>
      <c r="M3861" t="s">
        <v>130</v>
      </c>
      <c r="N3861" t="s">
        <v>363</v>
      </c>
    </row>
    <row r="3862" spans="1:14">
      <c r="A3862" t="s">
        <v>29</v>
      </c>
      <c r="B3862">
        <v>1185732</v>
      </c>
      <c r="C3862" s="2">
        <v>44397</v>
      </c>
      <c r="D3862" t="s">
        <v>137</v>
      </c>
      <c r="E3862" t="s">
        <v>215</v>
      </c>
      <c r="F3862" t="s">
        <v>224</v>
      </c>
      <c r="G3862" t="s">
        <v>147</v>
      </c>
      <c r="H3862" s="3">
        <v>0.65</v>
      </c>
      <c r="I3862">
        <v>3250</v>
      </c>
      <c r="J3862" s="4">
        <v>2112.5</v>
      </c>
      <c r="K3862" s="4">
        <v>528.125</v>
      </c>
      <c r="L3862" s="5">
        <v>0.25</v>
      </c>
      <c r="M3862" t="s">
        <v>130</v>
      </c>
      <c r="N3862" t="s">
        <v>363</v>
      </c>
    </row>
    <row r="3863" spans="1:14">
      <c r="A3863" t="s">
        <v>29</v>
      </c>
      <c r="B3863">
        <v>1185732</v>
      </c>
      <c r="C3863" s="2">
        <v>44397</v>
      </c>
      <c r="D3863" t="s">
        <v>137</v>
      </c>
      <c r="E3863" t="s">
        <v>215</v>
      </c>
      <c r="F3863" t="s">
        <v>224</v>
      </c>
      <c r="G3863" t="s">
        <v>144</v>
      </c>
      <c r="H3863" s="3">
        <v>0.70000000000000007</v>
      </c>
      <c r="I3863">
        <v>5000</v>
      </c>
      <c r="J3863" s="4">
        <v>3500.0000000000005</v>
      </c>
      <c r="K3863" s="4">
        <v>1050</v>
      </c>
      <c r="L3863" s="5">
        <v>0.3</v>
      </c>
      <c r="M3863" t="s">
        <v>130</v>
      </c>
      <c r="N3863" t="s">
        <v>363</v>
      </c>
    </row>
    <row r="3864" spans="1:14">
      <c r="A3864" t="s">
        <v>29</v>
      </c>
      <c r="B3864">
        <v>1185732</v>
      </c>
      <c r="C3864" s="2">
        <v>44429</v>
      </c>
      <c r="D3864" t="s">
        <v>137</v>
      </c>
      <c r="E3864" t="s">
        <v>215</v>
      </c>
      <c r="F3864" t="s">
        <v>224</v>
      </c>
      <c r="G3864" t="s">
        <v>27</v>
      </c>
      <c r="H3864" s="3">
        <v>0.65</v>
      </c>
      <c r="I3864">
        <v>6500</v>
      </c>
      <c r="J3864" s="4">
        <v>4225</v>
      </c>
      <c r="K3864" s="4">
        <v>1478.7500000000002</v>
      </c>
      <c r="L3864" s="5">
        <v>0.35000000000000003</v>
      </c>
      <c r="M3864" t="s">
        <v>131</v>
      </c>
      <c r="N3864" t="s">
        <v>363</v>
      </c>
    </row>
    <row r="3865" spans="1:14">
      <c r="A3865" t="s">
        <v>29</v>
      </c>
      <c r="B3865">
        <v>1185732</v>
      </c>
      <c r="C3865" s="2">
        <v>44429</v>
      </c>
      <c r="D3865" t="s">
        <v>137</v>
      </c>
      <c r="E3865" t="s">
        <v>215</v>
      </c>
      <c r="F3865" t="s">
        <v>224</v>
      </c>
      <c r="G3865" t="s">
        <v>145</v>
      </c>
      <c r="H3865" s="3">
        <v>0.60000000000000009</v>
      </c>
      <c r="I3865">
        <v>4250</v>
      </c>
      <c r="J3865" s="4">
        <v>2550.0000000000005</v>
      </c>
      <c r="K3865" s="4">
        <v>892.50000000000023</v>
      </c>
      <c r="L3865" s="5">
        <v>0.35000000000000003</v>
      </c>
      <c r="M3865" t="s">
        <v>131</v>
      </c>
      <c r="N3865" t="s">
        <v>363</v>
      </c>
    </row>
    <row r="3866" spans="1:14">
      <c r="A3866" t="s">
        <v>29</v>
      </c>
      <c r="B3866">
        <v>1185732</v>
      </c>
      <c r="C3866" s="2">
        <v>44429</v>
      </c>
      <c r="D3866" t="s">
        <v>137</v>
      </c>
      <c r="E3866" t="s">
        <v>215</v>
      </c>
      <c r="F3866" t="s">
        <v>224</v>
      </c>
      <c r="G3866" t="s">
        <v>146</v>
      </c>
      <c r="H3866" s="3">
        <v>0.55000000000000004</v>
      </c>
      <c r="I3866">
        <v>3500</v>
      </c>
      <c r="J3866" s="4">
        <v>1925.0000000000002</v>
      </c>
      <c r="K3866" s="4">
        <v>481.25000000000006</v>
      </c>
      <c r="L3866" s="5">
        <v>0.25</v>
      </c>
      <c r="M3866" t="s">
        <v>131</v>
      </c>
      <c r="N3866" t="s">
        <v>363</v>
      </c>
    </row>
    <row r="3867" spans="1:14">
      <c r="A3867" t="s">
        <v>29</v>
      </c>
      <c r="B3867">
        <v>1185732</v>
      </c>
      <c r="C3867" s="2">
        <v>44429</v>
      </c>
      <c r="D3867" t="s">
        <v>137</v>
      </c>
      <c r="E3867" t="s">
        <v>215</v>
      </c>
      <c r="F3867" t="s">
        <v>224</v>
      </c>
      <c r="G3867" t="s">
        <v>148</v>
      </c>
      <c r="H3867" s="3">
        <v>0.55000000000000004</v>
      </c>
      <c r="I3867">
        <v>2500</v>
      </c>
      <c r="J3867" s="4">
        <v>1375</v>
      </c>
      <c r="K3867" s="4">
        <v>343.75</v>
      </c>
      <c r="L3867" s="5">
        <v>0.25</v>
      </c>
      <c r="M3867" t="s">
        <v>131</v>
      </c>
      <c r="N3867" t="s">
        <v>363</v>
      </c>
    </row>
    <row r="3868" spans="1:14">
      <c r="A3868" t="s">
        <v>29</v>
      </c>
      <c r="B3868">
        <v>1185732</v>
      </c>
      <c r="C3868" s="2">
        <v>44429</v>
      </c>
      <c r="D3868" t="s">
        <v>137</v>
      </c>
      <c r="E3868" t="s">
        <v>215</v>
      </c>
      <c r="F3868" t="s">
        <v>224</v>
      </c>
      <c r="G3868" t="s">
        <v>147</v>
      </c>
      <c r="H3868" s="3">
        <v>0.65</v>
      </c>
      <c r="I3868">
        <v>2250</v>
      </c>
      <c r="J3868" s="4">
        <v>1462.5</v>
      </c>
      <c r="K3868" s="4">
        <v>365.625</v>
      </c>
      <c r="L3868" s="5">
        <v>0.25</v>
      </c>
      <c r="M3868" t="s">
        <v>131</v>
      </c>
      <c r="N3868" t="s">
        <v>363</v>
      </c>
    </row>
    <row r="3869" spans="1:14">
      <c r="A3869" t="s">
        <v>29</v>
      </c>
      <c r="B3869">
        <v>1185732</v>
      </c>
      <c r="C3869" s="2">
        <v>44429</v>
      </c>
      <c r="D3869" t="s">
        <v>137</v>
      </c>
      <c r="E3869" t="s">
        <v>215</v>
      </c>
      <c r="F3869" t="s">
        <v>224</v>
      </c>
      <c r="G3869" t="s">
        <v>144</v>
      </c>
      <c r="H3869" s="3">
        <v>0.70000000000000007</v>
      </c>
      <c r="I3869">
        <v>4000</v>
      </c>
      <c r="J3869" s="4">
        <v>2800.0000000000005</v>
      </c>
      <c r="K3869" s="4">
        <v>840.00000000000011</v>
      </c>
      <c r="L3869" s="5">
        <v>0.3</v>
      </c>
      <c r="M3869" t="s">
        <v>131</v>
      </c>
      <c r="N3869" t="s">
        <v>363</v>
      </c>
    </row>
    <row r="3870" spans="1:14">
      <c r="A3870" t="s">
        <v>29</v>
      </c>
      <c r="B3870">
        <v>1185732</v>
      </c>
      <c r="C3870" s="2">
        <v>44459</v>
      </c>
      <c r="D3870" t="s">
        <v>137</v>
      </c>
      <c r="E3870" t="s">
        <v>215</v>
      </c>
      <c r="F3870" t="s">
        <v>224</v>
      </c>
      <c r="G3870" t="s">
        <v>27</v>
      </c>
      <c r="H3870" s="3">
        <v>0.65</v>
      </c>
      <c r="I3870">
        <v>5250</v>
      </c>
      <c r="J3870" s="4">
        <v>3412.5</v>
      </c>
      <c r="K3870" s="4">
        <v>1194.375</v>
      </c>
      <c r="L3870" s="5">
        <v>0.35000000000000003</v>
      </c>
      <c r="M3870" t="s">
        <v>132</v>
      </c>
      <c r="N3870" t="s">
        <v>363</v>
      </c>
    </row>
    <row r="3871" spans="1:14">
      <c r="A3871" t="s">
        <v>29</v>
      </c>
      <c r="B3871">
        <v>1185732</v>
      </c>
      <c r="C3871" s="2">
        <v>44459</v>
      </c>
      <c r="D3871" t="s">
        <v>137</v>
      </c>
      <c r="E3871" t="s">
        <v>215</v>
      </c>
      <c r="F3871" t="s">
        <v>224</v>
      </c>
      <c r="G3871" t="s">
        <v>145</v>
      </c>
      <c r="H3871" s="3">
        <v>0.60000000000000009</v>
      </c>
      <c r="I3871">
        <v>3250</v>
      </c>
      <c r="J3871" s="4">
        <v>1950.0000000000002</v>
      </c>
      <c r="K3871" s="4">
        <v>682.50000000000011</v>
      </c>
      <c r="L3871" s="5">
        <v>0.35000000000000003</v>
      </c>
      <c r="M3871" t="s">
        <v>132</v>
      </c>
      <c r="N3871" t="s">
        <v>363</v>
      </c>
    </row>
    <row r="3872" spans="1:14">
      <c r="A3872" t="s">
        <v>29</v>
      </c>
      <c r="B3872">
        <v>1185732</v>
      </c>
      <c r="C3872" s="2">
        <v>44459</v>
      </c>
      <c r="D3872" t="s">
        <v>137</v>
      </c>
      <c r="E3872" t="s">
        <v>215</v>
      </c>
      <c r="F3872" t="s">
        <v>224</v>
      </c>
      <c r="G3872" t="s">
        <v>146</v>
      </c>
      <c r="H3872" s="3">
        <v>0.55000000000000004</v>
      </c>
      <c r="I3872">
        <v>2250</v>
      </c>
      <c r="J3872" s="4">
        <v>1237.5</v>
      </c>
      <c r="K3872" s="4">
        <v>309.375</v>
      </c>
      <c r="L3872" s="5">
        <v>0.25</v>
      </c>
      <c r="M3872" t="s">
        <v>132</v>
      </c>
      <c r="N3872" t="s">
        <v>363</v>
      </c>
    </row>
    <row r="3873" spans="1:14">
      <c r="A3873" t="s">
        <v>29</v>
      </c>
      <c r="B3873">
        <v>1185732</v>
      </c>
      <c r="C3873" s="2">
        <v>44459</v>
      </c>
      <c r="D3873" t="s">
        <v>137</v>
      </c>
      <c r="E3873" t="s">
        <v>215</v>
      </c>
      <c r="F3873" t="s">
        <v>224</v>
      </c>
      <c r="G3873" t="s">
        <v>148</v>
      </c>
      <c r="H3873" s="3">
        <v>0.55000000000000004</v>
      </c>
      <c r="I3873">
        <v>2000</v>
      </c>
      <c r="J3873" s="4">
        <v>1100</v>
      </c>
      <c r="K3873" s="4">
        <v>275</v>
      </c>
      <c r="L3873" s="5">
        <v>0.25</v>
      </c>
      <c r="M3873" t="s">
        <v>132</v>
      </c>
      <c r="N3873" t="s">
        <v>363</v>
      </c>
    </row>
    <row r="3874" spans="1:14">
      <c r="A3874" t="s">
        <v>29</v>
      </c>
      <c r="B3874">
        <v>1185732</v>
      </c>
      <c r="C3874" s="2">
        <v>44459</v>
      </c>
      <c r="D3874" t="s">
        <v>137</v>
      </c>
      <c r="E3874" t="s">
        <v>215</v>
      </c>
      <c r="F3874" t="s">
        <v>224</v>
      </c>
      <c r="G3874" t="s">
        <v>147</v>
      </c>
      <c r="H3874" s="3">
        <v>0.65</v>
      </c>
      <c r="I3874">
        <v>2000</v>
      </c>
      <c r="J3874" s="4">
        <v>1300</v>
      </c>
      <c r="K3874" s="4">
        <v>325</v>
      </c>
      <c r="L3874" s="5">
        <v>0.25</v>
      </c>
      <c r="M3874" t="s">
        <v>132</v>
      </c>
      <c r="N3874" t="s">
        <v>363</v>
      </c>
    </row>
    <row r="3875" spans="1:14">
      <c r="A3875" t="s">
        <v>29</v>
      </c>
      <c r="B3875">
        <v>1185732</v>
      </c>
      <c r="C3875" s="2">
        <v>44459</v>
      </c>
      <c r="D3875" t="s">
        <v>137</v>
      </c>
      <c r="E3875" t="s">
        <v>215</v>
      </c>
      <c r="F3875" t="s">
        <v>224</v>
      </c>
      <c r="G3875" t="s">
        <v>144</v>
      </c>
      <c r="H3875" s="3">
        <v>0.70000000000000007</v>
      </c>
      <c r="I3875">
        <v>3000</v>
      </c>
      <c r="J3875" s="4">
        <v>2100</v>
      </c>
      <c r="K3875" s="4">
        <v>630</v>
      </c>
      <c r="L3875" s="5">
        <v>0.3</v>
      </c>
      <c r="M3875" t="s">
        <v>132</v>
      </c>
      <c r="N3875" t="s">
        <v>363</v>
      </c>
    </row>
    <row r="3876" spans="1:14">
      <c r="A3876" t="s">
        <v>29</v>
      </c>
      <c r="B3876">
        <v>1185732</v>
      </c>
      <c r="C3876" s="2">
        <v>44491</v>
      </c>
      <c r="D3876" t="s">
        <v>137</v>
      </c>
      <c r="E3876" t="s">
        <v>215</v>
      </c>
      <c r="F3876" t="s">
        <v>224</v>
      </c>
      <c r="G3876" t="s">
        <v>27</v>
      </c>
      <c r="H3876" s="3">
        <v>0.70000000000000007</v>
      </c>
      <c r="I3876">
        <v>4500</v>
      </c>
      <c r="J3876" s="4">
        <v>3150.0000000000005</v>
      </c>
      <c r="K3876" s="4">
        <v>1102.5000000000002</v>
      </c>
      <c r="L3876" s="5">
        <v>0.35000000000000003</v>
      </c>
      <c r="M3876" t="s">
        <v>133</v>
      </c>
      <c r="N3876" t="s">
        <v>364</v>
      </c>
    </row>
    <row r="3877" spans="1:14">
      <c r="A3877" t="s">
        <v>29</v>
      </c>
      <c r="B3877">
        <v>1185732</v>
      </c>
      <c r="C3877" s="2">
        <v>44491</v>
      </c>
      <c r="D3877" t="s">
        <v>137</v>
      </c>
      <c r="E3877" t="s">
        <v>215</v>
      </c>
      <c r="F3877" t="s">
        <v>224</v>
      </c>
      <c r="G3877" t="s">
        <v>145</v>
      </c>
      <c r="H3877" s="3">
        <v>0.65000000000000013</v>
      </c>
      <c r="I3877">
        <v>2750</v>
      </c>
      <c r="J3877" s="4">
        <v>1787.5000000000005</v>
      </c>
      <c r="K3877" s="4">
        <v>625.62500000000023</v>
      </c>
      <c r="L3877" s="5">
        <v>0.35000000000000003</v>
      </c>
      <c r="M3877" t="s">
        <v>133</v>
      </c>
      <c r="N3877" t="s">
        <v>364</v>
      </c>
    </row>
    <row r="3878" spans="1:14">
      <c r="A3878" t="s">
        <v>29</v>
      </c>
      <c r="B3878">
        <v>1185732</v>
      </c>
      <c r="C3878" s="2">
        <v>44491</v>
      </c>
      <c r="D3878" t="s">
        <v>137</v>
      </c>
      <c r="E3878" t="s">
        <v>215</v>
      </c>
      <c r="F3878" t="s">
        <v>224</v>
      </c>
      <c r="G3878" t="s">
        <v>146</v>
      </c>
      <c r="H3878" s="3">
        <v>0.65000000000000013</v>
      </c>
      <c r="I3878">
        <v>1750</v>
      </c>
      <c r="J3878" s="4">
        <v>1137.5000000000002</v>
      </c>
      <c r="K3878" s="4">
        <v>284.37500000000006</v>
      </c>
      <c r="L3878" s="5">
        <v>0.25</v>
      </c>
      <c r="M3878" t="s">
        <v>133</v>
      </c>
      <c r="N3878" t="s">
        <v>364</v>
      </c>
    </row>
    <row r="3879" spans="1:14">
      <c r="A3879" t="s">
        <v>29</v>
      </c>
      <c r="B3879">
        <v>1185732</v>
      </c>
      <c r="C3879" s="2">
        <v>44491</v>
      </c>
      <c r="D3879" t="s">
        <v>137</v>
      </c>
      <c r="E3879" t="s">
        <v>215</v>
      </c>
      <c r="F3879" t="s">
        <v>224</v>
      </c>
      <c r="G3879" t="s">
        <v>148</v>
      </c>
      <c r="H3879" s="3">
        <v>0.65000000000000013</v>
      </c>
      <c r="I3879">
        <v>1500</v>
      </c>
      <c r="J3879" s="4">
        <v>975.00000000000023</v>
      </c>
      <c r="K3879" s="4">
        <v>243.75000000000006</v>
      </c>
      <c r="L3879" s="5">
        <v>0.25</v>
      </c>
      <c r="M3879" t="s">
        <v>133</v>
      </c>
      <c r="N3879" t="s">
        <v>364</v>
      </c>
    </row>
    <row r="3880" spans="1:14">
      <c r="A3880" t="s">
        <v>29</v>
      </c>
      <c r="B3880">
        <v>1185732</v>
      </c>
      <c r="C3880" s="2">
        <v>44491</v>
      </c>
      <c r="D3880" t="s">
        <v>137</v>
      </c>
      <c r="E3880" t="s">
        <v>215</v>
      </c>
      <c r="F3880" t="s">
        <v>224</v>
      </c>
      <c r="G3880" t="s">
        <v>147</v>
      </c>
      <c r="H3880" s="3">
        <v>0.75000000000000011</v>
      </c>
      <c r="I3880">
        <v>1500</v>
      </c>
      <c r="J3880" s="4">
        <v>1125.0000000000002</v>
      </c>
      <c r="K3880" s="4">
        <v>281.25000000000006</v>
      </c>
      <c r="L3880" s="5">
        <v>0.25</v>
      </c>
      <c r="M3880" t="s">
        <v>133</v>
      </c>
      <c r="N3880" t="s">
        <v>364</v>
      </c>
    </row>
    <row r="3881" spans="1:14">
      <c r="A3881" t="s">
        <v>29</v>
      </c>
      <c r="B3881">
        <v>1185732</v>
      </c>
      <c r="C3881" s="2">
        <v>44491</v>
      </c>
      <c r="D3881" t="s">
        <v>137</v>
      </c>
      <c r="E3881" t="s">
        <v>215</v>
      </c>
      <c r="F3881" t="s">
        <v>224</v>
      </c>
      <c r="G3881" t="s">
        <v>144</v>
      </c>
      <c r="H3881" s="3">
        <v>0.8</v>
      </c>
      <c r="I3881">
        <v>2750</v>
      </c>
      <c r="J3881" s="4">
        <v>2200</v>
      </c>
      <c r="K3881" s="4">
        <v>660</v>
      </c>
      <c r="L3881" s="5">
        <v>0.3</v>
      </c>
      <c r="M3881" t="s">
        <v>133</v>
      </c>
      <c r="N3881" t="s">
        <v>364</v>
      </c>
    </row>
    <row r="3882" spans="1:14">
      <c r="A3882" t="s">
        <v>29</v>
      </c>
      <c r="B3882">
        <v>1185732</v>
      </c>
      <c r="C3882" s="2">
        <v>44521</v>
      </c>
      <c r="D3882" t="s">
        <v>137</v>
      </c>
      <c r="E3882" t="s">
        <v>215</v>
      </c>
      <c r="F3882" t="s">
        <v>224</v>
      </c>
      <c r="G3882" t="s">
        <v>27</v>
      </c>
      <c r="H3882" s="3">
        <v>0.75000000000000011</v>
      </c>
      <c r="I3882">
        <v>4250</v>
      </c>
      <c r="J3882" s="4">
        <v>3187.5000000000005</v>
      </c>
      <c r="K3882" s="4">
        <v>1115.6250000000002</v>
      </c>
      <c r="L3882" s="5">
        <v>0.35000000000000003</v>
      </c>
      <c r="M3882" t="s">
        <v>134</v>
      </c>
      <c r="N3882" t="s">
        <v>364</v>
      </c>
    </row>
    <row r="3883" spans="1:14">
      <c r="A3883" t="s">
        <v>29</v>
      </c>
      <c r="B3883">
        <v>1185732</v>
      </c>
      <c r="C3883" s="2">
        <v>44521</v>
      </c>
      <c r="D3883" t="s">
        <v>137</v>
      </c>
      <c r="E3883" t="s">
        <v>215</v>
      </c>
      <c r="F3883" t="s">
        <v>224</v>
      </c>
      <c r="G3883" t="s">
        <v>145</v>
      </c>
      <c r="H3883" s="3">
        <v>0.65000000000000013</v>
      </c>
      <c r="I3883">
        <v>3000</v>
      </c>
      <c r="J3883" s="4">
        <v>1950.0000000000005</v>
      </c>
      <c r="K3883" s="4">
        <v>682.50000000000023</v>
      </c>
      <c r="L3883" s="5">
        <v>0.35000000000000003</v>
      </c>
      <c r="M3883" t="s">
        <v>134</v>
      </c>
      <c r="N3883" t="s">
        <v>364</v>
      </c>
    </row>
    <row r="3884" spans="1:14">
      <c r="A3884" t="s">
        <v>29</v>
      </c>
      <c r="B3884">
        <v>1185732</v>
      </c>
      <c r="C3884" s="2">
        <v>44521</v>
      </c>
      <c r="D3884" t="s">
        <v>137</v>
      </c>
      <c r="E3884" t="s">
        <v>215</v>
      </c>
      <c r="F3884" t="s">
        <v>224</v>
      </c>
      <c r="G3884" t="s">
        <v>146</v>
      </c>
      <c r="H3884" s="3">
        <v>0.65000000000000013</v>
      </c>
      <c r="I3884">
        <v>3200</v>
      </c>
      <c r="J3884" s="4">
        <v>2080.0000000000005</v>
      </c>
      <c r="K3884" s="4">
        <v>520.00000000000011</v>
      </c>
      <c r="L3884" s="5">
        <v>0.25</v>
      </c>
      <c r="M3884" t="s">
        <v>134</v>
      </c>
      <c r="N3884" t="s">
        <v>364</v>
      </c>
    </row>
    <row r="3885" spans="1:14">
      <c r="A3885" t="s">
        <v>29</v>
      </c>
      <c r="B3885">
        <v>1185732</v>
      </c>
      <c r="C3885" s="2">
        <v>44521</v>
      </c>
      <c r="D3885" t="s">
        <v>137</v>
      </c>
      <c r="E3885" t="s">
        <v>215</v>
      </c>
      <c r="F3885" t="s">
        <v>224</v>
      </c>
      <c r="G3885" t="s">
        <v>148</v>
      </c>
      <c r="H3885" s="3">
        <v>0.65000000000000013</v>
      </c>
      <c r="I3885">
        <v>3000</v>
      </c>
      <c r="J3885" s="4">
        <v>1950.0000000000005</v>
      </c>
      <c r="K3885" s="4">
        <v>487.50000000000011</v>
      </c>
      <c r="L3885" s="5">
        <v>0.25</v>
      </c>
      <c r="M3885" t="s">
        <v>134</v>
      </c>
      <c r="N3885" t="s">
        <v>364</v>
      </c>
    </row>
    <row r="3886" spans="1:14">
      <c r="A3886" t="s">
        <v>29</v>
      </c>
      <c r="B3886">
        <v>1185732</v>
      </c>
      <c r="C3886" s="2">
        <v>44521</v>
      </c>
      <c r="D3886" t="s">
        <v>137</v>
      </c>
      <c r="E3886" t="s">
        <v>215</v>
      </c>
      <c r="F3886" t="s">
        <v>224</v>
      </c>
      <c r="G3886" t="s">
        <v>147</v>
      </c>
      <c r="H3886" s="3">
        <v>0.75000000000000011</v>
      </c>
      <c r="I3886">
        <v>2750</v>
      </c>
      <c r="J3886" s="4">
        <v>2062.5000000000005</v>
      </c>
      <c r="K3886" s="4">
        <v>515.62500000000011</v>
      </c>
      <c r="L3886" s="5">
        <v>0.25</v>
      </c>
      <c r="M3886" t="s">
        <v>134</v>
      </c>
      <c r="N3886" t="s">
        <v>364</v>
      </c>
    </row>
    <row r="3887" spans="1:14">
      <c r="A3887" t="s">
        <v>29</v>
      </c>
      <c r="B3887">
        <v>1185732</v>
      </c>
      <c r="C3887" s="2">
        <v>44521</v>
      </c>
      <c r="D3887" t="s">
        <v>137</v>
      </c>
      <c r="E3887" t="s">
        <v>215</v>
      </c>
      <c r="F3887" t="s">
        <v>224</v>
      </c>
      <c r="G3887" t="s">
        <v>144</v>
      </c>
      <c r="H3887" s="3">
        <v>0.8</v>
      </c>
      <c r="I3887">
        <v>3750</v>
      </c>
      <c r="J3887" s="4">
        <v>3000</v>
      </c>
      <c r="K3887" s="4">
        <v>900</v>
      </c>
      <c r="L3887" s="5">
        <v>0.3</v>
      </c>
      <c r="M3887" t="s">
        <v>134</v>
      </c>
      <c r="N3887" t="s">
        <v>364</v>
      </c>
    </row>
    <row r="3888" spans="1:14">
      <c r="A3888" t="s">
        <v>29</v>
      </c>
      <c r="B3888">
        <v>1185732</v>
      </c>
      <c r="C3888" s="2">
        <v>44550</v>
      </c>
      <c r="D3888" t="s">
        <v>137</v>
      </c>
      <c r="E3888" t="s">
        <v>215</v>
      </c>
      <c r="F3888" t="s">
        <v>224</v>
      </c>
      <c r="G3888" t="s">
        <v>27</v>
      </c>
      <c r="H3888" s="3">
        <v>0.75000000000000011</v>
      </c>
      <c r="I3888">
        <v>6000</v>
      </c>
      <c r="J3888" s="4">
        <v>4500.0000000000009</v>
      </c>
      <c r="K3888" s="4">
        <v>1575.0000000000005</v>
      </c>
      <c r="L3888" s="5">
        <v>0.35000000000000003</v>
      </c>
      <c r="M3888" t="s">
        <v>23</v>
      </c>
      <c r="N3888" t="s">
        <v>364</v>
      </c>
    </row>
    <row r="3889" spans="1:14">
      <c r="A3889" t="s">
        <v>29</v>
      </c>
      <c r="B3889">
        <v>1185732</v>
      </c>
      <c r="C3889" s="2">
        <v>44550</v>
      </c>
      <c r="D3889" t="s">
        <v>137</v>
      </c>
      <c r="E3889" t="s">
        <v>215</v>
      </c>
      <c r="F3889" t="s">
        <v>224</v>
      </c>
      <c r="G3889" t="s">
        <v>145</v>
      </c>
      <c r="H3889" s="3">
        <v>0.65000000000000013</v>
      </c>
      <c r="I3889">
        <v>4000</v>
      </c>
      <c r="J3889" s="4">
        <v>2600.0000000000005</v>
      </c>
      <c r="K3889" s="4">
        <v>910.00000000000023</v>
      </c>
      <c r="L3889" s="5">
        <v>0.35000000000000003</v>
      </c>
      <c r="M3889" t="s">
        <v>23</v>
      </c>
      <c r="N3889" t="s">
        <v>364</v>
      </c>
    </row>
    <row r="3890" spans="1:14">
      <c r="A3890" t="s">
        <v>29</v>
      </c>
      <c r="B3890">
        <v>1185732</v>
      </c>
      <c r="C3890" s="2">
        <v>44550</v>
      </c>
      <c r="D3890" t="s">
        <v>137</v>
      </c>
      <c r="E3890" t="s">
        <v>215</v>
      </c>
      <c r="F3890" t="s">
        <v>224</v>
      </c>
      <c r="G3890" t="s">
        <v>146</v>
      </c>
      <c r="H3890" s="3">
        <v>0.65000000000000013</v>
      </c>
      <c r="I3890">
        <v>3750</v>
      </c>
      <c r="J3890" s="4">
        <v>2437.5000000000005</v>
      </c>
      <c r="K3890" s="4">
        <v>609.37500000000011</v>
      </c>
      <c r="L3890" s="5">
        <v>0.25</v>
      </c>
      <c r="M3890" t="s">
        <v>23</v>
      </c>
      <c r="N3890" t="s">
        <v>364</v>
      </c>
    </row>
    <row r="3891" spans="1:14">
      <c r="A3891" t="s">
        <v>29</v>
      </c>
      <c r="B3891">
        <v>1185732</v>
      </c>
      <c r="C3891" s="2">
        <v>44550</v>
      </c>
      <c r="D3891" t="s">
        <v>137</v>
      </c>
      <c r="E3891" t="s">
        <v>215</v>
      </c>
      <c r="F3891" t="s">
        <v>224</v>
      </c>
      <c r="G3891" t="s">
        <v>148</v>
      </c>
      <c r="H3891" s="3">
        <v>0.65000000000000013</v>
      </c>
      <c r="I3891">
        <v>3250</v>
      </c>
      <c r="J3891" s="4">
        <v>2112.5000000000005</v>
      </c>
      <c r="K3891" s="4">
        <v>528.12500000000011</v>
      </c>
      <c r="L3891" s="5">
        <v>0.25</v>
      </c>
      <c r="M3891" t="s">
        <v>23</v>
      </c>
      <c r="N3891" t="s">
        <v>364</v>
      </c>
    </row>
    <row r="3892" spans="1:14">
      <c r="A3892" t="s">
        <v>29</v>
      </c>
      <c r="B3892">
        <v>1185732</v>
      </c>
      <c r="C3892" s="2">
        <v>44550</v>
      </c>
      <c r="D3892" t="s">
        <v>137</v>
      </c>
      <c r="E3892" t="s">
        <v>215</v>
      </c>
      <c r="F3892" t="s">
        <v>224</v>
      </c>
      <c r="G3892" t="s">
        <v>147</v>
      </c>
      <c r="H3892" s="3">
        <v>0.75000000000000011</v>
      </c>
      <c r="I3892">
        <v>3250</v>
      </c>
      <c r="J3892" s="4">
        <v>2437.5000000000005</v>
      </c>
      <c r="K3892" s="4">
        <v>609.37500000000011</v>
      </c>
      <c r="L3892" s="5">
        <v>0.25</v>
      </c>
      <c r="M3892" t="s">
        <v>23</v>
      </c>
      <c r="N3892" t="s">
        <v>364</v>
      </c>
    </row>
    <row r="3893" spans="1:14">
      <c r="A3893" t="s">
        <v>29</v>
      </c>
      <c r="B3893">
        <v>1185732</v>
      </c>
      <c r="C3893" s="2">
        <v>44550</v>
      </c>
      <c r="D3893" t="s">
        <v>137</v>
      </c>
      <c r="E3893" t="s">
        <v>215</v>
      </c>
      <c r="F3893" t="s">
        <v>224</v>
      </c>
      <c r="G3893" t="s">
        <v>144</v>
      </c>
      <c r="H3893" s="3">
        <v>0.8</v>
      </c>
      <c r="I3893">
        <v>4250</v>
      </c>
      <c r="J3893" s="4">
        <v>3400</v>
      </c>
      <c r="K3893" s="4">
        <v>1020</v>
      </c>
      <c r="L3893" s="5">
        <v>0.3</v>
      </c>
      <c r="M3893" t="s">
        <v>23</v>
      </c>
      <c r="N3893" t="s">
        <v>364</v>
      </c>
    </row>
  </sheetData>
  <mergeCells count="2">
    <mergeCell ref="A1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Analysis Guide</vt:lpstr>
      <vt:lpstr>Monthly Sales</vt:lpstr>
      <vt:lpstr>Regional Sales</vt:lpstr>
      <vt:lpstr>Brand Performance</vt:lpstr>
      <vt:lpstr>Retailer Performance</vt:lpstr>
      <vt:lpstr>Brand Monthly</vt:lpstr>
      <vt:lpstr>Brand Regional</vt:lpstr>
      <vt:lpstr>Geography</vt:lpstr>
      <vt:lpstr>Price and Margin</vt:lpstr>
      <vt:lpstr>Insights and Actions</vt:lpstr>
      <vt:lpstr>Data Quality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2026-10-29T14:41:42Z</dcterms:created>
  <dcterms:modified xsi:type="dcterms:W3CDTF">2026-10-29T14:43:03Z</dcterms:modified>
</cp:coreProperties>
</file>